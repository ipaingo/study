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ma-honor\Downloads\"/>
    </mc:Choice>
  </mc:AlternateContent>
  <xr:revisionPtr revIDLastSave="0" documentId="13_ncr:1_{FD00379C-17FA-41AA-A28E-B0A4B4C275C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hart data" sheetId="1" r:id="rId1"/>
    <sheet name="Лист2" sheetId="3" r:id="rId2"/>
    <sheet name="Лист1" sheetId="2" r:id="rId3"/>
  </sheet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2" l="1"/>
  <c r="J26" i="2"/>
  <c r="E6" i="2"/>
  <c r="E5" i="2"/>
  <c r="E3" i="2"/>
  <c r="E8" i="2"/>
  <c r="E9" i="2"/>
  <c r="E4" i="2"/>
  <c r="E12" i="2"/>
  <c r="E11" i="2"/>
  <c r="E10" i="2"/>
  <c r="E16" i="2"/>
  <c r="E18" i="2"/>
  <c r="E15" i="2"/>
  <c r="E21" i="2"/>
  <c r="E14" i="2"/>
  <c r="E19" i="2"/>
  <c r="E20" i="2"/>
  <c r="E31" i="2"/>
  <c r="E38" i="2"/>
  <c r="E28" i="2"/>
  <c r="E35" i="2"/>
  <c r="E22" i="2"/>
  <c r="E29" i="2"/>
  <c r="E23" i="2"/>
  <c r="E26" i="2"/>
  <c r="E47" i="2"/>
  <c r="E32" i="2"/>
  <c r="E13" i="2"/>
  <c r="E41" i="2"/>
  <c r="E17" i="2"/>
  <c r="E27" i="2"/>
  <c r="E57" i="2"/>
  <c r="E24" i="2"/>
  <c r="E40" i="2"/>
  <c r="E44" i="2"/>
  <c r="E37" i="2"/>
  <c r="E25" i="2"/>
  <c r="E39" i="2"/>
  <c r="E34" i="2"/>
  <c r="E55" i="2"/>
  <c r="E36" i="2"/>
  <c r="E30" i="2"/>
  <c r="E45" i="2"/>
  <c r="E43" i="2"/>
  <c r="E51" i="2"/>
  <c r="E46" i="2"/>
  <c r="E58" i="2"/>
  <c r="E42" i="2"/>
  <c r="E59" i="2"/>
  <c r="E48" i="2"/>
  <c r="E50" i="2"/>
  <c r="E2" i="2"/>
  <c r="E60" i="2"/>
  <c r="E49" i="2"/>
  <c r="E61" i="2"/>
  <c r="E33" i="2"/>
  <c r="E54" i="2"/>
  <c r="E62" i="2"/>
  <c r="E63" i="2"/>
  <c r="E64" i="2"/>
  <c r="E52" i="2"/>
  <c r="E65" i="2"/>
  <c r="E66" i="2"/>
  <c r="E67" i="2"/>
  <c r="E56" i="2"/>
  <c r="E68" i="2"/>
  <c r="E69" i="2"/>
  <c r="E70" i="2"/>
  <c r="E71" i="2"/>
  <c r="E53" i="2"/>
  <c r="E7" i="2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AC3" i="3"/>
  <c r="AC2" i="3"/>
  <c r="H47" i="1"/>
  <c r="C51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C47" i="1"/>
  <c r="D47" i="1"/>
  <c r="E47" i="1"/>
  <c r="F47" i="1"/>
  <c r="G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33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B29" i="1"/>
  <c r="K25" i="2"/>
  <c r="J25" i="2"/>
</calcChain>
</file>

<file path=xl/sharedStrings.xml><?xml version="1.0" encoding="utf-8"?>
<sst xmlns="http://schemas.openxmlformats.org/spreadsheetml/2006/main" count="260" uniqueCount="121">
  <si>
    <t>Date</t>
  </si>
  <si>
    <t>Не определено</t>
  </si>
  <si>
    <t>Движение в неположенном месте</t>
  </si>
  <si>
    <t>Езда вдвоём</t>
  </si>
  <si>
    <t>Езда совместно (вдвоем) с несовершеннолетним</t>
  </si>
  <si>
    <t>Закрашивание, порча, отклеивание оклейки и номерных знаков СИМ, размещенных на СИМ</t>
  </si>
  <si>
    <t>Использование и оставление СИМ на территории/местности (леса, поля, просеки, луга, болота, пруды и другие водоемы), непредназначенной для совершения поездок на СИМ</t>
  </si>
  <si>
    <t>Неизвещение о ДТП</t>
  </si>
  <si>
    <t>Неправильная парковка</t>
  </si>
  <si>
    <t>Неправильная парковка, повторное нарушение</t>
  </si>
  <si>
    <t>Непрекращение использования СИМ после ДТП</t>
  </si>
  <si>
    <t>Неспешивание на пешеходном переходе</t>
  </si>
  <si>
    <t>Нецелевое использование СИМ</t>
  </si>
  <si>
    <t>Передача управления несовершеннолетнему лицу</t>
  </si>
  <si>
    <t>Порча самоката</t>
  </si>
  <si>
    <t>Порча СИМ</t>
  </si>
  <si>
    <t>Предоставление недостоверных сведений о возрасте</t>
  </si>
  <si>
    <t>Предоставление недостоверных сведений о возрасте и передача управления несовершеннолетнему лицу</t>
  </si>
  <si>
    <t>Управление СИМ несовершеннолетним</t>
  </si>
  <si>
    <t>Штраф 1 рубль для тестирования</t>
  </si>
  <si>
    <t>Штраф 10 тенге для тестирования</t>
  </si>
  <si>
    <t>Всего</t>
  </si>
  <si>
    <t>Общие вопросы по использованию самокатов</t>
  </si>
  <si>
    <t>Неисправности и сбои самоката</t>
  </si>
  <si>
    <t>Интеграция с сервисами Яндекса</t>
  </si>
  <si>
    <t>Запрос уточнений по условиям аренды</t>
  </si>
  <si>
    <t>Вопросы по оплате аренды самоката</t>
  </si>
  <si>
    <t>Инциденты в процессе поездки на самокате</t>
  </si>
  <si>
    <t>Обращение пользователя по аренде самоката</t>
  </si>
  <si>
    <t>Отзывы о качестве сервиса самокатов</t>
  </si>
  <si>
    <t>Трудности при завершении поездки и парковке</t>
  </si>
  <si>
    <t>Штрафные начисления за нарушения при аренде</t>
  </si>
  <si>
    <t>Экстренные случаи во время поездки на самокате</t>
  </si>
  <si>
    <t>Аварийные ситуации с самокатом</t>
  </si>
  <si>
    <t>Операции по оплате самокатов</t>
  </si>
  <si>
    <t>Правила и условия аренды самоката</t>
  </si>
  <si>
    <t>Промежуточный ответ по обращению об аренде</t>
  </si>
  <si>
    <t>Дополнительные сведения об условиях поездки</t>
  </si>
  <si>
    <t>Вопросы, связанные с курьерскими поездками на самокате</t>
  </si>
  <si>
    <t>Справочная информация о самокатах</t>
  </si>
  <si>
    <t>Проблема с оплатой аренды самоката</t>
  </si>
  <si>
    <t>Отзыв о поведении пользователя и состоянии самоката</t>
  </si>
  <si>
    <t>Оценка пользователя и самоката после поездки</t>
  </si>
  <si>
    <t>Привилегии подписки Плюс при аренде самоката</t>
  </si>
  <si>
    <t>Временные ответы на обращения по самокатам</t>
  </si>
  <si>
    <t>Повторное обращение по вопросу аренды самоката</t>
  </si>
  <si>
    <t>Технический сбой в работе самоката или приложения</t>
  </si>
  <si>
    <t>Отмена аренды самоката пользователем</t>
  </si>
  <si>
    <t>Автоматическая классификация обращений по самокатам</t>
  </si>
  <si>
    <t>Неопределённая тематика обращения</t>
  </si>
  <si>
    <t>Вопросы пользователей сервиса аренды самокатов</t>
  </si>
  <si>
    <t>Ограничение доступа к аренде самоката</t>
  </si>
  <si>
    <t>Разбор тарифных планов на аренду самоката</t>
  </si>
  <si>
    <t>Вопросы по уровню заряда батареи самоката</t>
  </si>
  <si>
    <t>Верификация личности для доступа к самокату</t>
  </si>
  <si>
    <t>Временная категория обращений по самокатам</t>
  </si>
  <si>
    <t>Оспаривание итоговой стоимости аренды самоката</t>
  </si>
  <si>
    <t>Разбор обращений от пользователей самокатов</t>
  </si>
  <si>
    <t>Ошибка автоклассификации обращений по самокатам</t>
  </si>
  <si>
    <t>Служебная коммуникация по вопросам самокатов</t>
  </si>
  <si>
    <t>Предварительный ответ до решения проблемы с самокатом</t>
  </si>
  <si>
    <t>Отмена бронирования самоката</t>
  </si>
  <si>
    <t>Качество обслуживания в сервисе аренды самокатов</t>
  </si>
  <si>
    <t>Запрос экстренной помощи во время поездки на самокате</t>
  </si>
  <si>
    <t>Процесс оплаты за использование самоката</t>
  </si>
  <si>
    <t>Прочие обращения по теме самокатов</t>
  </si>
  <si>
    <t>Вопросы и проблемы после завершения аренды самоката</t>
  </si>
  <si>
    <t>Утрата возможности арендовать самокат</t>
  </si>
  <si>
    <t>Трудности при разблокировке и старте самоката</t>
  </si>
  <si>
    <t>Обращение, не связанное с арендой самоката</t>
  </si>
  <si>
    <t>Ошибки и сбои в приложении для аренды самокатов</t>
  </si>
  <si>
    <t>Запрос дополнительной информации по поездке на самокате</t>
  </si>
  <si>
    <t>Утерянные вещи во время поездки на самокате</t>
  </si>
  <si>
    <t>Финансовые операции и споры по аренде самоката</t>
  </si>
  <si>
    <t>Пропуск или отмена аренды самоката</t>
  </si>
  <si>
    <t>Запрос возврата средств за аренду самоката</t>
  </si>
  <si>
    <t>Финансовые трудности при оплате самоката</t>
  </si>
  <si>
    <t>Общие жалобы на сервис аренды самокатов</t>
  </si>
  <si>
    <t>Аннулированная аренда самоката</t>
  </si>
  <si>
    <t>Технический сбой самоката или платформы</t>
  </si>
  <si>
    <t>Системные ошибки при работе с самокатом</t>
  </si>
  <si>
    <t>Обработка обращения по аренде самоката</t>
  </si>
  <si>
    <t>Вопросы по доставке или перемещению самоката</t>
  </si>
  <si>
    <t>Иные обращения, не вошедшие в основные категории</t>
  </si>
  <si>
    <t>Поиск вещей, оставленных на самокате</t>
  </si>
  <si>
    <t>Работа курьера с использованием самоката</t>
  </si>
  <si>
    <t>Программы лояльности и бонусы для пользователей самоката</t>
  </si>
  <si>
    <t>Подозрительные действия и мошенничество при аренде самоката</t>
  </si>
  <si>
    <t>Оценка работы курьера на самокате</t>
  </si>
  <si>
    <t>Аннулирование заказа на аренду самоката</t>
  </si>
  <si>
    <t>Взаимодействие с партнёрами сервиса самокатов</t>
  </si>
  <si>
    <t>Специальные предложения для курьеров на самокатах</t>
  </si>
  <si>
    <t>Тематика</t>
  </si>
  <si>
    <t>Обращения</t>
  </si>
  <si>
    <t>Среднее время обработки обращения(мин)</t>
  </si>
  <si>
    <t>Всего тикетов(=чатов, где могут задать вопросы по этой и другой тематике), в которых фигурировали обращения</t>
  </si>
  <si>
    <t>Порча / повреждение СИМ и его маркировки</t>
  </si>
  <si>
    <t>Нарушения, связанные с несовершеннолетними водителями</t>
  </si>
  <si>
    <t>Тестовые штрафы</t>
  </si>
  <si>
    <t>Использование и оставление СИМ вне разрешённых зон (леса, поля, водоёмы)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</si>
  <si>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</si>
  <si>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</si>
  <si>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</si>
  <si>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</si>
  <si>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</si>
  <si>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</si>
  <si>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</si>
  <si>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</si>
  <si>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</si>
  <si>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</si>
  <si>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</si>
  <si>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</si>
  <si>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Времени затрачено, час</t>
  </si>
  <si>
    <t>Сложное</t>
  </si>
  <si>
    <t>Простое</t>
  </si>
  <si>
    <t>Сложность</t>
  </si>
  <si>
    <t>Названия строк</t>
  </si>
  <si>
    <t>Общий итог</t>
  </si>
  <si>
    <t>Сумма по полю Обращения</t>
  </si>
  <si>
    <t>Количество по полю Тематика</t>
  </si>
  <si>
    <t>Сумма по полю Времени затрачено, 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</si>
</sst>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"/>
    <numFmt numFmtId="166" formatCode="0.0%"/>
  </numFmts>
  <fonts count="12" x14ac:knownFonts="1">
    <font>
      <sz val="12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Aptos Narrow"/>
    </font>
    <font>
      <sz val="12"/>
      <color rgb="FF000000"/>
      <name val="Calibri"/>
      <scheme val="minor"/>
    </font>
    <font>
      <sz val="12"/>
      <color theme="1"/>
      <name val="Arial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color theme="1"/>
      <name val="Segoe UI"/>
      <family val="2"/>
      <charset val="204"/>
    </font>
    <font>
      <sz val="10"/>
      <color theme="1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3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0" fontId="0" fillId="0" borderId="1" xfId="0" applyNumberFormat="1" applyBorder="1"/>
    <xf numFmtId="0" fontId="1" fillId="0" borderId="1" xfId="0" applyFont="1" applyBorder="1" applyAlignment="1">
      <alignment horizontal="center" vertical="center" textRotation="90" wrapText="1"/>
    </xf>
    <xf numFmtId="164" fontId="7" fillId="0" borderId="1" xfId="0" applyNumberFormat="1" applyFont="1" applyBorder="1" applyAlignment="1">
      <alignment textRotation="90"/>
    </xf>
    <xf numFmtId="0" fontId="1" fillId="0" borderId="1" xfId="0" applyFont="1" applyBorder="1" applyAlignment="1">
      <alignment textRotation="90"/>
    </xf>
    <xf numFmtId="0" fontId="1" fillId="0" borderId="0" xfId="0" applyFont="1" applyAlignment="1">
      <alignment textRotation="90"/>
    </xf>
    <xf numFmtId="0" fontId="8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/>
    <xf numFmtId="0" fontId="10" fillId="4" borderId="1" xfId="0" applyFont="1" applyFill="1" applyBorder="1"/>
    <xf numFmtId="0" fontId="10" fillId="5" borderId="1" xfId="0" applyFont="1" applyFill="1" applyBorder="1"/>
    <xf numFmtId="0" fontId="10" fillId="6" borderId="1" xfId="0" applyFont="1" applyFill="1" applyBorder="1"/>
    <xf numFmtId="0" fontId="9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/>
    <xf numFmtId="0" fontId="10" fillId="0" borderId="1" xfId="0" applyFont="1" applyBorder="1"/>
    <xf numFmtId="14" fontId="7" fillId="0" borderId="1" xfId="0" applyNumberFormat="1" applyFont="1" applyBorder="1" applyAlignment="1">
      <alignment textRotation="90"/>
    </xf>
    <xf numFmtId="166" fontId="8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wrapText="1"/>
    </xf>
    <xf numFmtId="165" fontId="0" fillId="0" borderId="1" xfId="0" applyNumberFormat="1" applyBorder="1"/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9">
    <dxf>
      <numFmt numFmtId="165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657965102040132E-2"/>
          <c:y val="4.1809198023565183E-2"/>
          <c:w val="0.59101807523313954"/>
          <c:h val="0.7715218607936266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Не определено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data'!$B$2:$B$28</c:f>
              <c:numCache>
                <c:formatCode>General</c:formatCode>
                <c:ptCount val="27"/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4-4B08-8AF7-4BF2EB138138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Движение в неположенном месте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data'!$C$2:$C$28</c:f>
              <c:numCache>
                <c:formatCode>General</c:formatCode>
                <c:ptCount val="27"/>
                <c:pt idx="4">
                  <c:v>36</c:v>
                </c:pt>
                <c:pt idx="5">
                  <c:v>7</c:v>
                </c:pt>
                <c:pt idx="6">
                  <c:v>263</c:v>
                </c:pt>
                <c:pt idx="7">
                  <c:v>20</c:v>
                </c:pt>
                <c:pt idx="8">
                  <c:v>67</c:v>
                </c:pt>
                <c:pt idx="9">
                  <c:v>3</c:v>
                </c:pt>
                <c:pt idx="10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31</c:v>
                </c:pt>
                <c:pt idx="15">
                  <c:v>48</c:v>
                </c:pt>
                <c:pt idx="16">
                  <c:v>6</c:v>
                </c:pt>
                <c:pt idx="17">
                  <c:v>130</c:v>
                </c:pt>
                <c:pt idx="18">
                  <c:v>150</c:v>
                </c:pt>
                <c:pt idx="19">
                  <c:v>117</c:v>
                </c:pt>
                <c:pt idx="20">
                  <c:v>85</c:v>
                </c:pt>
                <c:pt idx="21">
                  <c:v>46</c:v>
                </c:pt>
                <c:pt idx="22">
                  <c:v>22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4-4B08-8AF7-4BF2EB138138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Езда вдвоём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data'!$D$2:$D$28</c:f>
              <c:numCache>
                <c:formatCode>General</c:formatCode>
                <c:ptCount val="27"/>
                <c:pt idx="3">
                  <c:v>122</c:v>
                </c:pt>
                <c:pt idx="4">
                  <c:v>570</c:v>
                </c:pt>
                <c:pt idx="5">
                  <c:v>271</c:v>
                </c:pt>
                <c:pt idx="6">
                  <c:v>574</c:v>
                </c:pt>
                <c:pt idx="7">
                  <c:v>634</c:v>
                </c:pt>
                <c:pt idx="8">
                  <c:v>530</c:v>
                </c:pt>
                <c:pt idx="9">
                  <c:v>240</c:v>
                </c:pt>
                <c:pt idx="10">
                  <c:v>45</c:v>
                </c:pt>
                <c:pt idx="11">
                  <c:v>4</c:v>
                </c:pt>
                <c:pt idx="12">
                  <c:v>6</c:v>
                </c:pt>
                <c:pt idx="14">
                  <c:v>738</c:v>
                </c:pt>
                <c:pt idx="15">
                  <c:v>1749</c:v>
                </c:pt>
                <c:pt idx="16">
                  <c:v>4002</c:v>
                </c:pt>
                <c:pt idx="17">
                  <c:v>3987</c:v>
                </c:pt>
                <c:pt idx="18">
                  <c:v>3438</c:v>
                </c:pt>
                <c:pt idx="19">
                  <c:v>2075</c:v>
                </c:pt>
                <c:pt idx="20">
                  <c:v>1334</c:v>
                </c:pt>
                <c:pt idx="21">
                  <c:v>571</c:v>
                </c:pt>
                <c:pt idx="22">
                  <c:v>163</c:v>
                </c:pt>
                <c:pt idx="23">
                  <c:v>14</c:v>
                </c:pt>
                <c:pt idx="24">
                  <c:v>9</c:v>
                </c:pt>
                <c:pt idx="25">
                  <c:v>5</c:v>
                </c:pt>
                <c:pt idx="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4-4B08-8AF7-4BF2EB138138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Езда совместно (вдвоем) с несовершеннолетним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data'!$E$2:$E$28</c:f>
              <c:numCache>
                <c:formatCode>General</c:formatCode>
                <c:ptCount val="27"/>
                <c:pt idx="14">
                  <c:v>131</c:v>
                </c:pt>
                <c:pt idx="15">
                  <c:v>473</c:v>
                </c:pt>
                <c:pt idx="16">
                  <c:v>680</c:v>
                </c:pt>
                <c:pt idx="17">
                  <c:v>783</c:v>
                </c:pt>
                <c:pt idx="18">
                  <c:v>558</c:v>
                </c:pt>
                <c:pt idx="19">
                  <c:v>374</c:v>
                </c:pt>
                <c:pt idx="20">
                  <c:v>192</c:v>
                </c:pt>
                <c:pt idx="21">
                  <c:v>67</c:v>
                </c:pt>
                <c:pt idx="22">
                  <c:v>24</c:v>
                </c:pt>
                <c:pt idx="23">
                  <c:v>5</c:v>
                </c:pt>
                <c:pt idx="24">
                  <c:v>5</c:v>
                </c:pt>
                <c:pt idx="25">
                  <c:v>3</c:v>
                </c:pt>
                <c:pt idx="2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F4-4B08-8AF7-4BF2EB138138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Закрашивание, порча, отклеивание оклейки и номерных знаков СИМ, размещенных на СИМ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data'!$F$2:$F$28</c:f>
              <c:numCache>
                <c:formatCode>General</c:formatCode>
                <c:ptCount val="27"/>
                <c:pt idx="17">
                  <c:v>20</c:v>
                </c:pt>
                <c:pt idx="18">
                  <c:v>5</c:v>
                </c:pt>
                <c:pt idx="19">
                  <c:v>2</c:v>
                </c:pt>
                <c:pt idx="20">
                  <c:v>4</c:v>
                </c:pt>
                <c:pt idx="21">
                  <c:v>1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F4-4B08-8AF7-4BF2EB138138}"/>
            </c:ext>
          </c:extLst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Использование и оставление СИМ на территории/местности (леса, поля, просеки, луга, болота, пруды и другие водоемы), непредназначенной для совершения поездок на СИМ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data'!$G$2:$G$28</c:f>
              <c:numCache>
                <c:formatCode>General</c:formatCode>
                <c:ptCount val="27"/>
                <c:pt idx="22">
                  <c:v>56</c:v>
                </c:pt>
                <c:pt idx="23">
                  <c:v>32</c:v>
                </c:pt>
                <c:pt idx="25">
                  <c:v>4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F4-4B08-8AF7-4BF2EB138138}"/>
            </c:ext>
          </c:extLst>
        </c:ser>
        <c:ser>
          <c:idx val="6"/>
          <c:order val="6"/>
          <c:tx>
            <c:strRef>
              <c:f>'Chart data'!$H$1</c:f>
              <c:strCache>
                <c:ptCount val="1"/>
                <c:pt idx="0">
                  <c:v>Неизвещение о ДТП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data'!$H$2:$H$28</c:f>
              <c:numCache>
                <c:formatCode>General</c:formatCode>
                <c:ptCount val="27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F4-4B08-8AF7-4BF2EB138138}"/>
            </c:ext>
          </c:extLst>
        </c:ser>
        <c:ser>
          <c:idx val="7"/>
          <c:order val="7"/>
          <c:tx>
            <c:strRef>
              <c:f>'Chart data'!$I$1</c:f>
              <c:strCache>
                <c:ptCount val="1"/>
                <c:pt idx="0">
                  <c:v>Неправильная парковка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data'!$I$2:$I$28</c:f>
              <c:numCache>
                <c:formatCode>General</c:formatCode>
                <c:ptCount val="27"/>
                <c:pt idx="1">
                  <c:v>4</c:v>
                </c:pt>
                <c:pt idx="2">
                  <c:v>15</c:v>
                </c:pt>
                <c:pt idx="3">
                  <c:v>435</c:v>
                </c:pt>
                <c:pt idx="4">
                  <c:v>1903</c:v>
                </c:pt>
                <c:pt idx="5">
                  <c:v>867</c:v>
                </c:pt>
                <c:pt idx="6">
                  <c:v>9867</c:v>
                </c:pt>
                <c:pt idx="7">
                  <c:v>9864</c:v>
                </c:pt>
                <c:pt idx="8">
                  <c:v>5362</c:v>
                </c:pt>
                <c:pt idx="9">
                  <c:v>3264</c:v>
                </c:pt>
                <c:pt idx="10">
                  <c:v>783</c:v>
                </c:pt>
                <c:pt idx="11">
                  <c:v>33</c:v>
                </c:pt>
                <c:pt idx="12">
                  <c:v>23</c:v>
                </c:pt>
                <c:pt idx="13">
                  <c:v>9</c:v>
                </c:pt>
                <c:pt idx="14">
                  <c:v>3027</c:v>
                </c:pt>
                <c:pt idx="15">
                  <c:v>4754</c:v>
                </c:pt>
                <c:pt idx="16">
                  <c:v>5673</c:v>
                </c:pt>
                <c:pt idx="17">
                  <c:v>7131</c:v>
                </c:pt>
                <c:pt idx="18">
                  <c:v>10373</c:v>
                </c:pt>
                <c:pt idx="19">
                  <c:v>8310</c:v>
                </c:pt>
                <c:pt idx="20">
                  <c:v>6037</c:v>
                </c:pt>
                <c:pt idx="21">
                  <c:v>3658</c:v>
                </c:pt>
                <c:pt idx="22">
                  <c:v>1903</c:v>
                </c:pt>
                <c:pt idx="23">
                  <c:v>769</c:v>
                </c:pt>
                <c:pt idx="24">
                  <c:v>307</c:v>
                </c:pt>
                <c:pt idx="25">
                  <c:v>381</c:v>
                </c:pt>
                <c:pt idx="26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EF4-4B08-8AF7-4BF2EB138138}"/>
            </c:ext>
          </c:extLst>
        </c:ser>
        <c:ser>
          <c:idx val="8"/>
          <c:order val="8"/>
          <c:tx>
            <c:strRef>
              <c:f>'Chart data'!$J$1</c:f>
              <c:strCache>
                <c:ptCount val="1"/>
                <c:pt idx="0">
                  <c:v>Неправильная парковка, повторное нарушение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data'!$J$2:$J$28</c:f>
              <c:numCache>
                <c:formatCode>General</c:formatCode>
                <c:ptCount val="27"/>
                <c:pt idx="25">
                  <c:v>85</c:v>
                </c:pt>
                <c:pt idx="26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F4-4B08-8AF7-4BF2EB138138}"/>
            </c:ext>
          </c:extLst>
        </c:ser>
        <c:ser>
          <c:idx val="9"/>
          <c:order val="9"/>
          <c:tx>
            <c:strRef>
              <c:f>'Chart data'!$K$1</c:f>
              <c:strCache>
                <c:ptCount val="1"/>
                <c:pt idx="0">
                  <c:v>Непрекращение использования СИМ после ДТП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data'!$K$2:$K$28</c:f>
              <c:numCache>
                <c:formatCode>General</c:formatCode>
                <c:ptCount val="27"/>
                <c:pt idx="3">
                  <c:v>1</c:v>
                </c:pt>
                <c:pt idx="14">
                  <c:v>1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EF4-4B08-8AF7-4BF2EB138138}"/>
            </c:ext>
          </c:extLst>
        </c:ser>
        <c:ser>
          <c:idx val="10"/>
          <c:order val="10"/>
          <c:tx>
            <c:strRef>
              <c:f>'Chart data'!$L$1</c:f>
              <c:strCache>
                <c:ptCount val="1"/>
                <c:pt idx="0">
                  <c:v>Неспешивание на пешеходном переходе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data'!$L$2:$L$28</c:f>
              <c:numCache>
                <c:formatCode>General</c:formatCode>
                <c:ptCount val="27"/>
                <c:pt idx="7">
                  <c:v>136</c:v>
                </c:pt>
                <c:pt idx="8">
                  <c:v>278</c:v>
                </c:pt>
                <c:pt idx="9">
                  <c:v>982</c:v>
                </c:pt>
                <c:pt idx="10">
                  <c:v>492</c:v>
                </c:pt>
                <c:pt idx="11">
                  <c:v>4</c:v>
                </c:pt>
                <c:pt idx="12">
                  <c:v>67</c:v>
                </c:pt>
                <c:pt idx="13">
                  <c:v>7</c:v>
                </c:pt>
                <c:pt idx="14">
                  <c:v>728</c:v>
                </c:pt>
                <c:pt idx="15">
                  <c:v>1152</c:v>
                </c:pt>
                <c:pt idx="16">
                  <c:v>2984</c:v>
                </c:pt>
                <c:pt idx="17">
                  <c:v>2763</c:v>
                </c:pt>
                <c:pt idx="18">
                  <c:v>1999</c:v>
                </c:pt>
                <c:pt idx="19">
                  <c:v>1823</c:v>
                </c:pt>
                <c:pt idx="20">
                  <c:v>635</c:v>
                </c:pt>
                <c:pt idx="21">
                  <c:v>346</c:v>
                </c:pt>
                <c:pt idx="22">
                  <c:v>70</c:v>
                </c:pt>
                <c:pt idx="23">
                  <c:v>4</c:v>
                </c:pt>
                <c:pt idx="24">
                  <c:v>84</c:v>
                </c:pt>
                <c:pt idx="25">
                  <c:v>73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EF4-4B08-8AF7-4BF2EB138138}"/>
            </c:ext>
          </c:extLst>
        </c:ser>
        <c:ser>
          <c:idx val="11"/>
          <c:order val="11"/>
          <c:tx>
            <c:strRef>
              <c:f>'Chart data'!$M$1</c:f>
              <c:strCache>
                <c:ptCount val="1"/>
                <c:pt idx="0">
                  <c:v>Нецелевое использование СИМ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data'!$M$2:$M$28</c:f>
              <c:numCache>
                <c:formatCode>General</c:formatCode>
                <c:ptCount val="27"/>
                <c:pt idx="4">
                  <c:v>1</c:v>
                </c:pt>
                <c:pt idx="8">
                  <c:v>2</c:v>
                </c:pt>
                <c:pt idx="9">
                  <c:v>1</c:v>
                </c:pt>
                <c:pt idx="17">
                  <c:v>2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EF4-4B08-8AF7-4BF2EB138138}"/>
            </c:ext>
          </c:extLst>
        </c:ser>
        <c:ser>
          <c:idx val="12"/>
          <c:order val="12"/>
          <c:tx>
            <c:strRef>
              <c:f>'Chart data'!$N$1</c:f>
              <c:strCache>
                <c:ptCount val="1"/>
                <c:pt idx="0">
                  <c:v>Передача управления несовершеннолетнему лицу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data'!$N$2:$N$28</c:f>
              <c:numCache>
                <c:formatCode>General</c:formatCode>
                <c:ptCount val="27"/>
                <c:pt idx="22">
                  <c:v>15</c:v>
                </c:pt>
                <c:pt idx="23">
                  <c:v>6</c:v>
                </c:pt>
                <c:pt idx="24">
                  <c:v>8</c:v>
                </c:pt>
                <c:pt idx="25">
                  <c:v>1</c:v>
                </c:pt>
                <c:pt idx="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F4-4B08-8AF7-4BF2EB138138}"/>
            </c:ext>
          </c:extLst>
        </c:ser>
        <c:ser>
          <c:idx val="13"/>
          <c:order val="13"/>
          <c:tx>
            <c:strRef>
              <c:f>'Chart data'!$O$1</c:f>
              <c:strCache>
                <c:ptCount val="1"/>
                <c:pt idx="0">
                  <c:v>Порча самоката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data'!$O$2:$O$28</c:f>
              <c:numCache>
                <c:formatCode>General</c:formatCode>
                <c:ptCount val="27"/>
                <c:pt idx="4">
                  <c:v>32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EF4-4B08-8AF7-4BF2EB138138}"/>
            </c:ext>
          </c:extLst>
        </c:ser>
        <c:ser>
          <c:idx val="14"/>
          <c:order val="14"/>
          <c:tx>
            <c:strRef>
              <c:f>'Chart data'!$P$1</c:f>
              <c:strCache>
                <c:ptCount val="1"/>
                <c:pt idx="0">
                  <c:v>Порча СИМ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data'!$P$2:$P$28</c:f>
              <c:numCache>
                <c:formatCode>General</c:formatCode>
                <c:ptCount val="27"/>
                <c:pt idx="8">
                  <c:v>1</c:v>
                </c:pt>
                <c:pt idx="14">
                  <c:v>7</c:v>
                </c:pt>
                <c:pt idx="15">
                  <c:v>6</c:v>
                </c:pt>
                <c:pt idx="16">
                  <c:v>9</c:v>
                </c:pt>
                <c:pt idx="17">
                  <c:v>25</c:v>
                </c:pt>
                <c:pt idx="18">
                  <c:v>5</c:v>
                </c:pt>
                <c:pt idx="19">
                  <c:v>5</c:v>
                </c:pt>
                <c:pt idx="20">
                  <c:v>12</c:v>
                </c:pt>
                <c:pt idx="21">
                  <c:v>6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EF4-4B08-8AF7-4BF2EB138138}"/>
            </c:ext>
          </c:extLst>
        </c:ser>
        <c:ser>
          <c:idx val="15"/>
          <c:order val="15"/>
          <c:tx>
            <c:strRef>
              <c:f>'Chart data'!$Q$1</c:f>
              <c:strCache>
                <c:ptCount val="1"/>
                <c:pt idx="0">
                  <c:v>Предоставление недостоверных сведений о возрасте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data'!$Q$2:$Q$28</c:f>
              <c:numCache>
                <c:formatCode>General</c:formatCode>
                <c:ptCount val="27"/>
                <c:pt idx="22">
                  <c:v>8</c:v>
                </c:pt>
                <c:pt idx="23">
                  <c:v>2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EF4-4B08-8AF7-4BF2EB138138}"/>
            </c:ext>
          </c:extLst>
        </c:ser>
        <c:ser>
          <c:idx val="16"/>
          <c:order val="16"/>
          <c:tx>
            <c:strRef>
              <c:f>'Chart data'!$R$1</c:f>
              <c:strCache>
                <c:ptCount val="1"/>
                <c:pt idx="0">
                  <c:v>Предоставление недостоверных сведений о возрасте и передача управления несовершеннолетнему лицу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data'!$R$2:$R$28</c:f>
              <c:numCache>
                <c:formatCode>General</c:formatCode>
                <c:ptCount val="27"/>
                <c:pt idx="14">
                  <c:v>432</c:v>
                </c:pt>
                <c:pt idx="15">
                  <c:v>907</c:v>
                </c:pt>
                <c:pt idx="16">
                  <c:v>1375</c:v>
                </c:pt>
                <c:pt idx="17">
                  <c:v>935</c:v>
                </c:pt>
                <c:pt idx="18">
                  <c:v>498</c:v>
                </c:pt>
                <c:pt idx="19">
                  <c:v>393</c:v>
                </c:pt>
                <c:pt idx="20">
                  <c:v>324</c:v>
                </c:pt>
                <c:pt idx="21">
                  <c:v>123</c:v>
                </c:pt>
                <c:pt idx="2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EF4-4B08-8AF7-4BF2EB138138}"/>
            </c:ext>
          </c:extLst>
        </c:ser>
        <c:ser>
          <c:idx val="17"/>
          <c:order val="17"/>
          <c:tx>
            <c:strRef>
              <c:f>'Chart data'!$S$1</c:f>
              <c:strCache>
                <c:ptCount val="1"/>
                <c:pt idx="0">
                  <c:v>Управление СИМ несовершеннолетним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data'!$S$2:$S$28</c:f>
              <c:numCache>
                <c:formatCode>General</c:formatCode>
                <c:ptCount val="27"/>
                <c:pt idx="7">
                  <c:v>2</c:v>
                </c:pt>
                <c:pt idx="8">
                  <c:v>167</c:v>
                </c:pt>
                <c:pt idx="9">
                  <c:v>165</c:v>
                </c:pt>
                <c:pt idx="10">
                  <c:v>35</c:v>
                </c:pt>
                <c:pt idx="11">
                  <c:v>3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EF4-4B08-8AF7-4BF2EB138138}"/>
            </c:ext>
          </c:extLst>
        </c:ser>
        <c:ser>
          <c:idx val="18"/>
          <c:order val="18"/>
          <c:tx>
            <c:strRef>
              <c:f>'Chart data'!$T$1</c:f>
              <c:strCache>
                <c:ptCount val="1"/>
                <c:pt idx="0">
                  <c:v>Штраф 1 рубль для тестирования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data'!$T$2:$T$28</c:f>
              <c:numCache>
                <c:formatCode>General</c:formatCode>
                <c:ptCount val="27"/>
                <c:pt idx="0">
                  <c:v>2</c:v>
                </c:pt>
                <c:pt idx="6">
                  <c:v>2</c:v>
                </c:pt>
                <c:pt idx="9">
                  <c:v>1</c:v>
                </c:pt>
                <c:pt idx="11">
                  <c:v>1</c:v>
                </c:pt>
                <c:pt idx="14">
                  <c:v>2</c:v>
                </c:pt>
                <c:pt idx="17">
                  <c:v>1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EF4-4B08-8AF7-4BF2EB138138}"/>
            </c:ext>
          </c:extLst>
        </c:ser>
        <c:ser>
          <c:idx val="19"/>
          <c:order val="19"/>
          <c:tx>
            <c:strRef>
              <c:f>'Chart data'!$U$1</c:f>
              <c:strCache>
                <c:ptCount val="1"/>
                <c:pt idx="0">
                  <c:v>Штраф 10 тенге для тестирования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'Chart data'!$A$2:$A$29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'Chart data'!$U$2:$U$28</c:f>
              <c:numCache>
                <c:formatCode>General</c:formatCode>
                <c:ptCount val="27"/>
                <c:pt idx="4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EF4-4B08-8AF7-4BF2EB138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522974776"/>
        <c:axId val="522976536"/>
      </c:barChart>
      <c:catAx>
        <c:axId val="522974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2976536"/>
        <c:crosses val="autoZero"/>
        <c:auto val="1"/>
        <c:lblAlgn val="ctr"/>
        <c:lblOffset val="100"/>
        <c:noMultiLvlLbl val="0"/>
      </c:catAx>
      <c:valAx>
        <c:axId val="5229765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2974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46257519388351"/>
          <c:y val="0"/>
          <c:w val="0.33759409174833122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'Chart data'!$B$32</c:f>
              <c:strCache>
                <c:ptCount val="1"/>
                <c:pt idx="0">
                  <c:v>Не определено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data'!$B$33:$B$59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6D-490F-8A06-C4D6DB1CA27A}"/>
            </c:ext>
          </c:extLst>
        </c:ser>
        <c:ser>
          <c:idx val="1"/>
          <c:order val="1"/>
          <c:tx>
            <c:strRef>
              <c:f>'Chart data'!$C$32</c:f>
              <c:strCache>
                <c:ptCount val="1"/>
                <c:pt idx="0">
                  <c:v>Движение в неположенном месте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data'!$C$33:$C$59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3.4582132564841501E-2</c:v>
                </c:pt>
                <c:pt idx="5">
                  <c:v>6.7243035542747355E-3</c:v>
                </c:pt>
                <c:pt idx="6">
                  <c:v>0.25264169068203651</c:v>
                </c:pt>
                <c:pt idx="7">
                  <c:v>1.921229586935639E-2</c:v>
                </c:pt>
                <c:pt idx="8">
                  <c:v>6.43611911623439E-2</c:v>
                </c:pt>
                <c:pt idx="9">
                  <c:v>2.881844380403458E-3</c:v>
                </c:pt>
                <c:pt idx="10">
                  <c:v>1.9212295869356388E-3</c:v>
                </c:pt>
                <c:pt idx="11">
                  <c:v>0</c:v>
                </c:pt>
                <c:pt idx="12">
                  <c:v>1.9212295869356388E-3</c:v>
                </c:pt>
                <c:pt idx="13">
                  <c:v>3.8424591738712775E-3</c:v>
                </c:pt>
                <c:pt idx="14">
                  <c:v>2.9779058597502402E-2</c:v>
                </c:pt>
                <c:pt idx="15">
                  <c:v>4.6109510086455328E-2</c:v>
                </c:pt>
                <c:pt idx="16">
                  <c:v>5.763688760806916E-3</c:v>
                </c:pt>
                <c:pt idx="17">
                  <c:v>0.12487992315081652</c:v>
                </c:pt>
                <c:pt idx="18">
                  <c:v>0.14409221902017291</c:v>
                </c:pt>
                <c:pt idx="19">
                  <c:v>0.11239193083573487</c:v>
                </c:pt>
                <c:pt idx="20">
                  <c:v>8.1652257444764648E-2</c:v>
                </c:pt>
                <c:pt idx="21">
                  <c:v>4.4188280499519693E-2</c:v>
                </c:pt>
                <c:pt idx="22">
                  <c:v>2.1133525456292025E-2</c:v>
                </c:pt>
                <c:pt idx="23">
                  <c:v>1.9212295869356388E-3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6D-490F-8A06-C4D6DB1CA27A}"/>
            </c:ext>
          </c:extLst>
        </c:ser>
        <c:ser>
          <c:idx val="2"/>
          <c:order val="2"/>
          <c:tx>
            <c:strRef>
              <c:f>'Chart data'!$D$32</c:f>
              <c:strCache>
                <c:ptCount val="1"/>
                <c:pt idx="0">
                  <c:v>Езда вдвоём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data'!$D$33:$D$59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5.7863782963384555E-3</c:v>
                </c:pt>
                <c:pt idx="4">
                  <c:v>2.7034718269778029E-2</c:v>
                </c:pt>
                <c:pt idx="5">
                  <c:v>1.2853348510719028E-2</c:v>
                </c:pt>
                <c:pt idx="6">
                  <c:v>2.7224435590969456E-2</c:v>
                </c:pt>
                <c:pt idx="7">
                  <c:v>3.0070195408840827E-2</c:v>
                </c:pt>
                <c:pt idx="8">
                  <c:v>2.5137545057863784E-2</c:v>
                </c:pt>
                <c:pt idx="9">
                  <c:v>1.1383039271485486E-2</c:v>
                </c:pt>
                <c:pt idx="10">
                  <c:v>2.1343198634035288E-3</c:v>
                </c:pt>
                <c:pt idx="11">
                  <c:v>1.8971732119142478E-4</c:v>
                </c:pt>
                <c:pt idx="12">
                  <c:v>2.8457598178713718E-4</c:v>
                </c:pt>
                <c:pt idx="13">
                  <c:v>0</c:v>
                </c:pt>
                <c:pt idx="14">
                  <c:v>3.5002845759817873E-2</c:v>
                </c:pt>
                <c:pt idx="15">
                  <c:v>8.2953898690950489E-2</c:v>
                </c:pt>
                <c:pt idx="16">
                  <c:v>0.18981217985202048</c:v>
                </c:pt>
                <c:pt idx="17">
                  <c:v>0.18910073989755263</c:v>
                </c:pt>
                <c:pt idx="18">
                  <c:v>0.16306203756402959</c:v>
                </c:pt>
                <c:pt idx="19">
                  <c:v>9.8415860368051597E-2</c:v>
                </c:pt>
                <c:pt idx="20">
                  <c:v>6.3270726617340164E-2</c:v>
                </c:pt>
                <c:pt idx="21">
                  <c:v>2.7082147600075886E-2</c:v>
                </c:pt>
                <c:pt idx="22">
                  <c:v>7.7309808385505599E-3</c:v>
                </c:pt>
                <c:pt idx="23">
                  <c:v>6.6401062416998667E-4</c:v>
                </c:pt>
                <c:pt idx="24">
                  <c:v>4.2686397268070576E-4</c:v>
                </c:pt>
                <c:pt idx="25">
                  <c:v>2.3714665148928096E-4</c:v>
                </c:pt>
                <c:pt idx="26">
                  <c:v>1.4228799089356859E-4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6D-490F-8A06-C4D6DB1CA27A}"/>
            </c:ext>
          </c:extLst>
        </c:ser>
        <c:ser>
          <c:idx val="3"/>
          <c:order val="3"/>
          <c:tx>
            <c:strRef>
              <c:f>'Chart data'!$E$32</c:f>
              <c:strCache>
                <c:ptCount val="1"/>
                <c:pt idx="0">
                  <c:v>Езда совместно (вдвоем) с несовершеннолетним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data'!$E$33:$E$59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3.9733090688504703E-2</c:v>
                </c:pt>
                <c:pt idx="15">
                  <c:v>0.14346375492872307</c:v>
                </c:pt>
                <c:pt idx="16">
                  <c:v>0.20624810433727631</c:v>
                </c:pt>
                <c:pt idx="17">
                  <c:v>0.23748862602365786</c:v>
                </c:pt>
                <c:pt idx="18">
                  <c:v>0.16924476797088261</c:v>
                </c:pt>
                <c:pt idx="19">
                  <c:v>0.11343645738550197</c:v>
                </c:pt>
                <c:pt idx="20">
                  <c:v>5.8234758871701549E-2</c:v>
                </c:pt>
                <c:pt idx="21">
                  <c:v>2.032150439793752E-2</c:v>
                </c:pt>
                <c:pt idx="22">
                  <c:v>7.2793448589626936E-3</c:v>
                </c:pt>
                <c:pt idx="23">
                  <c:v>1.5165301789505611E-3</c:v>
                </c:pt>
                <c:pt idx="24">
                  <c:v>1.5165301789505611E-3</c:v>
                </c:pt>
                <c:pt idx="25">
                  <c:v>9.099181073703367E-4</c:v>
                </c:pt>
                <c:pt idx="26">
                  <c:v>6.0661207158022447E-4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6D-490F-8A06-C4D6DB1CA27A}"/>
            </c:ext>
          </c:extLst>
        </c:ser>
        <c:ser>
          <c:idx val="4"/>
          <c:order val="4"/>
          <c:tx>
            <c:strRef>
              <c:f>'Chart data'!$F$32</c:f>
              <c:strCache>
                <c:ptCount val="1"/>
                <c:pt idx="0">
                  <c:v>Закрашивание, порча, отклеивание оклейки и номерных знаков СИМ, размещенных на СИМ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data'!$F$33:$F$59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0.58823529411764708</c:v>
                </c:pt>
                <c:pt idx="18">
                  <c:v>0.14705882352941177</c:v>
                </c:pt>
                <c:pt idx="19">
                  <c:v>5.8823529411764705E-2</c:v>
                </c:pt>
                <c:pt idx="20">
                  <c:v>0.11764705882352941</c:v>
                </c:pt>
                <c:pt idx="21">
                  <c:v>2.9411764705882353E-2</c:v>
                </c:pt>
                <c:pt idx="22">
                  <c:v>5.8823529411764705E-2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6D-490F-8A06-C4D6DB1CA27A}"/>
            </c:ext>
          </c:extLst>
        </c:ser>
        <c:ser>
          <c:idx val="5"/>
          <c:order val="5"/>
          <c:tx>
            <c:strRef>
              <c:f>'Chart data'!$G$32</c:f>
              <c:strCache>
                <c:ptCount val="1"/>
                <c:pt idx="0">
                  <c:v>Использование и оставление СИМ на территории/местности (леса, поля, просеки, луга, болота, пруды и другие водоемы), непредназначенной для совершения поездок на СИМ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data'!$G$33:$G$59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0.60215053763440862</c:v>
                </c:pt>
                <c:pt idx="23">
                  <c:v>0.34408602150537637</c:v>
                </c:pt>
                <c:pt idx="24">
                  <c:v>0</c:v>
                </c:pt>
                <c:pt idx="25">
                  <c:v>4.3010752688172046E-2</c:v>
                </c:pt>
                <c:pt idx="26">
                  <c:v>1.0752688172043012E-2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6D-490F-8A06-C4D6DB1CA27A}"/>
            </c:ext>
          </c:extLst>
        </c:ser>
        <c:ser>
          <c:idx val="6"/>
          <c:order val="6"/>
          <c:tx>
            <c:strRef>
              <c:f>'Chart data'!$H$32</c:f>
              <c:strCache>
                <c:ptCount val="1"/>
                <c:pt idx="0">
                  <c:v>Неизвещение о ДТП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data'!$H$33:$H$59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6D-490F-8A06-C4D6DB1CA27A}"/>
            </c:ext>
          </c:extLst>
        </c:ser>
        <c:ser>
          <c:idx val="7"/>
          <c:order val="7"/>
          <c:tx>
            <c:strRef>
              <c:f>'Chart data'!$I$32</c:f>
              <c:strCache>
                <c:ptCount val="1"/>
                <c:pt idx="0">
                  <c:v>Неправильная парковка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data'!$I$33:$I$59</c:f>
              <c:numCache>
                <c:formatCode>0.00%</c:formatCode>
                <c:ptCount val="27"/>
                <c:pt idx="0">
                  <c:v>0</c:v>
                </c:pt>
                <c:pt idx="1">
                  <c:v>4.7141459735300706E-5</c:v>
                </c:pt>
                <c:pt idx="2">
                  <c:v>1.7678047400737764E-4</c:v>
                </c:pt>
                <c:pt idx="3">
                  <c:v>5.1266337462139511E-3</c:v>
                </c:pt>
                <c:pt idx="4">
                  <c:v>2.2427549469069309E-2</c:v>
                </c:pt>
                <c:pt idx="5">
                  <c:v>1.0217911397626428E-2</c:v>
                </c:pt>
                <c:pt idx="6">
                  <c:v>0.11628619580205302</c:v>
                </c:pt>
                <c:pt idx="7">
                  <c:v>0.11625083970725153</c:v>
                </c:pt>
                <c:pt idx="8">
                  <c:v>6.3193126775170597E-2</c:v>
                </c:pt>
                <c:pt idx="9">
                  <c:v>3.8467431144005373E-2</c:v>
                </c:pt>
                <c:pt idx="10">
                  <c:v>9.2279407431851129E-3</c:v>
                </c:pt>
                <c:pt idx="11">
                  <c:v>3.8891704281623083E-4</c:v>
                </c:pt>
                <c:pt idx="12">
                  <c:v>2.7106339347797903E-4</c:v>
                </c:pt>
                <c:pt idx="13">
                  <c:v>1.0606828440442658E-4</c:v>
                </c:pt>
                <c:pt idx="14">
                  <c:v>3.567429965468881E-2</c:v>
                </c:pt>
                <c:pt idx="15">
                  <c:v>5.6027624895404887E-2</c:v>
                </c:pt>
                <c:pt idx="16">
                  <c:v>6.6858375269590223E-2</c:v>
                </c:pt>
                <c:pt idx="17">
                  <c:v>8.4041437343107331E-2</c:v>
                </c:pt>
                <c:pt idx="18">
                  <c:v>0.12224959045856855</c:v>
                </c:pt>
                <c:pt idx="19">
                  <c:v>9.7936382600087218E-2</c:v>
                </c:pt>
                <c:pt idx="20">
                  <c:v>7.114824810550259E-2</c:v>
                </c:pt>
                <c:pt idx="21">
                  <c:v>4.3110864927932493E-2</c:v>
                </c:pt>
                <c:pt idx="22">
                  <c:v>2.2427549469069309E-2</c:v>
                </c:pt>
                <c:pt idx="23">
                  <c:v>9.0629456341115595E-3</c:v>
                </c:pt>
                <c:pt idx="24">
                  <c:v>3.6181070346843289E-3</c:v>
                </c:pt>
                <c:pt idx="25">
                  <c:v>4.4902240397873923E-3</c:v>
                </c:pt>
                <c:pt idx="26">
                  <c:v>1.1667511284486924E-3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6D-490F-8A06-C4D6DB1CA27A}"/>
            </c:ext>
          </c:extLst>
        </c:ser>
        <c:ser>
          <c:idx val="8"/>
          <c:order val="8"/>
          <c:tx>
            <c:strRef>
              <c:f>'Chart data'!$J$32</c:f>
              <c:strCache>
                <c:ptCount val="1"/>
                <c:pt idx="0">
                  <c:v>Неправильная парковка, повторное нарушение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data'!$J$33:$J$59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0.64393939393939392</c:v>
                </c:pt>
                <c:pt idx="26">
                  <c:v>0.35606060606060608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6D-490F-8A06-C4D6DB1CA27A}"/>
            </c:ext>
          </c:extLst>
        </c:ser>
        <c:ser>
          <c:idx val="9"/>
          <c:order val="9"/>
          <c:tx>
            <c:strRef>
              <c:f>'Chart data'!$K$32</c:f>
              <c:strCache>
                <c:ptCount val="1"/>
                <c:pt idx="0">
                  <c:v>Непрекращение использования СИМ после ДТП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data'!$K$33:$K$59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0.25</c:v>
                </c:pt>
                <c:pt idx="15">
                  <c:v>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F6D-490F-8A06-C4D6DB1CA27A}"/>
            </c:ext>
          </c:extLst>
        </c:ser>
        <c:ser>
          <c:idx val="10"/>
          <c:order val="10"/>
          <c:tx>
            <c:strRef>
              <c:f>'Chart data'!$L$32</c:f>
              <c:strCache>
                <c:ptCount val="1"/>
                <c:pt idx="0">
                  <c:v>Неспешивание на пешеходном переходе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data'!$L$33:$L$59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9.2972381733661472E-3</c:v>
                </c:pt>
                <c:pt idx="8">
                  <c:v>1.9004648619086684E-2</c:v>
                </c:pt>
                <c:pt idx="9">
                  <c:v>6.713152857533497E-2</c:v>
                </c:pt>
                <c:pt idx="10">
                  <c:v>3.3634126333059886E-2</c:v>
                </c:pt>
                <c:pt idx="11">
                  <c:v>2.7344818156959256E-4</c:v>
                </c:pt>
                <c:pt idx="12">
                  <c:v>4.5802570412906756E-3</c:v>
                </c:pt>
                <c:pt idx="13">
                  <c:v>4.7853431774678697E-4</c:v>
                </c:pt>
                <c:pt idx="14">
                  <c:v>4.9767569045665844E-2</c:v>
                </c:pt>
                <c:pt idx="15">
                  <c:v>7.8753076292042659E-2</c:v>
                </c:pt>
                <c:pt idx="16">
                  <c:v>0.20399234345091605</c:v>
                </c:pt>
                <c:pt idx="17">
                  <c:v>0.18888433141919606</c:v>
                </c:pt>
                <c:pt idx="18">
                  <c:v>0.13665572873940388</c:v>
                </c:pt>
                <c:pt idx="19">
                  <c:v>0.12462400875034181</c:v>
                </c:pt>
                <c:pt idx="20">
                  <c:v>4.3409898824172823E-2</c:v>
                </c:pt>
                <c:pt idx="21">
                  <c:v>2.3653267705769757E-2</c:v>
                </c:pt>
                <c:pt idx="22">
                  <c:v>4.7853431774678695E-3</c:v>
                </c:pt>
                <c:pt idx="23">
                  <c:v>2.7344818156959256E-4</c:v>
                </c:pt>
                <c:pt idx="24">
                  <c:v>5.742411812961444E-3</c:v>
                </c:pt>
                <c:pt idx="25">
                  <c:v>4.9904293136450641E-3</c:v>
                </c:pt>
                <c:pt idx="26">
                  <c:v>6.836204539239814E-5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F6D-490F-8A06-C4D6DB1CA27A}"/>
            </c:ext>
          </c:extLst>
        </c:ser>
        <c:ser>
          <c:idx val="11"/>
          <c:order val="11"/>
          <c:tx>
            <c:strRef>
              <c:f>'Chart data'!$M$32</c:f>
              <c:strCache>
                <c:ptCount val="1"/>
                <c:pt idx="0">
                  <c:v>Нецелевое использование СИМ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data'!$M$33:$M$59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0.1111111111111111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0.22222222222222221</c:v>
                </c:pt>
                <c:pt idx="9">
                  <c:v>0.1111111111111111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0.22222222222222221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0.33333333333333331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F6D-490F-8A06-C4D6DB1CA27A}"/>
            </c:ext>
          </c:extLst>
        </c:ser>
        <c:ser>
          <c:idx val="12"/>
          <c:order val="12"/>
          <c:tx>
            <c:strRef>
              <c:f>'Chart data'!$N$32</c:f>
              <c:strCache>
                <c:ptCount val="1"/>
                <c:pt idx="0">
                  <c:v>Передача управления несовершеннолетнему лицу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data'!$N$33:$N$59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0.45454545454545453</c:v>
                </c:pt>
                <c:pt idx="23">
                  <c:v>0.18181818181818182</c:v>
                </c:pt>
                <c:pt idx="24">
                  <c:v>0.24242424242424243</c:v>
                </c:pt>
                <c:pt idx="25">
                  <c:v>3.0303030303030304E-2</c:v>
                </c:pt>
                <c:pt idx="26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F6D-490F-8A06-C4D6DB1CA27A}"/>
            </c:ext>
          </c:extLst>
        </c:ser>
        <c:ser>
          <c:idx val="13"/>
          <c:order val="13"/>
          <c:tx>
            <c:strRef>
              <c:f>'Chart data'!$O$32</c:f>
              <c:strCache>
                <c:ptCount val="1"/>
                <c:pt idx="0">
                  <c:v>Порча самоката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data'!$O$33:$O$59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0.66666666666666663</c:v>
                </c:pt>
                <c:pt idx="5">
                  <c:v>0.14583333333333334</c:v>
                </c:pt>
                <c:pt idx="6">
                  <c:v>0.125</c:v>
                </c:pt>
                <c:pt idx="7">
                  <c:v>6.25E-2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F6D-490F-8A06-C4D6DB1CA27A}"/>
            </c:ext>
          </c:extLst>
        </c:ser>
        <c:ser>
          <c:idx val="14"/>
          <c:order val="14"/>
          <c:tx>
            <c:strRef>
              <c:f>'Chart data'!$P$32</c:f>
              <c:strCache>
                <c:ptCount val="1"/>
                <c:pt idx="0">
                  <c:v>Порча СИМ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data'!$P$33:$P$59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1.2195121951219513E-2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8.5365853658536592E-2</c:v>
                </c:pt>
                <c:pt idx="15">
                  <c:v>7.3170731707317069E-2</c:v>
                </c:pt>
                <c:pt idx="16">
                  <c:v>0.10975609756097561</c:v>
                </c:pt>
                <c:pt idx="17">
                  <c:v>0.3048780487804878</c:v>
                </c:pt>
                <c:pt idx="18">
                  <c:v>6.097560975609756E-2</c:v>
                </c:pt>
                <c:pt idx="19">
                  <c:v>6.097560975609756E-2</c:v>
                </c:pt>
                <c:pt idx="20">
                  <c:v>0.14634146341463414</c:v>
                </c:pt>
                <c:pt idx="21">
                  <c:v>7.3170731707317069E-2</c:v>
                </c:pt>
                <c:pt idx="22">
                  <c:v>1.2195121951219513E-2</c:v>
                </c:pt>
                <c:pt idx="23">
                  <c:v>3.6585365853658534E-2</c:v>
                </c:pt>
                <c:pt idx="24">
                  <c:v>2.4390243902439025E-2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F6D-490F-8A06-C4D6DB1CA27A}"/>
            </c:ext>
          </c:extLst>
        </c:ser>
        <c:ser>
          <c:idx val="15"/>
          <c:order val="15"/>
          <c:tx>
            <c:strRef>
              <c:f>'Chart data'!$Q$32</c:f>
              <c:strCache>
                <c:ptCount val="1"/>
                <c:pt idx="0">
                  <c:v>Предоставление недостоверных сведений о возрасте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data'!$Q$33:$Q$59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0.61538461538461542</c:v>
                </c:pt>
                <c:pt idx="23">
                  <c:v>0.15384615384615385</c:v>
                </c:pt>
                <c:pt idx="24">
                  <c:v>0</c:v>
                </c:pt>
                <c:pt idx="25">
                  <c:v>0.23076923076923078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F6D-490F-8A06-C4D6DB1CA27A}"/>
            </c:ext>
          </c:extLst>
        </c:ser>
        <c:ser>
          <c:idx val="16"/>
          <c:order val="16"/>
          <c:tx>
            <c:strRef>
              <c:f>'Chart data'!$R$32</c:f>
              <c:strCache>
                <c:ptCount val="1"/>
                <c:pt idx="0">
                  <c:v>Предоставление недостоверных сведений о возрасте и передача управления несовершеннолетнему лицу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data'!$R$33:$R$59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8.6521129581413975E-2</c:v>
                </c:pt>
                <c:pt idx="15">
                  <c:v>0.18165431604245943</c:v>
                </c:pt>
                <c:pt idx="16">
                  <c:v>0.27538553975565794</c:v>
                </c:pt>
                <c:pt idx="17">
                  <c:v>0.18726216703384738</c:v>
                </c:pt>
                <c:pt idx="18">
                  <c:v>9.9739635489685563E-2</c:v>
                </c:pt>
                <c:pt idx="19">
                  <c:v>7.8710194271980768E-2</c:v>
                </c:pt>
                <c:pt idx="20">
                  <c:v>6.4890847186060488E-2</c:v>
                </c:pt>
                <c:pt idx="21">
                  <c:v>2.4634488283597034E-2</c:v>
                </c:pt>
                <c:pt idx="22">
                  <c:v>1.2016823552974164E-3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F6D-490F-8A06-C4D6DB1CA27A}"/>
            </c:ext>
          </c:extLst>
        </c:ser>
        <c:ser>
          <c:idx val="17"/>
          <c:order val="17"/>
          <c:tx>
            <c:strRef>
              <c:f>'Chart data'!$S$32</c:f>
              <c:strCache>
                <c:ptCount val="1"/>
                <c:pt idx="0">
                  <c:v>Управление СИМ несовершеннолетним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data'!$S$33:$S$59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5.2910052910052907E-3</c:v>
                </c:pt>
                <c:pt idx="8">
                  <c:v>0.4417989417989418</c:v>
                </c:pt>
                <c:pt idx="9">
                  <c:v>0.43650793650793651</c:v>
                </c:pt>
                <c:pt idx="10">
                  <c:v>9.2592592592592587E-2</c:v>
                </c:pt>
                <c:pt idx="11">
                  <c:v>7.9365079365079361E-3</c:v>
                </c:pt>
                <c:pt idx="12">
                  <c:v>1.5873015873015872E-2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F6D-490F-8A06-C4D6DB1CA27A}"/>
            </c:ext>
          </c:extLst>
        </c:ser>
        <c:ser>
          <c:idx val="18"/>
          <c:order val="18"/>
          <c:tx>
            <c:strRef>
              <c:f>'Chart data'!$T$32</c:f>
              <c:strCache>
                <c:ptCount val="1"/>
                <c:pt idx="0">
                  <c:v>Штраф 1 рубль для тестирования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data'!$T$33:$T$59</c:f>
              <c:numCache>
                <c:formatCode>0.00%</c:formatCode>
                <c:ptCount val="27"/>
                <c:pt idx="0">
                  <c:v>0.18181818181818182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0.18181818181818182</c:v>
                </c:pt>
                <c:pt idx="7">
                  <c:v>0</c:v>
                </c:pt>
                <c:pt idx="8">
                  <c:v>0</c:v>
                </c:pt>
                <c:pt idx="9">
                  <c:v>9.0909090909090912E-2</c:v>
                </c:pt>
                <c:pt idx="10">
                  <c:v>0</c:v>
                </c:pt>
                <c:pt idx="11">
                  <c:v>9.0909090909090912E-2</c:v>
                </c:pt>
                <c:pt idx="12">
                  <c:v>0</c:v>
                </c:pt>
                <c:pt idx="13">
                  <c:v>0</c:v>
                </c:pt>
                <c:pt idx="14">
                  <c:v>0.18181818181818182</c:v>
                </c:pt>
                <c:pt idx="15">
                  <c:v>0</c:v>
                </c:pt>
                <c:pt idx="16">
                  <c:v>0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0.18181818181818182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F6D-490F-8A06-C4D6DB1CA27A}"/>
            </c:ext>
          </c:extLst>
        </c:ser>
        <c:ser>
          <c:idx val="19"/>
          <c:order val="19"/>
          <c:tx>
            <c:strRef>
              <c:f>'Chart data'!$U$32</c:f>
              <c:strCache>
                <c:ptCount val="1"/>
                <c:pt idx="0">
                  <c:v>Штраф 10 тенге для тестирования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'Chart data'!$A$33:$A$59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'Chart data'!$U$33:$U$59</c:f>
              <c:numCache>
                <c:formatCode>0.00%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F6D-490F-8A06-C4D6DB1CA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7313016"/>
        <c:axId val="617317240"/>
      </c:barChart>
      <c:dateAx>
        <c:axId val="617313016"/>
        <c:scaling>
          <c:orientation val="minMax"/>
        </c:scaling>
        <c:delete val="0"/>
        <c:axPos val="b"/>
        <c:numFmt formatCode="dd\.mm\.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7240"/>
        <c:crosses val="autoZero"/>
        <c:auto val="1"/>
        <c:lblOffset val="100"/>
        <c:baseTimeUnit val="months"/>
      </c:dateAx>
      <c:valAx>
        <c:axId val="617317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1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Лист2!$AE$17</c:f>
              <c:strCache>
                <c:ptCount val="1"/>
                <c:pt idx="0">
                  <c:v>Не определено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Лист2!$AF$17:$BG$17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1.7921146953405018E-3</c:v>
                </c:pt>
                <c:pt idx="26">
                  <c:v>0</c:v>
                </c:pt>
                <c:pt idx="27">
                  <c:v>7.649061077752706E-6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4-4BD0-9DE4-24071A82DC26}"/>
            </c:ext>
          </c:extLst>
        </c:ser>
        <c:ser>
          <c:idx val="1"/>
          <c:order val="1"/>
          <c:tx>
            <c:strRef>
              <c:f>Лист2!$AE$18</c:f>
              <c:strCache>
                <c:ptCount val="1"/>
                <c:pt idx="0">
                  <c:v>Неизвещение о ДТП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Лист2!$AF$18:$BG$18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6.7888662593346914E-5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7.649061077752706E-6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4-4BD0-9DE4-24071A82DC26}"/>
            </c:ext>
          </c:extLst>
        </c:ser>
        <c:ser>
          <c:idx val="2"/>
          <c:order val="2"/>
          <c:tx>
            <c:strRef>
              <c:f>Лист2!$AE$19</c:f>
              <c:strCache>
                <c:ptCount val="1"/>
                <c:pt idx="0">
                  <c:v>Непрекращение использования СИМ после ДТП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Лист2!$AF$19:$BG$19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1.7921146953405018E-3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1.9619383951343929E-4</c:v>
                </c:pt>
                <c:pt idx="15">
                  <c:v>1.1001100110011001E-4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7.6335877862595422E-5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3.0596244311010824E-5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04-4BD0-9DE4-24071A82DC26}"/>
            </c:ext>
          </c:extLst>
        </c:ser>
        <c:ser>
          <c:idx val="3"/>
          <c:order val="3"/>
          <c:tx>
            <c:strRef>
              <c:f>Лист2!$AE$20</c:f>
              <c:strCache>
                <c:ptCount val="1"/>
                <c:pt idx="0">
                  <c:v>Нецелевое использование СИМ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Лист2!$AF$20:$BG$20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3.9323633503735744E-4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3.1215857655689092E-4</c:v>
                </c:pt>
                <c:pt idx="9">
                  <c:v>2.1477663230240549E-4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1.2676681244850097E-4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1.3198416190057193E-3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6.8841549699774347E-5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04-4BD0-9DE4-24071A82DC26}"/>
            </c:ext>
          </c:extLst>
        </c:ser>
        <c:ser>
          <c:idx val="4"/>
          <c:order val="4"/>
          <c:tx>
            <c:strRef>
              <c:f>Лист2!$AE$21</c:f>
              <c:strCache>
                <c:ptCount val="1"/>
                <c:pt idx="0">
                  <c:v>Тестовые штрафы</c:v>
                </c:pt>
              </c:strCache>
            </c:strRef>
          </c:tx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Лист2!$AF$21:$BG$21</c:f>
              <c:numCache>
                <c:formatCode>0.0%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3.9323633503735744E-4</c:v>
                </c:pt>
                <c:pt idx="5">
                  <c:v>0</c:v>
                </c:pt>
                <c:pt idx="6">
                  <c:v>1.8670649738610905E-4</c:v>
                </c:pt>
                <c:pt idx="7">
                  <c:v>0</c:v>
                </c:pt>
                <c:pt idx="8">
                  <c:v>0</c:v>
                </c:pt>
                <c:pt idx="9">
                  <c:v>2.1477663230240549E-4</c:v>
                </c:pt>
                <c:pt idx="10">
                  <c:v>0</c:v>
                </c:pt>
                <c:pt idx="11">
                  <c:v>2.2222222222222223E-2</c:v>
                </c:pt>
                <c:pt idx="12">
                  <c:v>9.5238095238095247E-3</c:v>
                </c:pt>
                <c:pt idx="13">
                  <c:v>0</c:v>
                </c:pt>
                <c:pt idx="14">
                  <c:v>3.9238767902687857E-4</c:v>
                </c:pt>
                <c:pt idx="15">
                  <c:v>0</c:v>
                </c:pt>
                <c:pt idx="16">
                  <c:v>0</c:v>
                </c:pt>
                <c:pt idx="17">
                  <c:v>6.3383406224250485E-5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3.5842293906810036E-3</c:v>
                </c:pt>
                <c:pt idx="26">
                  <c:v>0</c:v>
                </c:pt>
                <c:pt idx="27">
                  <c:v>9.9437794010785171E-5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04-4BD0-9DE4-24071A82DC26}"/>
            </c:ext>
          </c:extLst>
        </c:ser>
        <c:ser>
          <c:idx val="5"/>
          <c:order val="5"/>
          <c:tx>
            <c:strRef>
              <c:f>Лист2!$AE$22</c:f>
              <c:strCache>
                <c:ptCount val="1"/>
                <c:pt idx="0">
                  <c:v>Использование и оставление СИМ вне разрешённых зон (леса, поля, водоёмы)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Лист2!$AF$22:$BG$22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2.4637043554773426E-2</c:v>
                </c:pt>
                <c:pt idx="23">
                  <c:v>3.8231780167264036E-2</c:v>
                </c:pt>
                <c:pt idx="24">
                  <c:v>0</c:v>
                </c:pt>
                <c:pt idx="25">
                  <c:v>7.1684587813620072E-3</c:v>
                </c:pt>
                <c:pt idx="26">
                  <c:v>6.41025641025641E-3</c:v>
                </c:pt>
                <c:pt idx="27">
                  <c:v>7.1136268023100162E-4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04-4BD0-9DE4-24071A82DC26}"/>
            </c:ext>
          </c:extLst>
        </c:ser>
        <c:ser>
          <c:idx val="6"/>
          <c:order val="6"/>
          <c:tx>
            <c:strRef>
              <c:f>Лист2!$AE$23</c:f>
              <c:strCache>
                <c:ptCount val="1"/>
                <c:pt idx="0">
                  <c:v>Порча / повреждение СИМ и его маркировки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Лист2!$AF$23:$BG$23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1.2583562721195438E-2</c:v>
                </c:pt>
                <c:pt idx="5">
                  <c:v>6.076388888888889E-3</c:v>
                </c:pt>
                <c:pt idx="6">
                  <c:v>5.6011949215832709E-4</c:v>
                </c:pt>
                <c:pt idx="7">
                  <c:v>2.8145229383619476E-4</c:v>
                </c:pt>
                <c:pt idx="8">
                  <c:v>1.5607928827844546E-4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1.3733568765940749E-3</c:v>
                </c:pt>
                <c:pt idx="15">
                  <c:v>6.6006600660066007E-4</c:v>
                </c:pt>
                <c:pt idx="16">
                  <c:v>6.1099796334012225E-4</c:v>
                </c:pt>
                <c:pt idx="17">
                  <c:v>2.8522532800912721E-3</c:v>
                </c:pt>
                <c:pt idx="18">
                  <c:v>5.8733701397862095E-4</c:v>
                </c:pt>
                <c:pt idx="19">
                  <c:v>5.3435114503816797E-4</c:v>
                </c:pt>
                <c:pt idx="20">
                  <c:v>1.8555027252696278E-3</c:v>
                </c:pt>
                <c:pt idx="21">
                  <c:v>1.4528850145288502E-3</c:v>
                </c:pt>
                <c:pt idx="22">
                  <c:v>1.3198416190057193E-3</c:v>
                </c:pt>
                <c:pt idx="23">
                  <c:v>3.5842293906810036E-3</c:v>
                </c:pt>
                <c:pt idx="24">
                  <c:v>4.8192771084337354E-3</c:v>
                </c:pt>
                <c:pt idx="25">
                  <c:v>0</c:v>
                </c:pt>
                <c:pt idx="26">
                  <c:v>0</c:v>
                </c:pt>
                <c:pt idx="27">
                  <c:v>1.2544460167514438E-3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04-4BD0-9DE4-24071A82DC26}"/>
            </c:ext>
          </c:extLst>
        </c:ser>
        <c:ser>
          <c:idx val="7"/>
          <c:order val="7"/>
          <c:tx>
            <c:strRef>
              <c:f>Лист2!$AE$24</c:f>
              <c:strCache>
                <c:ptCount val="1"/>
                <c:pt idx="0">
                  <c:v>Движение в неположенном месте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Лист2!$AF$24:$BG$24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1.4156508061344868E-2</c:v>
                </c:pt>
                <c:pt idx="5">
                  <c:v>6.076388888888889E-3</c:v>
                </c:pt>
                <c:pt idx="6">
                  <c:v>2.4551904406273337E-2</c:v>
                </c:pt>
                <c:pt idx="7">
                  <c:v>1.8763486255746317E-3</c:v>
                </c:pt>
                <c:pt idx="8">
                  <c:v>1.0457312314655845E-2</c:v>
                </c:pt>
                <c:pt idx="9">
                  <c:v>6.4432989690721648E-4</c:v>
                </c:pt>
                <c:pt idx="10">
                  <c:v>1.4738393515106854E-3</c:v>
                </c:pt>
                <c:pt idx="11">
                  <c:v>0</c:v>
                </c:pt>
                <c:pt idx="12">
                  <c:v>1.9047619047619049E-2</c:v>
                </c:pt>
                <c:pt idx="13">
                  <c:v>0.2</c:v>
                </c:pt>
                <c:pt idx="14">
                  <c:v>6.0820090249166176E-3</c:v>
                </c:pt>
                <c:pt idx="15">
                  <c:v>5.2805280528052806E-3</c:v>
                </c:pt>
                <c:pt idx="16">
                  <c:v>4.0733197556008148E-4</c:v>
                </c:pt>
                <c:pt idx="17">
                  <c:v>8.2398428091525634E-3</c:v>
                </c:pt>
                <c:pt idx="18">
                  <c:v>8.8100552096793145E-3</c:v>
                </c:pt>
                <c:pt idx="19">
                  <c:v>8.9312977099236645E-3</c:v>
                </c:pt>
                <c:pt idx="20">
                  <c:v>9.8573582279948974E-3</c:v>
                </c:pt>
                <c:pt idx="21">
                  <c:v>9.5475300954753015E-3</c:v>
                </c:pt>
                <c:pt idx="22">
                  <c:v>9.6788385393752757E-3</c:v>
                </c:pt>
                <c:pt idx="23">
                  <c:v>2.3894862604540022E-3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7.9626725819405674E-3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04-4BD0-9DE4-24071A82DC26}"/>
            </c:ext>
          </c:extLst>
        </c:ser>
        <c:ser>
          <c:idx val="8"/>
          <c:order val="8"/>
          <c:tx>
            <c:strRef>
              <c:f>Лист2!$AE$25</c:f>
              <c:strCache>
                <c:ptCount val="1"/>
                <c:pt idx="0">
                  <c:v>Нарушения, связанные с несовершеннолетними водителями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Лист2!$AF$25:$BG$25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1.8763486255746317E-4</c:v>
                </c:pt>
                <c:pt idx="8">
                  <c:v>2.6065241142500389E-2</c:v>
                </c:pt>
                <c:pt idx="9">
                  <c:v>3.5438144329896906E-2</c:v>
                </c:pt>
                <c:pt idx="10">
                  <c:v>2.5792188651436992E-2</c:v>
                </c:pt>
                <c:pt idx="11">
                  <c:v>6.6666666666666666E-2</c:v>
                </c:pt>
                <c:pt idx="12">
                  <c:v>5.7142857142857141E-2</c:v>
                </c:pt>
                <c:pt idx="13">
                  <c:v>0</c:v>
                </c:pt>
                <c:pt idx="14">
                  <c:v>8.4755738669805764E-2</c:v>
                </c:pt>
                <c:pt idx="15">
                  <c:v>9.9779977997799779E-2</c:v>
                </c:pt>
                <c:pt idx="16">
                  <c:v>9.3346911065852009E-2</c:v>
                </c:pt>
                <c:pt idx="17">
                  <c:v>5.9263484819674209E-2</c:v>
                </c:pt>
                <c:pt idx="18">
                  <c:v>2.9249383296135321E-2</c:v>
                </c:pt>
                <c:pt idx="19">
                  <c:v>0.03</c:v>
                </c:pt>
                <c:pt idx="20">
                  <c:v>3.7573930186709958E-2</c:v>
                </c:pt>
                <c:pt idx="21">
                  <c:v>2.5529265255292654E-2</c:v>
                </c:pt>
                <c:pt idx="22">
                  <c:v>1.2758468983721953E-2</c:v>
                </c:pt>
                <c:pt idx="23">
                  <c:v>9.557945041816009E-3</c:v>
                </c:pt>
                <c:pt idx="24">
                  <c:v>1.9277108433734941E-2</c:v>
                </c:pt>
                <c:pt idx="25">
                  <c:v>7.1684587813620072E-3</c:v>
                </c:pt>
                <c:pt idx="26">
                  <c:v>1.9230769230769232E-2</c:v>
                </c:pt>
                <c:pt idx="27">
                  <c:v>4.1434963858186409E-2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04-4BD0-9DE4-24071A82DC26}"/>
            </c:ext>
          </c:extLst>
        </c:ser>
        <c:ser>
          <c:idx val="9"/>
          <c:order val="9"/>
          <c:tx>
            <c:strRef>
              <c:f>Лист2!$AE$26</c:f>
              <c:strCache>
                <c:ptCount val="1"/>
                <c:pt idx="0">
                  <c:v>Неспешивание на пешеходном переходе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Лист2!$AF$26:$BG$26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1.2759170653907496E-2</c:v>
                </c:pt>
                <c:pt idx="8">
                  <c:v>4.3390042141407834E-2</c:v>
                </c:pt>
                <c:pt idx="9">
                  <c:v>0.2109106529209622</c:v>
                </c:pt>
                <c:pt idx="10">
                  <c:v>0.36256448047162859</c:v>
                </c:pt>
                <c:pt idx="11">
                  <c:v>8.8888888888888892E-2</c:v>
                </c:pt>
                <c:pt idx="12">
                  <c:v>0.63809523809523805</c:v>
                </c:pt>
                <c:pt idx="13">
                  <c:v>0.35</c:v>
                </c:pt>
                <c:pt idx="14">
                  <c:v>0.14282911516578378</c:v>
                </c:pt>
                <c:pt idx="15">
                  <c:v>0.12673267326732673</c:v>
                </c:pt>
                <c:pt idx="16">
                  <c:v>0.20257976917854717</c:v>
                </c:pt>
                <c:pt idx="17">
                  <c:v>0.1751283513976041</c:v>
                </c:pt>
                <c:pt idx="18">
                  <c:v>0.11740866909432632</c:v>
                </c:pt>
                <c:pt idx="19">
                  <c:v>0.13916030534351145</c:v>
                </c:pt>
                <c:pt idx="20">
                  <c:v>7.3640264409138345E-2</c:v>
                </c:pt>
                <c:pt idx="21">
                  <c:v>7.1814030718140312E-2</c:v>
                </c:pt>
                <c:pt idx="22">
                  <c:v>3.0796304443466784E-2</c:v>
                </c:pt>
                <c:pt idx="23">
                  <c:v>4.7789725209080045E-3</c:v>
                </c:pt>
                <c:pt idx="24">
                  <c:v>0.20240963855421687</c:v>
                </c:pt>
                <c:pt idx="25">
                  <c:v>0.13082437275985664</c:v>
                </c:pt>
                <c:pt idx="26">
                  <c:v>6.41025641025641E-3</c:v>
                </c:pt>
                <c:pt idx="27">
                  <c:v>0.11189046544536659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04-4BD0-9DE4-24071A82DC26}"/>
            </c:ext>
          </c:extLst>
        </c:ser>
        <c:ser>
          <c:idx val="10"/>
          <c:order val="10"/>
          <c:tx>
            <c:strRef>
              <c:f>Лист2!$AE$27</c:f>
              <c:strCache>
                <c:ptCount val="1"/>
                <c:pt idx="0">
                  <c:v>Езда вдвоём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Лист2!$AF$27:$BG$27</c:f>
              <c:numCache>
                <c:formatCode>0.0%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0.21863799283154123</c:v>
                </c:pt>
                <c:pt idx="4">
                  <c:v>0.22414471097129374</c:v>
                </c:pt>
                <c:pt idx="5">
                  <c:v>0.23524305555555555</c:v>
                </c:pt>
                <c:pt idx="6">
                  <c:v>5.3584764749813295E-2</c:v>
                </c:pt>
                <c:pt idx="7">
                  <c:v>5.9480251430715829E-2</c:v>
                </c:pt>
                <c:pt idx="8">
                  <c:v>8.2722022787576094E-2</c:v>
                </c:pt>
                <c:pt idx="9">
                  <c:v>5.1546391752577317E-2</c:v>
                </c:pt>
                <c:pt idx="10">
                  <c:v>3.3161385408990419E-2</c:v>
                </c:pt>
                <c:pt idx="11">
                  <c:v>8.8888888888888892E-2</c:v>
                </c:pt>
                <c:pt idx="12">
                  <c:v>5.7142857142857141E-2</c:v>
                </c:pt>
                <c:pt idx="13">
                  <c:v>0</c:v>
                </c:pt>
                <c:pt idx="14">
                  <c:v>0.17049244653717874</c:v>
                </c:pt>
                <c:pt idx="15">
                  <c:v>0.24444444444444444</c:v>
                </c:pt>
                <c:pt idx="16">
                  <c:v>0.31785471826205025</c:v>
                </c:pt>
                <c:pt idx="17">
                  <c:v>0.30233884768967484</c:v>
                </c:pt>
                <c:pt idx="18">
                  <c:v>0.23469987078585691</c:v>
                </c:pt>
                <c:pt idx="19">
                  <c:v>0.18694656488549619</c:v>
                </c:pt>
                <c:pt idx="20">
                  <c:v>0.17696857242259076</c:v>
                </c:pt>
                <c:pt idx="21">
                  <c:v>0.13242009132420091</c:v>
                </c:pt>
                <c:pt idx="22">
                  <c:v>8.2270127584689837E-2</c:v>
                </c:pt>
                <c:pt idx="23">
                  <c:v>2.2700119474313024E-2</c:v>
                </c:pt>
                <c:pt idx="24">
                  <c:v>3.3734939759036145E-2</c:v>
                </c:pt>
                <c:pt idx="25">
                  <c:v>1.4336917562724014E-2</c:v>
                </c:pt>
                <c:pt idx="26">
                  <c:v>3.2051282051282048E-2</c:v>
                </c:pt>
                <c:pt idx="27">
                  <c:v>0.18649175813668872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04-4BD0-9DE4-24071A82DC26}"/>
            </c:ext>
          </c:extLst>
        </c:ser>
        <c:ser>
          <c:idx val="11"/>
          <c:order val="11"/>
          <c:tx>
            <c:strRef>
              <c:f>Лист2!$AE$28</c:f>
              <c:strCache>
                <c:ptCount val="1"/>
                <c:pt idx="0">
                  <c:v>Неправильная парковка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Лист2!$AF$16:$BG$16</c:f>
              <c:strCache>
                <c:ptCount val="28"/>
                <c:pt idx="0">
                  <c:v>01.01.2024</c:v>
                </c:pt>
                <c:pt idx="1">
                  <c:v>01.02.2024</c:v>
                </c:pt>
                <c:pt idx="2">
                  <c:v>01.03.2024</c:v>
                </c:pt>
                <c:pt idx="3">
                  <c:v>01.04.2024</c:v>
                </c:pt>
                <c:pt idx="4">
                  <c:v>01.05.2024</c:v>
                </c:pt>
                <c:pt idx="5">
                  <c:v>01.06.2024</c:v>
                </c:pt>
                <c:pt idx="6">
                  <c:v>01.07.2024</c:v>
                </c:pt>
                <c:pt idx="7">
                  <c:v>01.08.2024</c:v>
                </c:pt>
                <c:pt idx="8">
                  <c:v>01.09.2024</c:v>
                </c:pt>
                <c:pt idx="9">
                  <c:v>01.10.2024</c:v>
                </c:pt>
                <c:pt idx="10">
                  <c:v>01.11.2024</c:v>
                </c:pt>
                <c:pt idx="11">
                  <c:v>01.12.2024</c:v>
                </c:pt>
                <c:pt idx="12">
                  <c:v>01.01.2025</c:v>
                </c:pt>
                <c:pt idx="13">
                  <c:v>01.02.2025</c:v>
                </c:pt>
                <c:pt idx="14">
                  <c:v>01.03.2025</c:v>
                </c:pt>
                <c:pt idx="15">
                  <c:v>01.04.2025</c:v>
                </c:pt>
                <c:pt idx="16">
                  <c:v>01.05.2025</c:v>
                </c:pt>
                <c:pt idx="17">
                  <c:v>01.06.2025</c:v>
                </c:pt>
                <c:pt idx="18">
                  <c:v>01.07.2025</c:v>
                </c:pt>
                <c:pt idx="19">
                  <c:v>01.08.2025</c:v>
                </c:pt>
                <c:pt idx="20">
                  <c:v>01.09.2025</c:v>
                </c:pt>
                <c:pt idx="21">
                  <c:v>01.10.2025</c:v>
                </c:pt>
                <c:pt idx="22">
                  <c:v>01.11.2025</c:v>
                </c:pt>
                <c:pt idx="23">
                  <c:v>01.12.2025</c:v>
                </c:pt>
                <c:pt idx="24">
                  <c:v>01.01.2026</c:v>
                </c:pt>
                <c:pt idx="25">
                  <c:v>01.02.2026</c:v>
                </c:pt>
                <c:pt idx="26">
                  <c:v>01.03.2026</c:v>
                </c:pt>
                <c:pt idx="27">
                  <c:v>Всего</c:v>
                </c:pt>
              </c:strCache>
            </c:strRef>
          </c:cat>
          <c:val>
            <c:numRef>
              <c:f>Лист2!$AF$28:$BG$28</c:f>
              <c:numCache>
                <c:formatCode>0.0%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0.77956989247311825</c:v>
                </c:pt>
                <c:pt idx="4">
                  <c:v>0.74832874557609119</c:v>
                </c:pt>
                <c:pt idx="5">
                  <c:v>0.75260416666666663</c:v>
                </c:pt>
                <c:pt idx="6">
                  <c:v>0.92111650485436891</c:v>
                </c:pt>
                <c:pt idx="7">
                  <c:v>0.92541514213340836</c:v>
                </c:pt>
                <c:pt idx="8">
                  <c:v>0.83689714374902446</c:v>
                </c:pt>
                <c:pt idx="9">
                  <c:v>0.7010309278350515</c:v>
                </c:pt>
                <c:pt idx="10">
                  <c:v>0.57700810611643327</c:v>
                </c:pt>
                <c:pt idx="11">
                  <c:v>0.73333333333333328</c:v>
                </c:pt>
                <c:pt idx="12">
                  <c:v>0.21904761904761905</c:v>
                </c:pt>
                <c:pt idx="13">
                  <c:v>0.45</c:v>
                </c:pt>
                <c:pt idx="14">
                  <c:v>0.59387875220718067</c:v>
                </c:pt>
                <c:pt idx="15">
                  <c:v>0.52299229922992296</c:v>
                </c:pt>
                <c:pt idx="16">
                  <c:v>0.38513238289205703</c:v>
                </c:pt>
                <c:pt idx="17">
                  <c:v>0.45198706978513026</c:v>
                </c:pt>
                <c:pt idx="18">
                  <c:v>0.60924468460002346</c:v>
                </c:pt>
                <c:pt idx="19">
                  <c:v>0.63435114503816792</c:v>
                </c:pt>
                <c:pt idx="20">
                  <c:v>0.70010437202829645</c:v>
                </c:pt>
                <c:pt idx="21">
                  <c:v>0.75923619759236194</c:v>
                </c:pt>
                <c:pt idx="22">
                  <c:v>0.83721953365596125</c:v>
                </c:pt>
                <c:pt idx="23">
                  <c:v>0.91875746714456397</c:v>
                </c:pt>
                <c:pt idx="24">
                  <c:v>0.73975903614457827</c:v>
                </c:pt>
                <c:pt idx="25">
                  <c:v>0.83512544802867383</c:v>
                </c:pt>
                <c:pt idx="26">
                  <c:v>0.9358974358974359</c:v>
                </c:pt>
                <c:pt idx="27">
                  <c:v>0.65004015757065825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04-4BD0-9DE4-24071A82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617322872"/>
        <c:axId val="431948304"/>
      </c:barChart>
      <c:catAx>
        <c:axId val="61732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948304"/>
        <c:crosses val="autoZero"/>
        <c:auto val="1"/>
        <c:lblAlgn val="ctr"/>
        <c:lblOffset val="100"/>
        <c:noMultiLvlLbl val="0"/>
      </c:catAx>
      <c:valAx>
        <c:axId val="431948304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732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Лист2!$AE$2</c:f>
              <c:strCache>
                <c:ptCount val="1"/>
                <c:pt idx="0">
                  <c:v>Не определено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Лист2!$AF$2:$BF$2</c:f>
              <c:numCache>
                <c:formatCode>General</c:formatCode>
                <c:ptCount val="27"/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7-49BB-A7BB-12D02B2A9B87}"/>
            </c:ext>
          </c:extLst>
        </c:ser>
        <c:ser>
          <c:idx val="1"/>
          <c:order val="1"/>
          <c:tx>
            <c:strRef>
              <c:f>Лист2!$AE$3</c:f>
              <c:strCache>
                <c:ptCount val="1"/>
                <c:pt idx="0">
                  <c:v>Неизвещение о ДТП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Лист2!$AF$3:$BF$3</c:f>
              <c:numCache>
                <c:formatCode>General</c:formatCode>
                <c:ptCount val="27"/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7-49BB-A7BB-12D02B2A9B87}"/>
            </c:ext>
          </c:extLst>
        </c:ser>
        <c:ser>
          <c:idx val="2"/>
          <c:order val="2"/>
          <c:tx>
            <c:strRef>
              <c:f>Лист2!$AE$4</c:f>
              <c:strCache>
                <c:ptCount val="1"/>
                <c:pt idx="0">
                  <c:v>Непрекращение использования СИМ после ДТП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Лист2!$AF$4:$BF$4</c:f>
              <c:numCache>
                <c:formatCode>General</c:formatCode>
                <c:ptCount val="27"/>
                <c:pt idx="3">
                  <c:v>1</c:v>
                </c:pt>
                <c:pt idx="14">
                  <c:v>1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7-49BB-A7BB-12D02B2A9B87}"/>
            </c:ext>
          </c:extLst>
        </c:ser>
        <c:ser>
          <c:idx val="3"/>
          <c:order val="3"/>
          <c:tx>
            <c:strRef>
              <c:f>Лист2!$AE$5</c:f>
              <c:strCache>
                <c:ptCount val="1"/>
                <c:pt idx="0">
                  <c:v>Нецелевое использование СИМ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Лист2!$AF$5:$BF$5</c:f>
              <c:numCache>
                <c:formatCode>General</c:formatCode>
                <c:ptCount val="27"/>
                <c:pt idx="4">
                  <c:v>1</c:v>
                </c:pt>
                <c:pt idx="8">
                  <c:v>2</c:v>
                </c:pt>
                <c:pt idx="9">
                  <c:v>1</c:v>
                </c:pt>
                <c:pt idx="17">
                  <c:v>2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C7-49BB-A7BB-12D02B2A9B87}"/>
            </c:ext>
          </c:extLst>
        </c:ser>
        <c:ser>
          <c:idx val="4"/>
          <c:order val="4"/>
          <c:tx>
            <c:strRef>
              <c:f>Лист2!$AE$6</c:f>
              <c:strCache>
                <c:ptCount val="1"/>
                <c:pt idx="0">
                  <c:v>Тестовые штрафы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Лист2!$AF$6:$BF$6</c:f>
              <c:numCache>
                <c:formatCode>General</c:formatCode>
                <c:ptCount val="27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C7-49BB-A7BB-12D02B2A9B87}"/>
            </c:ext>
          </c:extLst>
        </c:ser>
        <c:ser>
          <c:idx val="5"/>
          <c:order val="5"/>
          <c:tx>
            <c:strRef>
              <c:f>Лист2!$AE$7</c:f>
              <c:strCache>
                <c:ptCount val="1"/>
                <c:pt idx="0">
                  <c:v>Использование и оставление СИМ вне разрешённых зон (леса, поля, водоёмы)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Лист2!$AF$7:$BF$7</c:f>
              <c:numCache>
                <c:formatCode>General</c:formatCode>
                <c:ptCount val="27"/>
                <c:pt idx="22">
                  <c:v>56</c:v>
                </c:pt>
                <c:pt idx="23">
                  <c:v>32</c:v>
                </c:pt>
                <c:pt idx="25">
                  <c:v>4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C7-49BB-A7BB-12D02B2A9B87}"/>
            </c:ext>
          </c:extLst>
        </c:ser>
        <c:ser>
          <c:idx val="6"/>
          <c:order val="6"/>
          <c:tx>
            <c:strRef>
              <c:f>Лист2!$AE$8</c:f>
              <c:strCache>
                <c:ptCount val="1"/>
                <c:pt idx="0">
                  <c:v>Порча / повреждение СИМ и его маркировки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Лист2!$AF$8:$BF$8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32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</c:v>
                </c:pt>
                <c:pt idx="15">
                  <c:v>6</c:v>
                </c:pt>
                <c:pt idx="16">
                  <c:v>9</c:v>
                </c:pt>
                <c:pt idx="17">
                  <c:v>45</c:v>
                </c:pt>
                <c:pt idx="18">
                  <c:v>10</c:v>
                </c:pt>
                <c:pt idx="19">
                  <c:v>7</c:v>
                </c:pt>
                <c:pt idx="20">
                  <c:v>16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C7-49BB-A7BB-12D02B2A9B87}"/>
            </c:ext>
          </c:extLst>
        </c:ser>
        <c:ser>
          <c:idx val="7"/>
          <c:order val="7"/>
          <c:tx>
            <c:strRef>
              <c:f>Лист2!$AE$9</c:f>
              <c:strCache>
                <c:ptCount val="1"/>
                <c:pt idx="0">
                  <c:v>Движение в неположенном месте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Лист2!$AF$9:$BF$9</c:f>
              <c:numCache>
                <c:formatCode>General</c:formatCode>
                <c:ptCount val="27"/>
                <c:pt idx="4">
                  <c:v>36</c:v>
                </c:pt>
                <c:pt idx="5">
                  <c:v>7</c:v>
                </c:pt>
                <c:pt idx="6">
                  <c:v>263</c:v>
                </c:pt>
                <c:pt idx="7">
                  <c:v>20</c:v>
                </c:pt>
                <c:pt idx="8">
                  <c:v>67</c:v>
                </c:pt>
                <c:pt idx="9">
                  <c:v>3</c:v>
                </c:pt>
                <c:pt idx="10">
                  <c:v>2</c:v>
                </c:pt>
                <c:pt idx="12">
                  <c:v>2</c:v>
                </c:pt>
                <c:pt idx="13">
                  <c:v>4</c:v>
                </c:pt>
                <c:pt idx="14">
                  <c:v>31</c:v>
                </c:pt>
                <c:pt idx="15">
                  <c:v>48</c:v>
                </c:pt>
                <c:pt idx="16">
                  <c:v>6</c:v>
                </c:pt>
                <c:pt idx="17">
                  <c:v>130</c:v>
                </c:pt>
                <c:pt idx="18">
                  <c:v>150</c:v>
                </c:pt>
                <c:pt idx="19">
                  <c:v>117</c:v>
                </c:pt>
                <c:pt idx="20">
                  <c:v>85</c:v>
                </c:pt>
                <c:pt idx="21">
                  <c:v>46</c:v>
                </c:pt>
                <c:pt idx="22">
                  <c:v>22</c:v>
                </c:pt>
                <c:pt idx="2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C7-49BB-A7BB-12D02B2A9B87}"/>
            </c:ext>
          </c:extLst>
        </c:ser>
        <c:ser>
          <c:idx val="8"/>
          <c:order val="8"/>
          <c:tx>
            <c:strRef>
              <c:f>Лист2!$AE$10</c:f>
              <c:strCache>
                <c:ptCount val="1"/>
                <c:pt idx="0">
                  <c:v>Нарушения, связанные с несовершеннолетними водителями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Лист2!$AF$10:$BF$10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167</c:v>
                </c:pt>
                <c:pt idx="9">
                  <c:v>165</c:v>
                </c:pt>
                <c:pt idx="10">
                  <c:v>35</c:v>
                </c:pt>
                <c:pt idx="11">
                  <c:v>3</c:v>
                </c:pt>
                <c:pt idx="12">
                  <c:v>6</c:v>
                </c:pt>
                <c:pt idx="13">
                  <c:v>0</c:v>
                </c:pt>
                <c:pt idx="14">
                  <c:v>432</c:v>
                </c:pt>
                <c:pt idx="15">
                  <c:v>907</c:v>
                </c:pt>
                <c:pt idx="16">
                  <c:v>1375</c:v>
                </c:pt>
                <c:pt idx="17">
                  <c:v>935</c:v>
                </c:pt>
                <c:pt idx="18">
                  <c:v>498</c:v>
                </c:pt>
                <c:pt idx="19">
                  <c:v>393</c:v>
                </c:pt>
                <c:pt idx="20">
                  <c:v>324</c:v>
                </c:pt>
                <c:pt idx="21">
                  <c:v>123</c:v>
                </c:pt>
                <c:pt idx="22">
                  <c:v>29</c:v>
                </c:pt>
                <c:pt idx="23">
                  <c:v>8</c:v>
                </c:pt>
                <c:pt idx="24">
                  <c:v>8</c:v>
                </c:pt>
                <c:pt idx="25">
                  <c:v>4</c:v>
                </c:pt>
                <c:pt idx="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C7-49BB-A7BB-12D02B2A9B87}"/>
            </c:ext>
          </c:extLst>
        </c:ser>
        <c:ser>
          <c:idx val="9"/>
          <c:order val="9"/>
          <c:tx>
            <c:strRef>
              <c:f>Лист2!$AE$11</c:f>
              <c:strCache>
                <c:ptCount val="1"/>
                <c:pt idx="0">
                  <c:v>Неспешивание на пешеходном переходе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Лист2!$AF$11:$BF$11</c:f>
              <c:numCache>
                <c:formatCode>General</c:formatCode>
                <c:ptCount val="27"/>
                <c:pt idx="7">
                  <c:v>136</c:v>
                </c:pt>
                <c:pt idx="8">
                  <c:v>278</c:v>
                </c:pt>
                <c:pt idx="9">
                  <c:v>982</c:v>
                </c:pt>
                <c:pt idx="10">
                  <c:v>492</c:v>
                </c:pt>
                <c:pt idx="11">
                  <c:v>4</c:v>
                </c:pt>
                <c:pt idx="12">
                  <c:v>67</c:v>
                </c:pt>
                <c:pt idx="13">
                  <c:v>7</c:v>
                </c:pt>
                <c:pt idx="14">
                  <c:v>728</c:v>
                </c:pt>
                <c:pt idx="15">
                  <c:v>1152</c:v>
                </c:pt>
                <c:pt idx="16">
                  <c:v>2984</c:v>
                </c:pt>
                <c:pt idx="17">
                  <c:v>2763</c:v>
                </c:pt>
                <c:pt idx="18">
                  <c:v>1999</c:v>
                </c:pt>
                <c:pt idx="19">
                  <c:v>1823</c:v>
                </c:pt>
                <c:pt idx="20">
                  <c:v>635</c:v>
                </c:pt>
                <c:pt idx="21">
                  <c:v>346</c:v>
                </c:pt>
                <c:pt idx="22">
                  <c:v>70</c:v>
                </c:pt>
                <c:pt idx="23">
                  <c:v>4</c:v>
                </c:pt>
                <c:pt idx="24">
                  <c:v>84</c:v>
                </c:pt>
                <c:pt idx="25">
                  <c:v>73</c:v>
                </c:pt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C7-49BB-A7BB-12D02B2A9B87}"/>
            </c:ext>
          </c:extLst>
        </c:ser>
        <c:ser>
          <c:idx val="10"/>
          <c:order val="10"/>
          <c:tx>
            <c:strRef>
              <c:f>Лист2!$AE$12</c:f>
              <c:strCache>
                <c:ptCount val="1"/>
                <c:pt idx="0">
                  <c:v>Езда вдвоём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Лист2!$AF$12:$BF$12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122</c:v>
                </c:pt>
                <c:pt idx="4">
                  <c:v>570</c:v>
                </c:pt>
                <c:pt idx="5">
                  <c:v>271</c:v>
                </c:pt>
                <c:pt idx="6">
                  <c:v>574</c:v>
                </c:pt>
                <c:pt idx="7">
                  <c:v>634</c:v>
                </c:pt>
                <c:pt idx="8">
                  <c:v>530</c:v>
                </c:pt>
                <c:pt idx="9">
                  <c:v>240</c:v>
                </c:pt>
                <c:pt idx="10">
                  <c:v>45</c:v>
                </c:pt>
                <c:pt idx="11">
                  <c:v>4</c:v>
                </c:pt>
                <c:pt idx="12">
                  <c:v>6</c:v>
                </c:pt>
                <c:pt idx="13">
                  <c:v>0</c:v>
                </c:pt>
                <c:pt idx="14">
                  <c:v>869</c:v>
                </c:pt>
                <c:pt idx="15">
                  <c:v>2222</c:v>
                </c:pt>
                <c:pt idx="16">
                  <c:v>4682</c:v>
                </c:pt>
                <c:pt idx="17">
                  <c:v>4770</c:v>
                </c:pt>
                <c:pt idx="18">
                  <c:v>3996</c:v>
                </c:pt>
                <c:pt idx="19">
                  <c:v>2449</c:v>
                </c:pt>
                <c:pt idx="20">
                  <c:v>1526</c:v>
                </c:pt>
                <c:pt idx="21">
                  <c:v>638</c:v>
                </c:pt>
                <c:pt idx="22">
                  <c:v>187</c:v>
                </c:pt>
                <c:pt idx="23">
                  <c:v>19</c:v>
                </c:pt>
                <c:pt idx="24">
                  <c:v>14</c:v>
                </c:pt>
                <c:pt idx="25">
                  <c:v>8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C7-49BB-A7BB-12D02B2A9B87}"/>
            </c:ext>
          </c:extLst>
        </c:ser>
        <c:ser>
          <c:idx val="11"/>
          <c:order val="11"/>
          <c:tx>
            <c:strRef>
              <c:f>Лист2!$AE$13</c:f>
              <c:strCache>
                <c:ptCount val="1"/>
                <c:pt idx="0">
                  <c:v>Неправильная парковка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Лист2!$AF$1:$BF$1</c:f>
              <c:numCache>
                <c:formatCode>dd\.mm\.yyyy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Лист2!$AF$13:$BF$13</c:f>
              <c:numCache>
                <c:formatCode>General</c:formatCode>
                <c:ptCount val="27"/>
                <c:pt idx="0">
                  <c:v>0</c:v>
                </c:pt>
                <c:pt idx="1">
                  <c:v>4</c:v>
                </c:pt>
                <c:pt idx="2">
                  <c:v>15</c:v>
                </c:pt>
                <c:pt idx="3">
                  <c:v>435</c:v>
                </c:pt>
                <c:pt idx="4">
                  <c:v>1903</c:v>
                </c:pt>
                <c:pt idx="5">
                  <c:v>867</c:v>
                </c:pt>
                <c:pt idx="6">
                  <c:v>9867</c:v>
                </c:pt>
                <c:pt idx="7">
                  <c:v>9864</c:v>
                </c:pt>
                <c:pt idx="8">
                  <c:v>5362</c:v>
                </c:pt>
                <c:pt idx="9">
                  <c:v>3264</c:v>
                </c:pt>
                <c:pt idx="10">
                  <c:v>783</c:v>
                </c:pt>
                <c:pt idx="11">
                  <c:v>33</c:v>
                </c:pt>
                <c:pt idx="12">
                  <c:v>23</c:v>
                </c:pt>
                <c:pt idx="13">
                  <c:v>9</c:v>
                </c:pt>
                <c:pt idx="14">
                  <c:v>3027</c:v>
                </c:pt>
                <c:pt idx="15">
                  <c:v>4754</c:v>
                </c:pt>
                <c:pt idx="16">
                  <c:v>5673</c:v>
                </c:pt>
                <c:pt idx="17">
                  <c:v>7131</c:v>
                </c:pt>
                <c:pt idx="18">
                  <c:v>10373</c:v>
                </c:pt>
                <c:pt idx="19">
                  <c:v>8310</c:v>
                </c:pt>
                <c:pt idx="20">
                  <c:v>6037</c:v>
                </c:pt>
                <c:pt idx="21">
                  <c:v>3658</c:v>
                </c:pt>
                <c:pt idx="22">
                  <c:v>1903</c:v>
                </c:pt>
                <c:pt idx="23">
                  <c:v>769</c:v>
                </c:pt>
                <c:pt idx="24">
                  <c:v>307</c:v>
                </c:pt>
                <c:pt idx="25">
                  <c:v>466</c:v>
                </c:pt>
                <c:pt idx="26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C7-49BB-A7BB-12D02B2A9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560720"/>
        <c:axId val="600561072"/>
      </c:barChart>
      <c:dateAx>
        <c:axId val="600560720"/>
        <c:scaling>
          <c:orientation val="minMax"/>
        </c:scaling>
        <c:delete val="0"/>
        <c:axPos val="b"/>
        <c:numFmt formatCode="dd\.mm\.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561072"/>
        <c:crosses val="autoZero"/>
        <c:auto val="1"/>
        <c:lblOffset val="100"/>
        <c:baseTimeUnit val="months"/>
      </c:dateAx>
      <c:valAx>
        <c:axId val="600561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0056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908221122137214E-2"/>
          <c:y val="0.79119878553316425"/>
          <c:w val="0.96804577314491247"/>
          <c:h val="0.19087332963047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Лист2!$AE$67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Лист2!$AF$66:$AQ$66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Лист2!$AF$67:$AQ$67</c:f>
              <c:numCache>
                <c:formatCode>General</c:formatCode>
                <c:ptCount val="12"/>
                <c:pt idx="0">
                  <c:v>2</c:v>
                </c:pt>
                <c:pt idx="1">
                  <c:v>4</c:v>
                </c:pt>
                <c:pt idx="2">
                  <c:v>15</c:v>
                </c:pt>
                <c:pt idx="3">
                  <c:v>558</c:v>
                </c:pt>
                <c:pt idx="4">
                  <c:v>2543</c:v>
                </c:pt>
                <c:pt idx="5">
                  <c:v>1152</c:v>
                </c:pt>
                <c:pt idx="6">
                  <c:v>10712</c:v>
                </c:pt>
                <c:pt idx="7">
                  <c:v>10659</c:v>
                </c:pt>
                <c:pt idx="8">
                  <c:v>6407</c:v>
                </c:pt>
                <c:pt idx="9">
                  <c:v>4656</c:v>
                </c:pt>
                <c:pt idx="10">
                  <c:v>1357</c:v>
                </c:pt>
                <c:pt idx="11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8-486D-B31F-6D0150364F02}"/>
            </c:ext>
          </c:extLst>
        </c:ser>
        <c:ser>
          <c:idx val="1"/>
          <c:order val="1"/>
          <c:tx>
            <c:strRef>
              <c:f>Лист2!$AE$68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Лист2!$AF$66:$AQ$66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Лист2!$AF$68:$AQ$68</c:f>
              <c:numCache>
                <c:formatCode>General</c:formatCode>
                <c:ptCount val="12"/>
                <c:pt idx="0">
                  <c:v>105</c:v>
                </c:pt>
                <c:pt idx="1">
                  <c:v>20</c:v>
                </c:pt>
                <c:pt idx="2">
                  <c:v>5097</c:v>
                </c:pt>
                <c:pt idx="3">
                  <c:v>9090</c:v>
                </c:pt>
                <c:pt idx="4">
                  <c:v>14730</c:v>
                </c:pt>
                <c:pt idx="5">
                  <c:v>15777</c:v>
                </c:pt>
                <c:pt idx="6">
                  <c:v>17026</c:v>
                </c:pt>
                <c:pt idx="7">
                  <c:v>13100</c:v>
                </c:pt>
                <c:pt idx="8">
                  <c:v>8623</c:v>
                </c:pt>
                <c:pt idx="9">
                  <c:v>4818</c:v>
                </c:pt>
                <c:pt idx="10">
                  <c:v>2273</c:v>
                </c:pt>
                <c:pt idx="11">
                  <c:v>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8-486D-B31F-6D0150364F02}"/>
            </c:ext>
          </c:extLst>
        </c:ser>
        <c:ser>
          <c:idx val="2"/>
          <c:order val="2"/>
          <c:tx>
            <c:strRef>
              <c:f>Лист2!$AE$69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Лист2!$AF$66:$AQ$66</c:f>
              <c:strCache>
                <c:ptCount val="12"/>
                <c:pt idx="0">
                  <c:v>I</c:v>
                </c:pt>
                <c:pt idx="1">
                  <c:v>II</c:v>
                </c:pt>
                <c:pt idx="2">
                  <c:v>III</c:v>
                </c:pt>
                <c:pt idx="3">
                  <c:v>IV</c:v>
                </c:pt>
                <c:pt idx="4">
                  <c:v>V</c:v>
                </c:pt>
                <c:pt idx="5">
                  <c:v>VI</c:v>
                </c:pt>
                <c:pt idx="6">
                  <c:v>VII</c:v>
                </c:pt>
                <c:pt idx="7">
                  <c:v>VIII</c:v>
                </c:pt>
                <c:pt idx="8">
                  <c:v>IX</c:v>
                </c:pt>
                <c:pt idx="9">
                  <c:v>X</c:v>
                </c:pt>
                <c:pt idx="10">
                  <c:v>XI</c:v>
                </c:pt>
                <c:pt idx="11">
                  <c:v>XII</c:v>
                </c:pt>
              </c:strCache>
            </c:strRef>
          </c:cat>
          <c:val>
            <c:numRef>
              <c:f>Лист2!$AF$69:$AQ$69</c:f>
              <c:numCache>
                <c:formatCode>General</c:formatCode>
                <c:ptCount val="12"/>
                <c:pt idx="0">
                  <c:v>415</c:v>
                </c:pt>
                <c:pt idx="1">
                  <c:v>558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98-486D-B31F-6D0150364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981816"/>
        <c:axId val="522983928"/>
      </c:radarChart>
      <c:catAx>
        <c:axId val="522981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2983928"/>
        <c:crosses val="autoZero"/>
        <c:auto val="1"/>
        <c:lblAlgn val="ctr"/>
        <c:lblOffset val="100"/>
        <c:noMultiLvlLbl val="0"/>
      </c:catAx>
      <c:valAx>
        <c:axId val="52298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2981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323850</xdr:colOff>
      <xdr:row>1</xdr:row>
      <xdr:rowOff>44450</xdr:rowOff>
    </xdr:from>
    <xdr:to>
      <xdr:col>32</xdr:col>
      <xdr:colOff>10160</xdr:colOff>
      <xdr:row>18</xdr:row>
      <xdr:rowOff>17780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E92C38A-35ED-01C5-AF87-940BF014C3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863600</xdr:colOff>
      <xdr:row>34</xdr:row>
      <xdr:rowOff>50800</xdr:rowOff>
    </xdr:from>
    <xdr:to>
      <xdr:col>19</xdr:col>
      <xdr:colOff>508000</xdr:colOff>
      <xdr:row>75</xdr:row>
      <xdr:rowOff>76200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C4534DC-2223-A0B7-8ACB-9748487EC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558800</xdr:colOff>
      <xdr:row>31</xdr:row>
      <xdr:rowOff>31750</xdr:rowOff>
    </xdr:from>
    <xdr:to>
      <xdr:col>45</xdr:col>
      <xdr:colOff>127000</xdr:colOff>
      <xdr:row>55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19A3F7-7724-2950-8B17-6570449C9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542924</xdr:colOff>
      <xdr:row>30</xdr:row>
      <xdr:rowOff>171450</xdr:rowOff>
    </xdr:from>
    <xdr:to>
      <xdr:col>72</xdr:col>
      <xdr:colOff>228600</xdr:colOff>
      <xdr:row>58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BF80768-19F0-2B36-109C-DC68C697B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581024</xdr:colOff>
      <xdr:row>56</xdr:row>
      <xdr:rowOff>171450</xdr:rowOff>
    </xdr:from>
    <xdr:to>
      <xdr:col>59</xdr:col>
      <xdr:colOff>323849</xdr:colOff>
      <xdr:row>82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A27EDCC-131B-2FFB-624D-6A9F9B6CC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оман Немченко" refreshedDate="46154.77771736111" createdVersion="8" refreshedVersion="8" minRefreshableVersion="3" recordCount="70" xr:uid="{F107AC0B-9629-4539-BB2C-9DB1EA5C16AE}">
  <cacheSource type="worksheet">
    <worksheetSource name="Таблица1"/>
  </cacheSource>
  <cacheFields count="6">
    <cacheField name="Тематика" numFmtId="0">
      <sharedItems count="70">
        <s v="Финансовые операции и споры по аренде самоката"/>
        <s v="Запрос уточнений по условиям аренды"/>
        <s v="Обращение пользователя по аренде самоката"/>
        <s v="Интеграция с сервисами Яндекса"/>
        <s v="Неисправности и сбои самоката"/>
        <s v="Общие вопросы по использованию самокатов"/>
        <s v="Вопросы по оплате аренды самоката"/>
        <s v="Инциденты в процессе поездки на самокате"/>
        <s v="Штрафные начисления за нарушения при аренде"/>
        <s v="Трудности при завершении поездки и парковке"/>
        <s v="Отзывы о качестве сервиса самокатов"/>
        <s v="Неопределённая тематика обращения"/>
        <s v="Промежуточный ответ по обращению об аренде"/>
        <s v="Операции по оплате самокатов"/>
        <s v="Экстренные случаи во время поездки на самокате"/>
        <s v="Ограничение доступа к аренде самоката"/>
        <s v="Аварийные ситуации с самокатом"/>
        <s v="Дополнительные сведения об условиях поездки"/>
        <s v="Вопросы, связанные с курьерскими поездками на самокате"/>
        <s v="Правила и условия аренды самоката"/>
        <s v="Привилегии подписки Плюс при аренде самоката"/>
        <s v="Повторное обращение по вопросу аренды самоката"/>
        <s v="Верификация личности для доступа к самокату"/>
        <s v="Ошибка автоклассификации обращений по самокатам"/>
        <s v="Технический сбой в работе самоката или приложения"/>
        <s v="Разбор тарифных планов на аренду самоката"/>
        <s v="Отзыв о поведении пользователя и состоянии самоката"/>
        <s v="Временные ответы на обращения по самокатам"/>
        <s v="Запрос экстренной помощи во время поездки на самокате"/>
        <s v="Справочная информация о самокатах"/>
        <s v="Автоматическая классификация обращений по самокатам"/>
        <s v="Общие жалобы на сервис аренды самокатов"/>
        <s v="Предварительный ответ до решения проблемы с самокатом"/>
        <s v="Оценка пользователя и самоката после поездки"/>
        <s v="Качество обслуживания в сервисе аренды самокатов"/>
        <s v="Разбор обращений от пользователей самокатов"/>
        <s v="Проблема с оплатой аренды самоката"/>
        <s v="Служебная коммуникация по вопросам самокатов"/>
        <s v="Временная категория обращений по самокатам"/>
        <s v="Вопросы пользователей сервиса аренды самокатов"/>
        <s v="Обращение, не связанное с арендой самоката"/>
        <s v="Прочие обращения по теме самокатов"/>
        <s v="Оспаривание итоговой стоимости аренды самоката"/>
        <s v="Процесс оплаты за использование самоката"/>
        <s v="Утрата возможности арендовать самокат"/>
        <s v="Отмена аренды самоката пользователем"/>
        <s v="Запрос дополнительной информации по поездке на самокате"/>
        <s v="Запрос возврата средств за аренду самоката"/>
        <s v="Утерянные вещи во время поездки на самокате"/>
        <s v="Вопросы и проблемы после завершения аренды самоката"/>
        <s v="Вопросы по доставке или перемещению самоката"/>
        <s v="Специальные предложения для курьеров на самокатах"/>
        <s v="Аннулированная аренда самоката"/>
        <s v="Отмена бронирования самоката"/>
        <s v="Программы лояльности и бонусы для пользователей самоката"/>
        <s v="Вопросы по уровню заряда батареи самоката"/>
        <s v="Трудности при разблокировке и старте самоката"/>
        <s v="Ошибки и сбои в приложении для аренды самокатов"/>
        <s v="Пропуск или отмена аренды самоката"/>
        <s v="Финансовые трудности при оплате самоката"/>
        <s v="Технический сбой самоката или платформы"/>
        <s v="Системные ошибки при работе с самокатом"/>
        <s v="Обработка обращения по аренде самоката"/>
        <s v="Иные обращения, не вошедшие в основные категории"/>
        <s v="Поиск вещей, оставленных на самокате"/>
        <s v="Работа курьера с использованием самоката"/>
        <s v="Подозрительные действия и мошенничество при аренде самоката"/>
        <s v="Оценка работы курьера на самокате"/>
        <s v="Аннулирование заказа на аренду самоката"/>
        <s v="Взаимодействие с партнёрами сервиса самокатов"/>
      </sharedItems>
    </cacheField>
    <cacheField name="Обращения" numFmtId="3">
      <sharedItems containsSemiMixedTypes="0" containsString="0" containsNumber="1" containsInteger="1" minValue="0" maxValue="41839"/>
    </cacheField>
    <cacheField name="Среднее время обработки обращения(мин)" numFmtId="0">
      <sharedItems containsSemiMixedTypes="0" containsString="0" containsNumber="1" minValue="1.1000000000000001" maxValue="3"/>
    </cacheField>
    <cacheField name="Всего тикетов(=чатов, где могут задать вопросы по этой и другой тематике), в которых фигурировали обращения" numFmtId="3">
      <sharedItems containsSemiMixedTypes="0" containsString="0" containsNumber="1" containsInteger="1" minValue="0" maxValue="39284"/>
    </cacheField>
    <cacheField name="Времени затрачено, час" numFmtId="165">
      <sharedItems containsSemiMixedTypes="0" containsString="0" containsNumber="1" minValue="0" maxValue="1860.6466666666665"/>
    </cacheField>
    <cacheField name="Сложность" numFmtId="0">
      <sharedItems count="2">
        <s v="Сложное"/>
        <s v="Простое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n v="39871"/>
    <n v="2.8"/>
    <n v="39284"/>
    <n v="1860.6466666666665"/>
    <x v="0"/>
  </r>
  <r>
    <x v="1"/>
    <n v="41839"/>
    <n v="1.4"/>
    <n v="38029"/>
    <n v="976.24333333333334"/>
    <x v="1"/>
  </r>
  <r>
    <x v="2"/>
    <n v="33820"/>
    <n v="1.6"/>
    <n v="33459"/>
    <n v="901.86666666666667"/>
    <x v="1"/>
  </r>
  <r>
    <x v="3"/>
    <n v="22834"/>
    <n v="2.1"/>
    <n v="21832"/>
    <n v="799.19"/>
    <x v="0"/>
  </r>
  <r>
    <x v="4"/>
    <n v="17389"/>
    <n v="2.4"/>
    <n v="16830"/>
    <n v="695.56"/>
    <x v="0"/>
  </r>
  <r>
    <x v="5"/>
    <n v="32739"/>
    <n v="1.2"/>
    <n v="30828"/>
    <n v="654.78"/>
    <x v="1"/>
  </r>
  <r>
    <x v="6"/>
    <n v="13940"/>
    <n v="1.8"/>
    <n v="10383"/>
    <n v="418.2"/>
    <x v="1"/>
  </r>
  <r>
    <x v="7"/>
    <n v="7536"/>
    <n v="2.1"/>
    <n v="6373"/>
    <n v="263.76"/>
    <x v="0"/>
  </r>
  <r>
    <x v="8"/>
    <n v="2709"/>
    <n v="2.6"/>
    <n v="2703"/>
    <n v="117.39000000000001"/>
    <x v="0"/>
  </r>
  <r>
    <x v="9"/>
    <n v="3128"/>
    <n v="2.2000000000000002"/>
    <n v="3112"/>
    <n v="114.69333333333334"/>
    <x v="0"/>
  </r>
  <r>
    <x v="10"/>
    <n v="4901"/>
    <n v="1.3"/>
    <n v="4598"/>
    <n v="106.18833333333333"/>
    <x v="1"/>
  </r>
  <r>
    <x v="11"/>
    <n v="1872"/>
    <n v="2.4"/>
    <n v="1832"/>
    <n v="74.88000000000001"/>
    <x v="0"/>
  </r>
  <r>
    <x v="12"/>
    <n v="1472"/>
    <n v="1.5"/>
    <n v="1374"/>
    <n v="36.799999999999997"/>
    <x v="1"/>
  </r>
  <r>
    <x v="13"/>
    <n v="782"/>
    <n v="1.9"/>
    <n v="738"/>
    <n v="24.763333333333332"/>
    <x v="1"/>
  </r>
  <r>
    <x v="14"/>
    <n v="443"/>
    <n v="3"/>
    <n v="384"/>
    <n v="22.15"/>
    <x v="0"/>
  </r>
  <r>
    <x v="15"/>
    <n v="197"/>
    <n v="2.2000000000000002"/>
    <n v="197"/>
    <n v="7.2233333333333336"/>
    <x v="0"/>
  </r>
  <r>
    <x v="16"/>
    <n v="135"/>
    <n v="2.9"/>
    <n v="98"/>
    <n v="6.5250000000000004"/>
    <x v="0"/>
  </r>
  <r>
    <x v="17"/>
    <n v="273"/>
    <n v="1.3"/>
    <n v="267"/>
    <n v="5.9150000000000009"/>
    <x v="1"/>
  </r>
  <r>
    <x v="18"/>
    <n v="158"/>
    <n v="2"/>
    <n v="148"/>
    <n v="5.2666666666666666"/>
    <x v="1"/>
  </r>
  <r>
    <x v="19"/>
    <n v="199"/>
    <n v="1.2"/>
    <n v="183"/>
    <n v="3.9799999999999995"/>
    <x v="1"/>
  </r>
  <r>
    <x v="20"/>
    <n v="112"/>
    <n v="1.8"/>
    <n v="111"/>
    <n v="3.36"/>
    <x v="1"/>
  </r>
  <r>
    <x v="21"/>
    <n v="86"/>
    <n v="2.1"/>
    <n v="83"/>
    <n v="3.01"/>
    <x v="0"/>
  </r>
  <r>
    <x v="22"/>
    <n v="66"/>
    <n v="2.2999999999999998"/>
    <n v="65"/>
    <n v="2.5299999999999998"/>
    <x v="0"/>
  </r>
  <r>
    <x v="23"/>
    <n v="49"/>
    <n v="2"/>
    <n v="49"/>
    <n v="1.6333333333333333"/>
    <x v="1"/>
  </r>
  <r>
    <x v="24"/>
    <n v="34"/>
    <n v="2.5"/>
    <n v="30"/>
    <n v="1.4166666666666667"/>
    <x v="0"/>
  </r>
  <r>
    <x v="25"/>
    <n v="51"/>
    <n v="1.6"/>
    <n v="30"/>
    <n v="1.36"/>
    <x v="1"/>
  </r>
  <r>
    <x v="26"/>
    <n v="39"/>
    <n v="1.7"/>
    <n v="33"/>
    <n v="1.105"/>
    <x v="1"/>
  </r>
  <r>
    <x v="27"/>
    <n v="55"/>
    <n v="1.2"/>
    <n v="52"/>
    <n v="1.1000000000000001"/>
    <x v="1"/>
  </r>
  <r>
    <x v="28"/>
    <n v="11"/>
    <n v="3"/>
    <n v="10"/>
    <n v="0.55000000000000004"/>
    <x v="0"/>
  </r>
  <r>
    <x v="29"/>
    <n v="29"/>
    <n v="1.1000000000000001"/>
    <n v="29"/>
    <n v="0.53166666666666673"/>
    <x v="1"/>
  </r>
  <r>
    <x v="30"/>
    <n v="14"/>
    <n v="1.9"/>
    <n v="11"/>
    <n v="0.4433333333333333"/>
    <x v="1"/>
  </r>
  <r>
    <x v="31"/>
    <n v="11"/>
    <n v="1.9"/>
    <n v="10"/>
    <n v="0.34833333333333333"/>
    <x v="1"/>
  </r>
  <r>
    <x v="32"/>
    <n v="13"/>
    <n v="1.5"/>
    <n v="8"/>
    <n v="0.32500000000000001"/>
    <x v="1"/>
  </r>
  <r>
    <x v="33"/>
    <n v="13"/>
    <n v="1.4"/>
    <n v="12"/>
    <n v="0.30333333333333334"/>
    <x v="1"/>
  </r>
  <r>
    <x v="34"/>
    <n v="9"/>
    <n v="1.9"/>
    <n v="8"/>
    <n v="0.28499999999999998"/>
    <x v="1"/>
  </r>
  <r>
    <x v="35"/>
    <n v="9"/>
    <n v="1.8"/>
    <n v="9"/>
    <n v="0.26999999999999996"/>
    <x v="1"/>
  </r>
  <r>
    <x v="36"/>
    <n v="7"/>
    <n v="2.2999999999999998"/>
    <n v="7"/>
    <n v="0.26833333333333331"/>
    <x v="0"/>
  </r>
  <r>
    <x v="37"/>
    <n v="10"/>
    <n v="1.6"/>
    <n v="9"/>
    <n v="0.26666666666666666"/>
    <x v="1"/>
  </r>
  <r>
    <x v="38"/>
    <n v="11"/>
    <n v="1.4"/>
    <n v="10"/>
    <n v="0.25666666666666665"/>
    <x v="1"/>
  </r>
  <r>
    <x v="39"/>
    <n v="8"/>
    <n v="1.3"/>
    <n v="8"/>
    <n v="0.17333333333333334"/>
    <x v="1"/>
  </r>
  <r>
    <x v="40"/>
    <n v="7"/>
    <n v="1.2"/>
    <n v="6"/>
    <n v="0.14000000000000001"/>
    <x v="1"/>
  </r>
  <r>
    <x v="41"/>
    <n v="4"/>
    <n v="1.4"/>
    <n v="4"/>
    <n v="9.3333333333333324E-2"/>
    <x v="1"/>
  </r>
  <r>
    <x v="42"/>
    <n v="2"/>
    <n v="2.7"/>
    <n v="1"/>
    <n v="9.0000000000000011E-2"/>
    <x v="0"/>
  </r>
  <r>
    <x v="43"/>
    <n v="3"/>
    <n v="1.8"/>
    <n v="3"/>
    <n v="9.0000000000000011E-2"/>
    <x v="1"/>
  </r>
  <r>
    <x v="44"/>
    <n v="2"/>
    <n v="2.6"/>
    <n v="1"/>
    <n v="8.666666666666667E-2"/>
    <x v="0"/>
  </r>
  <r>
    <x v="45"/>
    <n v="2"/>
    <n v="1.7"/>
    <n v="1"/>
    <n v="5.6666666666666664E-2"/>
    <x v="1"/>
  </r>
  <r>
    <x v="46"/>
    <n v="2"/>
    <n v="1.5"/>
    <n v="1"/>
    <n v="0.05"/>
    <x v="1"/>
  </r>
  <r>
    <x v="47"/>
    <n v="1"/>
    <n v="2.5"/>
    <n v="1"/>
    <n v="4.1666666666666664E-2"/>
    <x v="0"/>
  </r>
  <r>
    <x v="48"/>
    <n v="1"/>
    <n v="2.2000000000000002"/>
    <n v="1"/>
    <n v="3.6666666666666667E-2"/>
    <x v="0"/>
  </r>
  <r>
    <x v="49"/>
    <n v="1"/>
    <n v="2.1"/>
    <n v="1"/>
    <n v="3.5000000000000003E-2"/>
    <x v="0"/>
  </r>
  <r>
    <x v="50"/>
    <n v="1"/>
    <n v="2"/>
    <n v="1"/>
    <n v="3.3333333333333333E-2"/>
    <x v="1"/>
  </r>
  <r>
    <x v="51"/>
    <n v="1"/>
    <n v="1.9"/>
    <n v="1"/>
    <n v="3.1666666666666662E-2"/>
    <x v="1"/>
  </r>
  <r>
    <x v="52"/>
    <n v="1"/>
    <n v="1.8"/>
    <n v="1"/>
    <n v="3.0000000000000002E-2"/>
    <x v="1"/>
  </r>
  <r>
    <x v="53"/>
    <n v="1"/>
    <n v="1.7"/>
    <n v="1"/>
    <n v="2.8333333333333332E-2"/>
    <x v="1"/>
  </r>
  <r>
    <x v="54"/>
    <n v="1"/>
    <n v="1.7"/>
    <n v="1"/>
    <n v="2.8333333333333332E-2"/>
    <x v="1"/>
  </r>
  <r>
    <x v="55"/>
    <n v="0"/>
    <n v="1.5"/>
    <n v="0"/>
    <n v="0"/>
    <x v="1"/>
  </r>
  <r>
    <x v="56"/>
    <n v="0"/>
    <n v="2.2999999999999998"/>
    <n v="0"/>
    <n v="0"/>
    <x v="0"/>
  </r>
  <r>
    <x v="57"/>
    <n v="0"/>
    <n v="2.4"/>
    <n v="0"/>
    <n v="0"/>
    <x v="0"/>
  </r>
  <r>
    <x v="58"/>
    <n v="0"/>
    <n v="1.7"/>
    <n v="0"/>
    <n v="0"/>
    <x v="1"/>
  </r>
  <r>
    <x v="59"/>
    <n v="0"/>
    <n v="2.4"/>
    <n v="0"/>
    <n v="0"/>
    <x v="0"/>
  </r>
  <r>
    <x v="60"/>
    <n v="0"/>
    <n v="2.6"/>
    <n v="0"/>
    <n v="0"/>
    <x v="0"/>
  </r>
  <r>
    <x v="61"/>
    <n v="0"/>
    <n v="2.5"/>
    <n v="0"/>
    <n v="0"/>
    <x v="0"/>
  </r>
  <r>
    <x v="62"/>
    <n v="0"/>
    <n v="1.6"/>
    <n v="0"/>
    <n v="0"/>
    <x v="1"/>
  </r>
  <r>
    <x v="63"/>
    <n v="0"/>
    <n v="1.3"/>
    <n v="0"/>
    <n v="0"/>
    <x v="1"/>
  </r>
  <r>
    <x v="64"/>
    <n v="0"/>
    <n v="2.1"/>
    <n v="0"/>
    <n v="0"/>
    <x v="0"/>
  </r>
  <r>
    <x v="65"/>
    <n v="0"/>
    <n v="2.2000000000000002"/>
    <n v="0"/>
    <n v="0"/>
    <x v="0"/>
  </r>
  <r>
    <x v="66"/>
    <n v="0"/>
    <n v="2.9"/>
    <n v="0"/>
    <n v="0"/>
    <x v="0"/>
  </r>
  <r>
    <x v="67"/>
    <n v="0"/>
    <n v="1.8"/>
    <n v="0"/>
    <n v="0"/>
    <x v="1"/>
  </r>
  <r>
    <x v="68"/>
    <n v="0"/>
    <n v="1.6"/>
    <n v="0"/>
    <n v="0"/>
    <x v="1"/>
  </r>
  <r>
    <x v="69"/>
    <n v="0"/>
    <n v="2.2999999999999998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F80DF-2B72-4E81-9CB3-2F50EBAF7D7B}" name="Сводная таблица1" cacheId="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19:K22" firstHeaderRow="0" firstDataRow="1" firstDataCol="1"/>
  <pivotFields count="6">
    <pivotField dataField="1" showAll="0">
      <items count="71">
        <item x="16"/>
        <item x="30"/>
        <item x="68"/>
        <item x="52"/>
        <item x="22"/>
        <item x="69"/>
        <item x="49"/>
        <item x="50"/>
        <item x="6"/>
        <item x="55"/>
        <item x="39"/>
        <item x="18"/>
        <item x="38"/>
        <item x="27"/>
        <item x="17"/>
        <item x="47"/>
        <item x="46"/>
        <item x="1"/>
        <item x="28"/>
        <item x="3"/>
        <item x="7"/>
        <item x="63"/>
        <item x="34"/>
        <item x="4"/>
        <item x="11"/>
        <item x="62"/>
        <item x="2"/>
        <item x="40"/>
        <item x="5"/>
        <item x="31"/>
        <item x="15"/>
        <item x="13"/>
        <item x="42"/>
        <item x="26"/>
        <item x="10"/>
        <item x="45"/>
        <item x="53"/>
        <item x="33"/>
        <item x="67"/>
        <item x="23"/>
        <item x="57"/>
        <item x="21"/>
        <item x="66"/>
        <item x="64"/>
        <item x="19"/>
        <item x="32"/>
        <item x="20"/>
        <item x="36"/>
        <item x="54"/>
        <item x="12"/>
        <item x="58"/>
        <item x="43"/>
        <item x="41"/>
        <item x="65"/>
        <item x="35"/>
        <item x="25"/>
        <item x="61"/>
        <item x="37"/>
        <item x="51"/>
        <item x="29"/>
        <item x="24"/>
        <item x="60"/>
        <item x="9"/>
        <item x="56"/>
        <item x="48"/>
        <item x="44"/>
        <item x="0"/>
        <item x="59"/>
        <item x="8"/>
        <item x="14"/>
        <item t="default"/>
      </items>
    </pivotField>
    <pivotField dataField="1" numFmtId="3" showAll="0"/>
    <pivotField showAll="0"/>
    <pivotField numFmtId="3" showAll="0"/>
    <pivotField dataField="1" numFmtId="165" showAll="0"/>
    <pivotField axis="axisRow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полю Тематика" fld="0" subtotal="count" baseField="0" baseItem="0"/>
    <dataField name="Сумма по полю Обращения" fld="1" baseField="0" baseItem="0" numFmtId="3"/>
    <dataField name="Сумма по полю Времени затрачено, час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7DBCB6-4CAA-4B7A-9184-0473385409B1}" name="Таблица1" displayName="Таблица1" ref="A1:F71" totalsRowShown="0" tableBorderDxfId="5">
  <autoFilter ref="A1:F71" xr:uid="{CF7DBCB6-4CAA-4B7A-9184-0473385409B1}"/>
  <tableColumns count="6">
    <tableColumn id="1" xr3:uid="{7941057C-8080-4E31-869D-23DE32434545}" name="Тематика" dataDxfId="4"/>
    <tableColumn id="2" xr3:uid="{2518DEF0-3F03-4C27-B6B3-43849C6B9BAB}" name="Обращения" dataDxfId="3"/>
    <tableColumn id="3" xr3:uid="{DD21D3DF-5DE6-492D-A07E-5B8F5C99AE19}" name="Среднее время обработки обращения(мин)" dataDxfId="2"/>
    <tableColumn id="4" xr3:uid="{6AA5D47A-F413-40CC-B809-F1BEB8DB04CA}" name="Всего тикетов(=чатов, где могут задать вопросы по этой и другой тематике), в которых фигурировали обращения" dataDxfId="1"/>
    <tableColumn id="5" xr3:uid="{78D401DF-EA4F-4CA5-A4D0-A00F9517B540}" name="Времени затрачено, час" dataDxfId="0">
      <calculatedColumnFormula>C2*B2/60</calculatedColumnFormula>
    </tableColumn>
    <tableColumn id="6" xr3:uid="{1EEC21DD-4230-48AB-B528-A7B1387E3848}" name="Сложность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0" zoomScale="53" zoomScaleNormal="53" workbookViewId="0">
      <selection activeCell="U29" sqref="B29:U29"/>
    </sheetView>
  </sheetViews>
  <sheetFormatPr defaultColWidth="11.19921875" defaultRowHeight="15" customHeight="1" x14ac:dyDescent="0.3"/>
  <cols>
    <col min="1" max="1" width="15.796875" customWidth="1"/>
    <col min="2" max="2" width="15.3984375" customWidth="1"/>
    <col min="3" max="4" width="25.3984375" customWidth="1"/>
    <col min="5" max="5" width="32.59765625" customWidth="1"/>
    <col min="6" max="7" width="35.09765625" customWidth="1"/>
    <col min="8" max="9" width="28.296875" customWidth="1"/>
    <col min="10" max="10" width="31.296875" customWidth="1"/>
    <col min="11" max="11" width="32.09765625" customWidth="1"/>
    <col min="12" max="12" width="28.19921875" customWidth="1"/>
    <col min="13" max="13" width="33.19921875" customWidth="1"/>
    <col min="14" max="14" width="28.296875" customWidth="1"/>
    <col min="15" max="15" width="31" customWidth="1"/>
    <col min="16" max="16" width="22" customWidth="1"/>
    <col min="17" max="17" width="33.19921875" customWidth="1"/>
    <col min="18" max="18" width="51" customWidth="1"/>
    <col min="19" max="19" width="38.19921875" customWidth="1"/>
    <col min="20" max="20" width="35" customWidth="1"/>
    <col min="21" max="21" width="41.796875" customWidth="1"/>
    <col min="22" max="26" width="10.59765625" customWidth="1"/>
  </cols>
  <sheetData>
    <row r="1" spans="1:26" s="11" customFormat="1" ht="43.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10"/>
      <c r="W1" s="10"/>
      <c r="X1" s="10"/>
      <c r="Y1" s="10"/>
      <c r="Z1" s="10"/>
    </row>
    <row r="2" spans="1:26" ht="15.75" customHeight="1" x14ac:dyDescent="0.3">
      <c r="A2" s="1">
        <v>45292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>
        <v>2</v>
      </c>
      <c r="U2" s="2"/>
    </row>
    <row r="3" spans="1:26" ht="15.75" customHeight="1" x14ac:dyDescent="0.3">
      <c r="A3" s="1">
        <v>45323</v>
      </c>
      <c r="B3" s="2"/>
      <c r="C3" s="2"/>
      <c r="D3" s="2"/>
      <c r="E3" s="2"/>
      <c r="F3" s="2"/>
      <c r="G3" s="2"/>
      <c r="H3" s="2"/>
      <c r="I3" s="3">
        <v>4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6" ht="15.75" customHeight="1" x14ac:dyDescent="0.3">
      <c r="A4" s="1">
        <v>45352</v>
      </c>
      <c r="B4" s="2"/>
      <c r="C4" s="2"/>
      <c r="D4" s="2"/>
      <c r="E4" s="2"/>
      <c r="F4" s="2"/>
      <c r="G4" s="2"/>
      <c r="H4" s="2"/>
      <c r="I4" s="3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6" ht="15.75" customHeight="1" x14ac:dyDescent="0.3">
      <c r="A5" s="1">
        <v>45383</v>
      </c>
      <c r="B5" s="2"/>
      <c r="C5" s="2"/>
      <c r="D5" s="3">
        <v>122</v>
      </c>
      <c r="E5" s="2"/>
      <c r="F5" s="2"/>
      <c r="G5" s="2"/>
      <c r="H5" s="2"/>
      <c r="I5" s="3">
        <v>435</v>
      </c>
      <c r="J5" s="2"/>
      <c r="K5" s="3"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6" ht="15.75" customHeight="1" x14ac:dyDescent="0.3">
      <c r="A6" s="1">
        <v>45413</v>
      </c>
      <c r="B6" s="2"/>
      <c r="C6" s="3">
        <v>36</v>
      </c>
      <c r="D6" s="3">
        <v>570</v>
      </c>
      <c r="E6" s="2"/>
      <c r="F6" s="2"/>
      <c r="G6" s="2"/>
      <c r="H6" s="2"/>
      <c r="I6" s="3">
        <v>1903</v>
      </c>
      <c r="J6" s="2"/>
      <c r="K6" s="2"/>
      <c r="L6" s="2"/>
      <c r="M6" s="3">
        <v>1</v>
      </c>
      <c r="N6" s="2"/>
      <c r="O6" s="3">
        <v>32</v>
      </c>
      <c r="P6" s="2"/>
      <c r="Q6" s="2"/>
      <c r="R6" s="2"/>
      <c r="S6" s="2"/>
      <c r="T6" s="2"/>
      <c r="U6" s="3">
        <v>1</v>
      </c>
    </row>
    <row r="7" spans="1:26" ht="15.75" customHeight="1" x14ac:dyDescent="0.3">
      <c r="A7" s="1">
        <v>45444</v>
      </c>
      <c r="B7" s="2"/>
      <c r="C7" s="3">
        <v>7</v>
      </c>
      <c r="D7" s="3">
        <v>271</v>
      </c>
      <c r="E7" s="2"/>
      <c r="F7" s="2"/>
      <c r="G7" s="2"/>
      <c r="H7" s="2"/>
      <c r="I7" s="3">
        <v>867</v>
      </c>
      <c r="J7" s="2"/>
      <c r="K7" s="2"/>
      <c r="L7" s="2"/>
      <c r="M7" s="2"/>
      <c r="N7" s="2"/>
      <c r="O7" s="3">
        <v>7</v>
      </c>
      <c r="P7" s="2"/>
      <c r="Q7" s="2"/>
      <c r="R7" s="2"/>
      <c r="S7" s="2"/>
      <c r="T7" s="2"/>
      <c r="U7" s="2"/>
    </row>
    <row r="8" spans="1:26" ht="15.75" customHeight="1" x14ac:dyDescent="0.3">
      <c r="A8" s="1">
        <v>45474</v>
      </c>
      <c r="B8" s="2"/>
      <c r="C8" s="3">
        <v>263</v>
      </c>
      <c r="D8" s="3">
        <v>574</v>
      </c>
      <c r="E8" s="2"/>
      <c r="F8" s="2"/>
      <c r="G8" s="2"/>
      <c r="H8" s="2"/>
      <c r="I8" s="3">
        <v>9867</v>
      </c>
      <c r="J8" s="2"/>
      <c r="K8" s="2"/>
      <c r="L8" s="2"/>
      <c r="M8" s="2"/>
      <c r="N8" s="2"/>
      <c r="O8" s="3">
        <v>6</v>
      </c>
      <c r="P8" s="2"/>
      <c r="Q8" s="2"/>
      <c r="R8" s="2"/>
      <c r="S8" s="2"/>
      <c r="T8" s="3">
        <v>2</v>
      </c>
      <c r="U8" s="2"/>
    </row>
    <row r="9" spans="1:26" ht="15.75" customHeight="1" x14ac:dyDescent="0.3">
      <c r="A9" s="1">
        <v>45505</v>
      </c>
      <c r="B9" s="2"/>
      <c r="C9" s="3">
        <v>20</v>
      </c>
      <c r="D9" s="3">
        <v>634</v>
      </c>
      <c r="E9" s="2"/>
      <c r="F9" s="2"/>
      <c r="G9" s="2"/>
      <c r="H9" s="2"/>
      <c r="I9" s="3">
        <v>9864</v>
      </c>
      <c r="J9" s="2"/>
      <c r="K9" s="2"/>
      <c r="L9" s="3">
        <v>136</v>
      </c>
      <c r="M9" s="2"/>
      <c r="N9" s="2"/>
      <c r="O9" s="3">
        <v>3</v>
      </c>
      <c r="P9" s="2"/>
      <c r="Q9" s="2"/>
      <c r="R9" s="2"/>
      <c r="S9" s="3">
        <v>2</v>
      </c>
      <c r="T9" s="2"/>
      <c r="U9" s="2"/>
    </row>
    <row r="10" spans="1:26" ht="15.75" customHeight="1" x14ac:dyDescent="0.3">
      <c r="A10" s="1">
        <v>45536</v>
      </c>
      <c r="B10" s="2"/>
      <c r="C10" s="3">
        <v>67</v>
      </c>
      <c r="D10" s="3">
        <v>530</v>
      </c>
      <c r="E10" s="2"/>
      <c r="F10" s="2"/>
      <c r="G10" s="2"/>
      <c r="H10" s="2"/>
      <c r="I10" s="3">
        <v>5362</v>
      </c>
      <c r="J10" s="2"/>
      <c r="K10" s="2"/>
      <c r="L10" s="3">
        <v>278</v>
      </c>
      <c r="M10" s="3">
        <v>2</v>
      </c>
      <c r="N10" s="2"/>
      <c r="O10" s="2"/>
      <c r="P10" s="3">
        <v>1</v>
      </c>
      <c r="Q10" s="2"/>
      <c r="R10" s="2"/>
      <c r="S10" s="3">
        <v>167</v>
      </c>
      <c r="T10" s="2"/>
      <c r="U10" s="2"/>
    </row>
    <row r="11" spans="1:26" ht="15.75" customHeight="1" x14ac:dyDescent="0.3">
      <c r="A11" s="1">
        <v>45566</v>
      </c>
      <c r="B11" s="2"/>
      <c r="C11" s="3">
        <v>3</v>
      </c>
      <c r="D11" s="3">
        <v>240</v>
      </c>
      <c r="E11" s="2"/>
      <c r="F11" s="2"/>
      <c r="G11" s="2"/>
      <c r="H11" s="2"/>
      <c r="I11" s="3">
        <v>3264</v>
      </c>
      <c r="J11" s="2"/>
      <c r="K11" s="2"/>
      <c r="L11" s="3">
        <v>982</v>
      </c>
      <c r="M11" s="3">
        <v>1</v>
      </c>
      <c r="N11" s="2"/>
      <c r="O11" s="2"/>
      <c r="P11" s="2"/>
      <c r="Q11" s="2"/>
      <c r="R11" s="2"/>
      <c r="S11" s="3">
        <v>165</v>
      </c>
      <c r="T11" s="3">
        <v>1</v>
      </c>
      <c r="U11" s="2"/>
    </row>
    <row r="12" spans="1:26" ht="15.75" customHeight="1" x14ac:dyDescent="0.3">
      <c r="A12" s="1">
        <v>45597</v>
      </c>
      <c r="B12" s="2"/>
      <c r="C12" s="3">
        <v>2</v>
      </c>
      <c r="D12" s="3">
        <v>45</v>
      </c>
      <c r="E12" s="2"/>
      <c r="F12" s="2"/>
      <c r="G12" s="2"/>
      <c r="H12" s="2"/>
      <c r="I12" s="3">
        <v>783</v>
      </c>
      <c r="J12" s="2"/>
      <c r="K12" s="2"/>
      <c r="L12" s="3">
        <v>492</v>
      </c>
      <c r="M12" s="2"/>
      <c r="N12" s="2"/>
      <c r="O12" s="2"/>
      <c r="P12" s="2"/>
      <c r="Q12" s="2"/>
      <c r="R12" s="2"/>
      <c r="S12" s="3">
        <v>35</v>
      </c>
      <c r="T12" s="2"/>
      <c r="U12" s="2"/>
    </row>
    <row r="13" spans="1:26" ht="15.75" customHeight="1" x14ac:dyDescent="0.3">
      <c r="A13" s="1">
        <v>45627</v>
      </c>
      <c r="B13" s="2"/>
      <c r="C13" s="2"/>
      <c r="D13" s="3">
        <v>4</v>
      </c>
      <c r="E13" s="2"/>
      <c r="F13" s="2"/>
      <c r="G13" s="2"/>
      <c r="H13" s="2"/>
      <c r="I13" s="3">
        <v>33</v>
      </c>
      <c r="J13" s="2"/>
      <c r="K13" s="2"/>
      <c r="L13" s="3">
        <v>4</v>
      </c>
      <c r="M13" s="2"/>
      <c r="N13" s="2"/>
      <c r="O13" s="2"/>
      <c r="P13" s="2"/>
      <c r="Q13" s="2"/>
      <c r="R13" s="2"/>
      <c r="S13" s="3">
        <v>3</v>
      </c>
      <c r="T13" s="3">
        <v>1</v>
      </c>
      <c r="U13" s="2"/>
    </row>
    <row r="14" spans="1:26" ht="15.75" customHeight="1" x14ac:dyDescent="0.3">
      <c r="A14" s="1">
        <v>45658</v>
      </c>
      <c r="B14" s="2"/>
      <c r="C14" s="3">
        <v>2</v>
      </c>
      <c r="D14" s="3">
        <v>6</v>
      </c>
      <c r="E14" s="2"/>
      <c r="F14" s="2"/>
      <c r="G14" s="2"/>
      <c r="H14" s="2"/>
      <c r="I14" s="3">
        <v>23</v>
      </c>
      <c r="J14" s="2"/>
      <c r="K14" s="2"/>
      <c r="L14" s="3">
        <v>67</v>
      </c>
      <c r="M14" s="2"/>
      <c r="N14" s="2"/>
      <c r="O14" s="2"/>
      <c r="P14" s="2"/>
      <c r="Q14" s="2"/>
      <c r="R14" s="2"/>
      <c r="S14" s="3">
        <v>6</v>
      </c>
      <c r="T14" s="2"/>
      <c r="U14" s="3">
        <v>1</v>
      </c>
    </row>
    <row r="15" spans="1:26" ht="15.75" customHeight="1" x14ac:dyDescent="0.3">
      <c r="A15" s="1">
        <v>45689</v>
      </c>
      <c r="B15" s="2"/>
      <c r="C15" s="3">
        <v>4</v>
      </c>
      <c r="D15" s="2"/>
      <c r="E15" s="2"/>
      <c r="F15" s="2"/>
      <c r="G15" s="2"/>
      <c r="H15" s="2"/>
      <c r="I15" s="3">
        <v>9</v>
      </c>
      <c r="J15" s="2"/>
      <c r="K15" s="2"/>
      <c r="L15" s="3">
        <v>7</v>
      </c>
      <c r="M15" s="2"/>
      <c r="N15" s="2"/>
      <c r="O15" s="2"/>
      <c r="P15" s="2"/>
      <c r="Q15" s="2"/>
      <c r="R15" s="2"/>
      <c r="S15" s="2"/>
      <c r="T15" s="2"/>
      <c r="U15" s="2"/>
    </row>
    <row r="16" spans="1:26" ht="15.75" customHeight="1" x14ac:dyDescent="0.3">
      <c r="A16" s="1">
        <v>45717</v>
      </c>
      <c r="B16" s="2"/>
      <c r="C16" s="3">
        <v>31</v>
      </c>
      <c r="D16" s="3">
        <v>738</v>
      </c>
      <c r="E16" s="3">
        <v>131</v>
      </c>
      <c r="F16" s="2"/>
      <c r="G16" s="2"/>
      <c r="H16" s="2"/>
      <c r="I16" s="3">
        <v>3027</v>
      </c>
      <c r="J16" s="2"/>
      <c r="K16" s="3">
        <v>1</v>
      </c>
      <c r="L16" s="3">
        <v>728</v>
      </c>
      <c r="M16" s="2"/>
      <c r="N16" s="2"/>
      <c r="O16" s="2"/>
      <c r="P16" s="3">
        <v>7</v>
      </c>
      <c r="Q16" s="2"/>
      <c r="R16" s="3">
        <v>432</v>
      </c>
      <c r="S16" s="2"/>
      <c r="T16" s="3">
        <v>2</v>
      </c>
      <c r="U16" s="2"/>
    </row>
    <row r="17" spans="1:21" ht="15.75" customHeight="1" x14ac:dyDescent="0.3">
      <c r="A17" s="1">
        <v>45748</v>
      </c>
      <c r="B17" s="2"/>
      <c r="C17" s="3">
        <v>48</v>
      </c>
      <c r="D17" s="3">
        <v>1749</v>
      </c>
      <c r="E17" s="3">
        <v>473</v>
      </c>
      <c r="F17" s="2"/>
      <c r="G17" s="2"/>
      <c r="H17" s="2"/>
      <c r="I17" s="3">
        <v>4754</v>
      </c>
      <c r="J17" s="2"/>
      <c r="K17" s="3">
        <v>1</v>
      </c>
      <c r="L17" s="3">
        <v>1152</v>
      </c>
      <c r="M17" s="2"/>
      <c r="N17" s="2"/>
      <c r="O17" s="2"/>
      <c r="P17" s="3">
        <v>6</v>
      </c>
      <c r="Q17" s="2"/>
      <c r="R17" s="3">
        <v>907</v>
      </c>
      <c r="S17" s="2"/>
      <c r="T17" s="2"/>
      <c r="U17" s="2"/>
    </row>
    <row r="18" spans="1:21" ht="15.75" customHeight="1" x14ac:dyDescent="0.3">
      <c r="A18" s="1">
        <v>45778</v>
      </c>
      <c r="B18" s="2"/>
      <c r="C18" s="3">
        <v>6</v>
      </c>
      <c r="D18" s="3">
        <v>4002</v>
      </c>
      <c r="E18" s="3">
        <v>680</v>
      </c>
      <c r="F18" s="2"/>
      <c r="G18" s="2"/>
      <c r="H18" s="3">
        <v>1</v>
      </c>
      <c r="I18" s="3">
        <v>5673</v>
      </c>
      <c r="J18" s="2"/>
      <c r="K18" s="2"/>
      <c r="L18" s="3">
        <v>2984</v>
      </c>
      <c r="M18" s="2"/>
      <c r="N18" s="2"/>
      <c r="O18" s="2"/>
      <c r="P18" s="3">
        <v>9</v>
      </c>
      <c r="Q18" s="2"/>
      <c r="R18" s="3">
        <v>1375</v>
      </c>
      <c r="S18" s="2"/>
      <c r="T18" s="2"/>
      <c r="U18" s="2"/>
    </row>
    <row r="19" spans="1:21" ht="15.75" customHeight="1" x14ac:dyDescent="0.3">
      <c r="A19" s="1">
        <v>45809</v>
      </c>
      <c r="B19" s="2"/>
      <c r="C19" s="3">
        <v>130</v>
      </c>
      <c r="D19" s="3">
        <v>3987</v>
      </c>
      <c r="E19" s="3">
        <v>783</v>
      </c>
      <c r="F19" s="3">
        <v>20</v>
      </c>
      <c r="G19" s="2"/>
      <c r="H19" s="2"/>
      <c r="I19" s="3">
        <v>7131</v>
      </c>
      <c r="J19" s="2"/>
      <c r="K19" s="2"/>
      <c r="L19" s="3">
        <v>2763</v>
      </c>
      <c r="M19" s="3">
        <v>2</v>
      </c>
      <c r="N19" s="2"/>
      <c r="O19" s="2"/>
      <c r="P19" s="3">
        <v>25</v>
      </c>
      <c r="Q19" s="2"/>
      <c r="R19" s="3">
        <v>935</v>
      </c>
      <c r="S19" s="2"/>
      <c r="T19" s="3">
        <v>1</v>
      </c>
      <c r="U19" s="2"/>
    </row>
    <row r="20" spans="1:21" ht="15.75" customHeight="1" x14ac:dyDescent="0.3">
      <c r="A20" s="1">
        <v>45839</v>
      </c>
      <c r="B20" s="2"/>
      <c r="C20" s="3">
        <v>150</v>
      </c>
      <c r="D20" s="3">
        <v>3438</v>
      </c>
      <c r="E20" s="3">
        <v>558</v>
      </c>
      <c r="F20" s="3">
        <v>5</v>
      </c>
      <c r="G20" s="2"/>
      <c r="H20" s="2"/>
      <c r="I20" s="3">
        <v>10373</v>
      </c>
      <c r="J20" s="2"/>
      <c r="K20" s="2"/>
      <c r="L20" s="3">
        <v>1999</v>
      </c>
      <c r="M20" s="2"/>
      <c r="N20" s="2"/>
      <c r="O20" s="2"/>
      <c r="P20" s="3">
        <v>5</v>
      </c>
      <c r="Q20" s="2"/>
      <c r="R20" s="3">
        <v>498</v>
      </c>
      <c r="S20" s="2"/>
      <c r="T20" s="2"/>
      <c r="U20" s="2"/>
    </row>
    <row r="21" spans="1:21" ht="15.75" customHeight="1" x14ac:dyDescent="0.3">
      <c r="A21" s="1">
        <v>45870</v>
      </c>
      <c r="B21" s="2"/>
      <c r="C21" s="3">
        <v>117</v>
      </c>
      <c r="D21" s="3">
        <v>2075</v>
      </c>
      <c r="E21" s="3">
        <v>374</v>
      </c>
      <c r="F21" s="3">
        <v>2</v>
      </c>
      <c r="G21" s="2"/>
      <c r="H21" s="2"/>
      <c r="I21" s="3">
        <v>8310</v>
      </c>
      <c r="J21" s="2"/>
      <c r="K21" s="3">
        <v>1</v>
      </c>
      <c r="L21" s="3">
        <v>1823</v>
      </c>
      <c r="M21" s="2"/>
      <c r="N21" s="2"/>
      <c r="O21" s="2"/>
      <c r="P21" s="3">
        <v>5</v>
      </c>
      <c r="Q21" s="2"/>
      <c r="R21" s="3">
        <v>393</v>
      </c>
      <c r="S21" s="2"/>
      <c r="T21" s="2"/>
      <c r="U21" s="2"/>
    </row>
    <row r="22" spans="1:21" ht="15.75" customHeight="1" x14ac:dyDescent="0.3">
      <c r="A22" s="1">
        <v>45901</v>
      </c>
      <c r="B22" s="2"/>
      <c r="C22" s="3">
        <v>85</v>
      </c>
      <c r="D22" s="3">
        <v>1334</v>
      </c>
      <c r="E22" s="3">
        <v>192</v>
      </c>
      <c r="F22" s="3">
        <v>4</v>
      </c>
      <c r="G22" s="2"/>
      <c r="H22" s="2"/>
      <c r="I22" s="3">
        <v>6037</v>
      </c>
      <c r="J22" s="2"/>
      <c r="K22" s="2"/>
      <c r="L22" s="3">
        <v>635</v>
      </c>
      <c r="M22" s="2"/>
      <c r="N22" s="2"/>
      <c r="O22" s="2"/>
      <c r="P22" s="3">
        <v>12</v>
      </c>
      <c r="Q22" s="2"/>
      <c r="R22" s="3">
        <v>324</v>
      </c>
      <c r="S22" s="2"/>
      <c r="T22" s="2"/>
      <c r="U22" s="2"/>
    </row>
    <row r="23" spans="1:21" ht="15.75" customHeight="1" x14ac:dyDescent="0.3">
      <c r="A23" s="1">
        <v>45931</v>
      </c>
      <c r="B23" s="2"/>
      <c r="C23" s="3">
        <v>46</v>
      </c>
      <c r="D23" s="3">
        <v>571</v>
      </c>
      <c r="E23" s="3">
        <v>67</v>
      </c>
      <c r="F23" s="3">
        <v>1</v>
      </c>
      <c r="G23" s="2"/>
      <c r="H23" s="2"/>
      <c r="I23" s="3">
        <v>3658</v>
      </c>
      <c r="J23" s="2"/>
      <c r="K23" s="2"/>
      <c r="L23" s="3">
        <v>346</v>
      </c>
      <c r="M23" s="2"/>
      <c r="N23" s="2"/>
      <c r="O23" s="2"/>
      <c r="P23" s="3">
        <v>6</v>
      </c>
      <c r="Q23" s="2"/>
      <c r="R23" s="3">
        <v>123</v>
      </c>
      <c r="S23" s="2"/>
      <c r="T23" s="2"/>
      <c r="U23" s="2"/>
    </row>
    <row r="24" spans="1:21" ht="15.75" customHeight="1" x14ac:dyDescent="0.3">
      <c r="A24" s="1">
        <v>45962</v>
      </c>
      <c r="B24" s="2"/>
      <c r="C24" s="3">
        <v>22</v>
      </c>
      <c r="D24" s="3">
        <v>163</v>
      </c>
      <c r="E24" s="3">
        <v>24</v>
      </c>
      <c r="F24" s="3">
        <v>2</v>
      </c>
      <c r="G24" s="3">
        <v>56</v>
      </c>
      <c r="H24" s="2"/>
      <c r="I24" s="3">
        <v>1903</v>
      </c>
      <c r="J24" s="2"/>
      <c r="K24" s="2"/>
      <c r="L24" s="3">
        <v>70</v>
      </c>
      <c r="M24" s="3">
        <v>3</v>
      </c>
      <c r="N24" s="3">
        <v>15</v>
      </c>
      <c r="O24" s="2"/>
      <c r="P24" s="3">
        <v>1</v>
      </c>
      <c r="Q24" s="3">
        <v>8</v>
      </c>
      <c r="R24" s="3">
        <v>6</v>
      </c>
      <c r="S24" s="2"/>
      <c r="T24" s="2"/>
      <c r="U24" s="2"/>
    </row>
    <row r="25" spans="1:21" ht="15.75" customHeight="1" x14ac:dyDescent="0.3">
      <c r="A25" s="1">
        <v>45992</v>
      </c>
      <c r="B25" s="2"/>
      <c r="C25" s="3">
        <v>2</v>
      </c>
      <c r="D25" s="3">
        <v>14</v>
      </c>
      <c r="E25" s="3">
        <v>5</v>
      </c>
      <c r="F25" s="2"/>
      <c r="G25" s="3">
        <v>32</v>
      </c>
      <c r="H25" s="2"/>
      <c r="I25" s="3">
        <v>769</v>
      </c>
      <c r="J25" s="2"/>
      <c r="K25" s="2"/>
      <c r="L25" s="3">
        <v>4</v>
      </c>
      <c r="M25" s="2"/>
      <c r="N25" s="3">
        <v>6</v>
      </c>
      <c r="O25" s="2"/>
      <c r="P25" s="3">
        <v>3</v>
      </c>
      <c r="Q25" s="3">
        <v>2</v>
      </c>
      <c r="R25" s="2"/>
      <c r="S25" s="2"/>
      <c r="T25" s="2"/>
      <c r="U25" s="2"/>
    </row>
    <row r="26" spans="1:21" ht="15.75" customHeight="1" x14ac:dyDescent="0.3">
      <c r="A26" s="1">
        <v>46023</v>
      </c>
      <c r="B26" s="2"/>
      <c r="C26" s="2"/>
      <c r="D26" s="3">
        <v>9</v>
      </c>
      <c r="E26" s="3">
        <v>5</v>
      </c>
      <c r="F26" s="2"/>
      <c r="G26" s="2"/>
      <c r="H26" s="2"/>
      <c r="I26" s="3">
        <v>307</v>
      </c>
      <c r="J26" s="2"/>
      <c r="K26" s="2"/>
      <c r="L26" s="3">
        <v>84</v>
      </c>
      <c r="M26" s="2"/>
      <c r="N26" s="3">
        <v>8</v>
      </c>
      <c r="O26" s="2"/>
      <c r="P26" s="3">
        <v>2</v>
      </c>
      <c r="Q26" s="2"/>
      <c r="R26" s="2"/>
      <c r="S26" s="2"/>
      <c r="T26" s="2"/>
      <c r="U26" s="2"/>
    </row>
    <row r="27" spans="1:21" ht="15.75" customHeight="1" x14ac:dyDescent="0.3">
      <c r="A27" s="1">
        <v>46054</v>
      </c>
      <c r="B27" s="3">
        <v>1</v>
      </c>
      <c r="C27" s="2"/>
      <c r="D27" s="3">
        <v>5</v>
      </c>
      <c r="E27" s="3">
        <v>3</v>
      </c>
      <c r="F27" s="2"/>
      <c r="G27" s="3">
        <v>4</v>
      </c>
      <c r="H27" s="2"/>
      <c r="I27" s="3">
        <v>381</v>
      </c>
      <c r="J27" s="3">
        <v>85</v>
      </c>
      <c r="K27" s="2"/>
      <c r="L27" s="3">
        <v>73</v>
      </c>
      <c r="M27" s="2"/>
      <c r="N27" s="3">
        <v>1</v>
      </c>
      <c r="O27" s="2"/>
      <c r="P27" s="2"/>
      <c r="Q27" s="3">
        <v>3</v>
      </c>
      <c r="R27" s="2"/>
      <c r="S27" s="2"/>
      <c r="T27" s="3">
        <v>2</v>
      </c>
      <c r="U27" s="2"/>
    </row>
    <row r="28" spans="1:21" ht="15.75" customHeight="1" x14ac:dyDescent="0.3">
      <c r="A28" s="1">
        <v>46082</v>
      </c>
      <c r="B28" s="2"/>
      <c r="C28" s="2"/>
      <c r="D28" s="3">
        <v>3</v>
      </c>
      <c r="E28" s="3">
        <v>2</v>
      </c>
      <c r="F28" s="2"/>
      <c r="G28" s="3">
        <v>1</v>
      </c>
      <c r="H28" s="2"/>
      <c r="I28" s="3">
        <v>99</v>
      </c>
      <c r="J28" s="3">
        <v>47</v>
      </c>
      <c r="K28" s="2"/>
      <c r="L28" s="3">
        <v>1</v>
      </c>
      <c r="M28" s="2"/>
      <c r="N28" s="3">
        <v>3</v>
      </c>
      <c r="O28" s="2"/>
      <c r="P28" s="2"/>
      <c r="Q28" s="2"/>
      <c r="R28" s="2"/>
      <c r="S28" s="2"/>
      <c r="T28" s="2"/>
      <c r="U28" s="2"/>
    </row>
    <row r="29" spans="1:21" ht="15.75" customHeight="1" x14ac:dyDescent="0.3">
      <c r="A29" s="2" t="s">
        <v>21</v>
      </c>
      <c r="B29" s="2">
        <f>SUM(B2:B28)</f>
        <v>1</v>
      </c>
      <c r="C29" s="2">
        <f t="shared" ref="C29:U29" si="0">SUM(C2:C28)</f>
        <v>1041</v>
      </c>
      <c r="D29" s="2">
        <f t="shared" si="0"/>
        <v>21084</v>
      </c>
      <c r="E29" s="2">
        <f t="shared" si="0"/>
        <v>3297</v>
      </c>
      <c r="F29" s="2">
        <f t="shared" si="0"/>
        <v>34</v>
      </c>
      <c r="G29" s="2">
        <f t="shared" si="0"/>
        <v>93</v>
      </c>
      <c r="H29" s="2">
        <f t="shared" si="0"/>
        <v>1</v>
      </c>
      <c r="I29" s="2">
        <f t="shared" si="0"/>
        <v>84851</v>
      </c>
      <c r="J29" s="2">
        <f t="shared" si="0"/>
        <v>132</v>
      </c>
      <c r="K29" s="2">
        <f t="shared" si="0"/>
        <v>4</v>
      </c>
      <c r="L29" s="2">
        <f t="shared" si="0"/>
        <v>14628</v>
      </c>
      <c r="M29" s="2">
        <f t="shared" si="0"/>
        <v>9</v>
      </c>
      <c r="N29" s="2">
        <f t="shared" si="0"/>
        <v>33</v>
      </c>
      <c r="O29" s="2">
        <f t="shared" si="0"/>
        <v>48</v>
      </c>
      <c r="P29" s="2">
        <f t="shared" si="0"/>
        <v>82</v>
      </c>
      <c r="Q29" s="2">
        <f t="shared" si="0"/>
        <v>13</v>
      </c>
      <c r="R29" s="2">
        <f t="shared" si="0"/>
        <v>4993</v>
      </c>
      <c r="S29" s="2">
        <f t="shared" si="0"/>
        <v>378</v>
      </c>
      <c r="T29" s="2">
        <f t="shared" si="0"/>
        <v>11</v>
      </c>
      <c r="U29" s="2">
        <f t="shared" si="0"/>
        <v>2</v>
      </c>
    </row>
    <row r="30" spans="1:21" ht="15.75" customHeight="1" x14ac:dyDescent="0.3"/>
    <row r="31" spans="1:21" ht="15.75" customHeight="1" x14ac:dyDescent="0.3"/>
    <row r="32" spans="1:21" ht="15.75" customHeight="1" x14ac:dyDescent="0.3">
      <c r="A32" s="5" t="s">
        <v>0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8</v>
      </c>
      <c r="J32" s="5" t="s">
        <v>9</v>
      </c>
      <c r="K32" s="5" t="s">
        <v>10</v>
      </c>
      <c r="L32" s="5" t="s">
        <v>11</v>
      </c>
      <c r="M32" s="5" t="s">
        <v>12</v>
      </c>
      <c r="N32" s="5" t="s">
        <v>13</v>
      </c>
      <c r="O32" s="5" t="s">
        <v>14</v>
      </c>
      <c r="P32" s="5" t="s">
        <v>15</v>
      </c>
      <c r="Q32" s="5" t="s">
        <v>16</v>
      </c>
      <c r="R32" s="5" t="s">
        <v>17</v>
      </c>
      <c r="S32" s="5" t="s">
        <v>18</v>
      </c>
      <c r="T32" s="5" t="s">
        <v>19</v>
      </c>
      <c r="U32" s="5" t="s">
        <v>20</v>
      </c>
    </row>
    <row r="33" spans="1:21" ht="15.75" customHeight="1" x14ac:dyDescent="0.3">
      <c r="A33" s="1">
        <v>45292</v>
      </c>
      <c r="B33" s="12">
        <f>B2/B$29</f>
        <v>0</v>
      </c>
      <c r="C33" s="12">
        <f t="shared" ref="C33:U47" si="1">C2/C$29</f>
        <v>0</v>
      </c>
      <c r="D33" s="12">
        <f t="shared" si="1"/>
        <v>0</v>
      </c>
      <c r="E33" s="12">
        <f t="shared" si="1"/>
        <v>0</v>
      </c>
      <c r="F33" s="12">
        <f t="shared" si="1"/>
        <v>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0</v>
      </c>
      <c r="L33" s="12">
        <f t="shared" si="1"/>
        <v>0</v>
      </c>
      <c r="M33" s="12">
        <f t="shared" si="1"/>
        <v>0</v>
      </c>
      <c r="N33" s="12">
        <f t="shared" si="1"/>
        <v>0</v>
      </c>
      <c r="O33" s="12">
        <f t="shared" si="1"/>
        <v>0</v>
      </c>
      <c r="P33" s="12">
        <f t="shared" si="1"/>
        <v>0</v>
      </c>
      <c r="Q33" s="12">
        <f t="shared" si="1"/>
        <v>0</v>
      </c>
      <c r="R33" s="12">
        <f t="shared" si="1"/>
        <v>0</v>
      </c>
      <c r="S33" s="12">
        <f t="shared" si="1"/>
        <v>0</v>
      </c>
      <c r="T33" s="12">
        <f t="shared" si="1"/>
        <v>0.18181818181818182</v>
      </c>
      <c r="U33" s="12">
        <f t="shared" si="1"/>
        <v>0</v>
      </c>
    </row>
    <row r="34" spans="1:21" ht="15.75" customHeight="1" x14ac:dyDescent="0.3">
      <c r="A34" s="1">
        <v>45323</v>
      </c>
      <c r="B34" s="12">
        <f t="shared" ref="B34:Q60" si="2">B3/B$29</f>
        <v>0</v>
      </c>
      <c r="C34" s="12">
        <f t="shared" si="2"/>
        <v>0</v>
      </c>
      <c r="D34" s="12">
        <f t="shared" si="2"/>
        <v>0</v>
      </c>
      <c r="E34" s="12">
        <f t="shared" si="2"/>
        <v>0</v>
      </c>
      <c r="F34" s="12">
        <f t="shared" si="2"/>
        <v>0</v>
      </c>
      <c r="G34" s="12">
        <f t="shared" si="2"/>
        <v>0</v>
      </c>
      <c r="H34" s="12">
        <f t="shared" si="2"/>
        <v>0</v>
      </c>
      <c r="I34" s="12">
        <f t="shared" si="2"/>
        <v>4.7141459735300706E-5</v>
      </c>
      <c r="J34" s="12">
        <f t="shared" si="2"/>
        <v>0</v>
      </c>
      <c r="K34" s="12">
        <f t="shared" si="2"/>
        <v>0</v>
      </c>
      <c r="L34" s="12">
        <f t="shared" si="2"/>
        <v>0</v>
      </c>
      <c r="M34" s="12">
        <f t="shared" si="2"/>
        <v>0</v>
      </c>
      <c r="N34" s="12">
        <f t="shared" si="2"/>
        <v>0</v>
      </c>
      <c r="O34" s="12">
        <f t="shared" si="2"/>
        <v>0</v>
      </c>
      <c r="P34" s="12">
        <f t="shared" si="2"/>
        <v>0</v>
      </c>
      <c r="Q34" s="12">
        <f t="shared" si="2"/>
        <v>0</v>
      </c>
      <c r="R34" s="12">
        <f t="shared" si="1"/>
        <v>0</v>
      </c>
      <c r="S34" s="12">
        <f t="shared" si="1"/>
        <v>0</v>
      </c>
      <c r="T34" s="12">
        <f t="shared" si="1"/>
        <v>0</v>
      </c>
      <c r="U34" s="12">
        <f t="shared" si="1"/>
        <v>0</v>
      </c>
    </row>
    <row r="35" spans="1:21" ht="15.75" customHeight="1" x14ac:dyDescent="0.3">
      <c r="A35" s="1">
        <v>45352</v>
      </c>
      <c r="B35" s="12">
        <f t="shared" si="2"/>
        <v>0</v>
      </c>
      <c r="C35" s="12">
        <f t="shared" si="1"/>
        <v>0</v>
      </c>
      <c r="D35" s="12">
        <f t="shared" si="1"/>
        <v>0</v>
      </c>
      <c r="E35" s="12">
        <f t="shared" si="1"/>
        <v>0</v>
      </c>
      <c r="F35" s="12">
        <f t="shared" si="1"/>
        <v>0</v>
      </c>
      <c r="G35" s="12">
        <f t="shared" si="1"/>
        <v>0</v>
      </c>
      <c r="H35" s="12">
        <f t="shared" si="1"/>
        <v>0</v>
      </c>
      <c r="I35" s="12">
        <f t="shared" si="1"/>
        <v>1.7678047400737764E-4</v>
      </c>
      <c r="J35" s="12">
        <f t="shared" si="1"/>
        <v>0</v>
      </c>
      <c r="K35" s="12">
        <f t="shared" si="1"/>
        <v>0</v>
      </c>
      <c r="L35" s="12">
        <f t="shared" si="1"/>
        <v>0</v>
      </c>
      <c r="M35" s="12">
        <f t="shared" si="1"/>
        <v>0</v>
      </c>
      <c r="N35" s="12">
        <f t="shared" si="1"/>
        <v>0</v>
      </c>
      <c r="O35" s="12">
        <f t="shared" si="1"/>
        <v>0</v>
      </c>
      <c r="P35" s="12">
        <f t="shared" si="1"/>
        <v>0</v>
      </c>
      <c r="Q35" s="12">
        <f t="shared" si="1"/>
        <v>0</v>
      </c>
      <c r="R35" s="12">
        <f t="shared" si="1"/>
        <v>0</v>
      </c>
      <c r="S35" s="12">
        <f t="shared" si="1"/>
        <v>0</v>
      </c>
      <c r="T35" s="12">
        <f t="shared" si="1"/>
        <v>0</v>
      </c>
      <c r="U35" s="12">
        <f t="shared" si="1"/>
        <v>0</v>
      </c>
    </row>
    <row r="36" spans="1:21" ht="15.75" customHeight="1" x14ac:dyDescent="0.3">
      <c r="A36" s="1">
        <v>45383</v>
      </c>
      <c r="B36" s="12">
        <f t="shared" si="2"/>
        <v>0</v>
      </c>
      <c r="C36" s="12">
        <f t="shared" si="1"/>
        <v>0</v>
      </c>
      <c r="D36" s="12">
        <f t="shared" si="1"/>
        <v>5.7863782963384555E-3</v>
      </c>
      <c r="E36" s="12">
        <f t="shared" si="1"/>
        <v>0</v>
      </c>
      <c r="F36" s="12">
        <f t="shared" si="1"/>
        <v>0</v>
      </c>
      <c r="G36" s="12">
        <f t="shared" si="1"/>
        <v>0</v>
      </c>
      <c r="H36" s="12">
        <f t="shared" si="1"/>
        <v>0</v>
      </c>
      <c r="I36" s="12">
        <f t="shared" si="1"/>
        <v>5.1266337462139511E-3</v>
      </c>
      <c r="J36" s="12">
        <f t="shared" si="1"/>
        <v>0</v>
      </c>
      <c r="K36" s="12">
        <f t="shared" si="1"/>
        <v>0.25</v>
      </c>
      <c r="L36" s="12">
        <f t="shared" si="1"/>
        <v>0</v>
      </c>
      <c r="M36" s="12">
        <f t="shared" si="1"/>
        <v>0</v>
      </c>
      <c r="N36" s="12">
        <f t="shared" si="1"/>
        <v>0</v>
      </c>
      <c r="O36" s="12">
        <f t="shared" si="1"/>
        <v>0</v>
      </c>
      <c r="P36" s="12">
        <f t="shared" si="1"/>
        <v>0</v>
      </c>
      <c r="Q36" s="12">
        <f t="shared" si="1"/>
        <v>0</v>
      </c>
      <c r="R36" s="12">
        <f t="shared" si="1"/>
        <v>0</v>
      </c>
      <c r="S36" s="12">
        <f t="shared" si="1"/>
        <v>0</v>
      </c>
      <c r="T36" s="12">
        <f t="shared" si="1"/>
        <v>0</v>
      </c>
      <c r="U36" s="12">
        <f t="shared" si="1"/>
        <v>0</v>
      </c>
    </row>
    <row r="37" spans="1:21" ht="15.75" customHeight="1" x14ac:dyDescent="0.3">
      <c r="A37" s="1">
        <v>45413</v>
      </c>
      <c r="B37" s="12">
        <f t="shared" si="2"/>
        <v>0</v>
      </c>
      <c r="C37" s="12">
        <f t="shared" si="1"/>
        <v>3.4582132564841501E-2</v>
      </c>
      <c r="D37" s="12">
        <f t="shared" si="1"/>
        <v>2.7034718269778029E-2</v>
      </c>
      <c r="E37" s="12">
        <f t="shared" si="1"/>
        <v>0</v>
      </c>
      <c r="F37" s="12">
        <f t="shared" si="1"/>
        <v>0</v>
      </c>
      <c r="G37" s="12">
        <f t="shared" si="1"/>
        <v>0</v>
      </c>
      <c r="H37" s="12">
        <f t="shared" si="1"/>
        <v>0</v>
      </c>
      <c r="I37" s="12">
        <f t="shared" si="1"/>
        <v>2.2427549469069309E-2</v>
      </c>
      <c r="J37" s="12">
        <f t="shared" si="1"/>
        <v>0</v>
      </c>
      <c r="K37" s="12">
        <f t="shared" si="1"/>
        <v>0</v>
      </c>
      <c r="L37" s="12">
        <f t="shared" si="1"/>
        <v>0</v>
      </c>
      <c r="M37" s="12">
        <f t="shared" si="1"/>
        <v>0.1111111111111111</v>
      </c>
      <c r="N37" s="12">
        <f t="shared" si="1"/>
        <v>0</v>
      </c>
      <c r="O37" s="12">
        <f t="shared" si="1"/>
        <v>0.66666666666666663</v>
      </c>
      <c r="P37" s="12">
        <f t="shared" si="1"/>
        <v>0</v>
      </c>
      <c r="Q37" s="12">
        <f t="shared" si="1"/>
        <v>0</v>
      </c>
      <c r="R37" s="12">
        <f t="shared" si="1"/>
        <v>0</v>
      </c>
      <c r="S37" s="12">
        <f t="shared" si="1"/>
        <v>0</v>
      </c>
      <c r="T37" s="12">
        <f t="shared" si="1"/>
        <v>0</v>
      </c>
      <c r="U37" s="12">
        <f t="shared" si="1"/>
        <v>0.5</v>
      </c>
    </row>
    <row r="38" spans="1:21" ht="15.75" customHeight="1" x14ac:dyDescent="0.3">
      <c r="A38" s="1">
        <v>45444</v>
      </c>
      <c r="B38" s="12">
        <f t="shared" si="2"/>
        <v>0</v>
      </c>
      <c r="C38" s="12">
        <f t="shared" si="1"/>
        <v>6.7243035542747355E-3</v>
      </c>
      <c r="D38" s="12">
        <f t="shared" si="1"/>
        <v>1.2853348510719028E-2</v>
      </c>
      <c r="E38" s="12">
        <f t="shared" si="1"/>
        <v>0</v>
      </c>
      <c r="F38" s="12">
        <f t="shared" si="1"/>
        <v>0</v>
      </c>
      <c r="G38" s="12">
        <f t="shared" si="1"/>
        <v>0</v>
      </c>
      <c r="H38" s="12">
        <f t="shared" si="1"/>
        <v>0</v>
      </c>
      <c r="I38" s="12">
        <f t="shared" si="1"/>
        <v>1.0217911397626428E-2</v>
      </c>
      <c r="J38" s="12">
        <f t="shared" si="1"/>
        <v>0</v>
      </c>
      <c r="K38" s="12">
        <f t="shared" si="1"/>
        <v>0</v>
      </c>
      <c r="L38" s="12">
        <f t="shared" si="1"/>
        <v>0</v>
      </c>
      <c r="M38" s="12">
        <f t="shared" si="1"/>
        <v>0</v>
      </c>
      <c r="N38" s="12">
        <f t="shared" si="1"/>
        <v>0</v>
      </c>
      <c r="O38" s="12">
        <f t="shared" si="1"/>
        <v>0.14583333333333334</v>
      </c>
      <c r="P38" s="12">
        <f t="shared" si="1"/>
        <v>0</v>
      </c>
      <c r="Q38" s="12">
        <f t="shared" si="1"/>
        <v>0</v>
      </c>
      <c r="R38" s="12">
        <f t="shared" si="1"/>
        <v>0</v>
      </c>
      <c r="S38" s="12">
        <f t="shared" si="1"/>
        <v>0</v>
      </c>
      <c r="T38" s="12">
        <f t="shared" si="1"/>
        <v>0</v>
      </c>
      <c r="U38" s="12">
        <f t="shared" si="1"/>
        <v>0</v>
      </c>
    </row>
    <row r="39" spans="1:21" ht="15.75" customHeight="1" x14ac:dyDescent="0.3">
      <c r="A39" s="1">
        <v>45474</v>
      </c>
      <c r="B39" s="12">
        <f t="shared" si="2"/>
        <v>0</v>
      </c>
      <c r="C39" s="12">
        <f t="shared" si="1"/>
        <v>0.25264169068203651</v>
      </c>
      <c r="D39" s="12">
        <f t="shared" si="1"/>
        <v>2.7224435590969456E-2</v>
      </c>
      <c r="E39" s="12">
        <f t="shared" si="1"/>
        <v>0</v>
      </c>
      <c r="F39" s="12">
        <f t="shared" si="1"/>
        <v>0</v>
      </c>
      <c r="G39" s="12">
        <f t="shared" si="1"/>
        <v>0</v>
      </c>
      <c r="H39" s="12">
        <f t="shared" si="1"/>
        <v>0</v>
      </c>
      <c r="I39" s="12">
        <f t="shared" si="1"/>
        <v>0.11628619580205302</v>
      </c>
      <c r="J39" s="12">
        <f t="shared" si="1"/>
        <v>0</v>
      </c>
      <c r="K39" s="12">
        <f t="shared" si="1"/>
        <v>0</v>
      </c>
      <c r="L39" s="12">
        <f t="shared" si="1"/>
        <v>0</v>
      </c>
      <c r="M39" s="12">
        <f t="shared" si="1"/>
        <v>0</v>
      </c>
      <c r="N39" s="12">
        <f t="shared" si="1"/>
        <v>0</v>
      </c>
      <c r="O39" s="12">
        <f t="shared" si="1"/>
        <v>0.125</v>
      </c>
      <c r="P39" s="12">
        <f t="shared" si="1"/>
        <v>0</v>
      </c>
      <c r="Q39" s="12">
        <f t="shared" si="1"/>
        <v>0</v>
      </c>
      <c r="R39" s="12">
        <f t="shared" si="1"/>
        <v>0</v>
      </c>
      <c r="S39" s="12">
        <f t="shared" si="1"/>
        <v>0</v>
      </c>
      <c r="T39" s="12">
        <f t="shared" si="1"/>
        <v>0.18181818181818182</v>
      </c>
      <c r="U39" s="12">
        <f t="shared" si="1"/>
        <v>0</v>
      </c>
    </row>
    <row r="40" spans="1:21" ht="15.75" customHeight="1" x14ac:dyDescent="0.3">
      <c r="A40" s="1">
        <v>45505</v>
      </c>
      <c r="B40" s="12">
        <f t="shared" si="2"/>
        <v>0</v>
      </c>
      <c r="C40" s="12">
        <f t="shared" si="1"/>
        <v>1.921229586935639E-2</v>
      </c>
      <c r="D40" s="12">
        <f t="shared" si="1"/>
        <v>3.0070195408840827E-2</v>
      </c>
      <c r="E40" s="12">
        <f t="shared" si="1"/>
        <v>0</v>
      </c>
      <c r="F40" s="12">
        <f t="shared" si="1"/>
        <v>0</v>
      </c>
      <c r="G40" s="12">
        <f t="shared" si="1"/>
        <v>0</v>
      </c>
      <c r="H40" s="12">
        <f t="shared" si="1"/>
        <v>0</v>
      </c>
      <c r="I40" s="12">
        <f t="shared" si="1"/>
        <v>0.11625083970725153</v>
      </c>
      <c r="J40" s="12">
        <f t="shared" si="1"/>
        <v>0</v>
      </c>
      <c r="K40" s="12">
        <f t="shared" si="1"/>
        <v>0</v>
      </c>
      <c r="L40" s="12">
        <f t="shared" si="1"/>
        <v>9.2972381733661472E-3</v>
      </c>
      <c r="M40" s="12">
        <f t="shared" si="1"/>
        <v>0</v>
      </c>
      <c r="N40" s="12">
        <f t="shared" si="1"/>
        <v>0</v>
      </c>
      <c r="O40" s="12">
        <f t="shared" si="1"/>
        <v>6.25E-2</v>
      </c>
      <c r="P40" s="12">
        <f t="shared" si="1"/>
        <v>0</v>
      </c>
      <c r="Q40" s="12">
        <f t="shared" si="1"/>
        <v>0</v>
      </c>
      <c r="R40" s="12">
        <f t="shared" si="1"/>
        <v>0</v>
      </c>
      <c r="S40" s="12">
        <f t="shared" si="1"/>
        <v>5.2910052910052907E-3</v>
      </c>
      <c r="T40" s="12">
        <f t="shared" si="1"/>
        <v>0</v>
      </c>
      <c r="U40" s="12">
        <f t="shared" si="1"/>
        <v>0</v>
      </c>
    </row>
    <row r="41" spans="1:21" ht="15.75" customHeight="1" x14ac:dyDescent="0.3">
      <c r="A41" s="1">
        <v>45536</v>
      </c>
      <c r="B41" s="12">
        <f t="shared" si="2"/>
        <v>0</v>
      </c>
      <c r="C41" s="12">
        <f t="shared" si="1"/>
        <v>6.43611911623439E-2</v>
      </c>
      <c r="D41" s="12">
        <f t="shared" si="1"/>
        <v>2.5137545057863784E-2</v>
      </c>
      <c r="E41" s="12">
        <f t="shared" si="1"/>
        <v>0</v>
      </c>
      <c r="F41" s="12">
        <f t="shared" si="1"/>
        <v>0</v>
      </c>
      <c r="G41" s="12">
        <f t="shared" si="1"/>
        <v>0</v>
      </c>
      <c r="H41" s="12">
        <f t="shared" si="1"/>
        <v>0</v>
      </c>
      <c r="I41" s="12">
        <f t="shared" si="1"/>
        <v>6.3193126775170597E-2</v>
      </c>
      <c r="J41" s="12">
        <f t="shared" si="1"/>
        <v>0</v>
      </c>
      <c r="K41" s="12">
        <f t="shared" si="1"/>
        <v>0</v>
      </c>
      <c r="L41" s="12">
        <f t="shared" si="1"/>
        <v>1.9004648619086684E-2</v>
      </c>
      <c r="M41" s="12">
        <f t="shared" si="1"/>
        <v>0.22222222222222221</v>
      </c>
      <c r="N41" s="12">
        <f t="shared" si="1"/>
        <v>0</v>
      </c>
      <c r="O41" s="12">
        <f t="shared" si="1"/>
        <v>0</v>
      </c>
      <c r="P41" s="12">
        <f t="shared" si="1"/>
        <v>1.2195121951219513E-2</v>
      </c>
      <c r="Q41" s="12">
        <f t="shared" si="1"/>
        <v>0</v>
      </c>
      <c r="R41" s="12">
        <f t="shared" si="1"/>
        <v>0</v>
      </c>
      <c r="S41" s="12">
        <f t="shared" si="1"/>
        <v>0.4417989417989418</v>
      </c>
      <c r="T41" s="12">
        <f t="shared" si="1"/>
        <v>0</v>
      </c>
      <c r="U41" s="12">
        <f t="shared" si="1"/>
        <v>0</v>
      </c>
    </row>
    <row r="42" spans="1:21" ht="15.75" customHeight="1" x14ac:dyDescent="0.3">
      <c r="A42" s="1">
        <v>45566</v>
      </c>
      <c r="B42" s="12">
        <f t="shared" si="2"/>
        <v>0</v>
      </c>
      <c r="C42" s="12">
        <f t="shared" si="1"/>
        <v>2.881844380403458E-3</v>
      </c>
      <c r="D42" s="12">
        <f t="shared" si="1"/>
        <v>1.1383039271485486E-2</v>
      </c>
      <c r="E42" s="12">
        <f t="shared" si="1"/>
        <v>0</v>
      </c>
      <c r="F42" s="12">
        <f t="shared" si="1"/>
        <v>0</v>
      </c>
      <c r="G42" s="12">
        <f t="shared" si="1"/>
        <v>0</v>
      </c>
      <c r="H42" s="12">
        <f t="shared" si="1"/>
        <v>0</v>
      </c>
      <c r="I42" s="12">
        <f t="shared" si="1"/>
        <v>3.8467431144005373E-2</v>
      </c>
      <c r="J42" s="12">
        <f t="shared" si="1"/>
        <v>0</v>
      </c>
      <c r="K42" s="12">
        <f t="shared" si="1"/>
        <v>0</v>
      </c>
      <c r="L42" s="12">
        <f t="shared" si="1"/>
        <v>6.713152857533497E-2</v>
      </c>
      <c r="M42" s="12">
        <f t="shared" si="1"/>
        <v>0.1111111111111111</v>
      </c>
      <c r="N42" s="12">
        <f t="shared" si="1"/>
        <v>0</v>
      </c>
      <c r="O42" s="12">
        <f t="shared" si="1"/>
        <v>0</v>
      </c>
      <c r="P42" s="12">
        <f t="shared" si="1"/>
        <v>0</v>
      </c>
      <c r="Q42" s="12">
        <f t="shared" si="1"/>
        <v>0</v>
      </c>
      <c r="R42" s="12">
        <f t="shared" si="1"/>
        <v>0</v>
      </c>
      <c r="S42" s="12">
        <f t="shared" si="1"/>
        <v>0.43650793650793651</v>
      </c>
      <c r="T42" s="12">
        <f t="shared" si="1"/>
        <v>9.0909090909090912E-2</v>
      </c>
      <c r="U42" s="12">
        <f t="shared" si="1"/>
        <v>0</v>
      </c>
    </row>
    <row r="43" spans="1:21" ht="15.75" customHeight="1" x14ac:dyDescent="0.3">
      <c r="A43" s="1">
        <v>45597</v>
      </c>
      <c r="B43" s="12">
        <f t="shared" si="2"/>
        <v>0</v>
      </c>
      <c r="C43" s="12">
        <f t="shared" si="1"/>
        <v>1.9212295869356388E-3</v>
      </c>
      <c r="D43" s="12">
        <f t="shared" si="1"/>
        <v>2.1343198634035288E-3</v>
      </c>
      <c r="E43" s="12">
        <f t="shared" si="1"/>
        <v>0</v>
      </c>
      <c r="F43" s="12">
        <f t="shared" si="1"/>
        <v>0</v>
      </c>
      <c r="G43" s="12">
        <f t="shared" si="1"/>
        <v>0</v>
      </c>
      <c r="H43" s="12">
        <f t="shared" si="1"/>
        <v>0</v>
      </c>
      <c r="I43" s="12">
        <f t="shared" si="1"/>
        <v>9.2279407431851129E-3</v>
      </c>
      <c r="J43" s="12">
        <f t="shared" si="1"/>
        <v>0</v>
      </c>
      <c r="K43" s="12">
        <f t="shared" si="1"/>
        <v>0</v>
      </c>
      <c r="L43" s="12">
        <f t="shared" si="1"/>
        <v>3.3634126333059886E-2</v>
      </c>
      <c r="M43" s="12">
        <f t="shared" si="1"/>
        <v>0</v>
      </c>
      <c r="N43" s="12">
        <f t="shared" si="1"/>
        <v>0</v>
      </c>
      <c r="O43" s="12">
        <f t="shared" si="1"/>
        <v>0</v>
      </c>
      <c r="P43" s="12">
        <f t="shared" si="1"/>
        <v>0</v>
      </c>
      <c r="Q43" s="12">
        <f t="shared" si="1"/>
        <v>0</v>
      </c>
      <c r="R43" s="12">
        <f t="shared" si="1"/>
        <v>0</v>
      </c>
      <c r="S43" s="12">
        <f t="shared" si="1"/>
        <v>9.2592592592592587E-2</v>
      </c>
      <c r="T43" s="12">
        <f t="shared" si="1"/>
        <v>0</v>
      </c>
      <c r="U43" s="12">
        <f t="shared" si="1"/>
        <v>0</v>
      </c>
    </row>
    <row r="44" spans="1:21" ht="15.75" customHeight="1" x14ac:dyDescent="0.3">
      <c r="A44" s="1">
        <v>45627</v>
      </c>
      <c r="B44" s="12">
        <f t="shared" si="2"/>
        <v>0</v>
      </c>
      <c r="C44" s="12">
        <f t="shared" si="1"/>
        <v>0</v>
      </c>
      <c r="D44" s="12">
        <f t="shared" si="1"/>
        <v>1.8971732119142478E-4</v>
      </c>
      <c r="E44" s="12">
        <f t="shared" si="1"/>
        <v>0</v>
      </c>
      <c r="F44" s="12">
        <f t="shared" si="1"/>
        <v>0</v>
      </c>
      <c r="G44" s="12">
        <f t="shared" si="1"/>
        <v>0</v>
      </c>
      <c r="H44" s="12">
        <f t="shared" si="1"/>
        <v>0</v>
      </c>
      <c r="I44" s="12">
        <f t="shared" si="1"/>
        <v>3.8891704281623083E-4</v>
      </c>
      <c r="J44" s="12">
        <f t="shared" si="1"/>
        <v>0</v>
      </c>
      <c r="K44" s="12">
        <f t="shared" si="1"/>
        <v>0</v>
      </c>
      <c r="L44" s="12">
        <f t="shared" si="1"/>
        <v>2.7344818156959256E-4</v>
      </c>
      <c r="M44" s="12">
        <f t="shared" si="1"/>
        <v>0</v>
      </c>
      <c r="N44" s="12">
        <f t="shared" si="1"/>
        <v>0</v>
      </c>
      <c r="O44" s="12">
        <f t="shared" si="1"/>
        <v>0</v>
      </c>
      <c r="P44" s="12">
        <f t="shared" si="1"/>
        <v>0</v>
      </c>
      <c r="Q44" s="12">
        <f t="shared" si="1"/>
        <v>0</v>
      </c>
      <c r="R44" s="12">
        <f t="shared" si="1"/>
        <v>0</v>
      </c>
      <c r="S44" s="12">
        <f t="shared" si="1"/>
        <v>7.9365079365079361E-3</v>
      </c>
      <c r="T44" s="12">
        <f t="shared" si="1"/>
        <v>9.0909090909090912E-2</v>
      </c>
      <c r="U44" s="12">
        <f t="shared" si="1"/>
        <v>0</v>
      </c>
    </row>
    <row r="45" spans="1:21" ht="15.75" customHeight="1" x14ac:dyDescent="0.3">
      <c r="A45" s="1">
        <v>45658</v>
      </c>
      <c r="B45" s="12">
        <f t="shared" si="2"/>
        <v>0</v>
      </c>
      <c r="C45" s="12">
        <f t="shared" si="1"/>
        <v>1.9212295869356388E-3</v>
      </c>
      <c r="D45" s="12">
        <f t="shared" si="1"/>
        <v>2.8457598178713718E-4</v>
      </c>
      <c r="E45" s="12">
        <f t="shared" si="1"/>
        <v>0</v>
      </c>
      <c r="F45" s="12">
        <f t="shared" si="1"/>
        <v>0</v>
      </c>
      <c r="G45" s="12">
        <f t="shared" si="1"/>
        <v>0</v>
      </c>
      <c r="H45" s="12">
        <f t="shared" si="1"/>
        <v>0</v>
      </c>
      <c r="I45" s="12">
        <f t="shared" si="1"/>
        <v>2.7106339347797903E-4</v>
      </c>
      <c r="J45" s="12">
        <f t="shared" si="1"/>
        <v>0</v>
      </c>
      <c r="K45" s="12">
        <f t="shared" si="1"/>
        <v>0</v>
      </c>
      <c r="L45" s="12">
        <f t="shared" si="1"/>
        <v>4.5802570412906756E-3</v>
      </c>
      <c r="M45" s="12">
        <f t="shared" si="1"/>
        <v>0</v>
      </c>
      <c r="N45" s="12">
        <f t="shared" si="1"/>
        <v>0</v>
      </c>
      <c r="O45" s="12">
        <f t="shared" si="1"/>
        <v>0</v>
      </c>
      <c r="P45" s="12">
        <f t="shared" si="1"/>
        <v>0</v>
      </c>
      <c r="Q45" s="12">
        <f t="shared" si="1"/>
        <v>0</v>
      </c>
      <c r="R45" s="12">
        <f t="shared" si="1"/>
        <v>0</v>
      </c>
      <c r="S45" s="12">
        <f t="shared" si="1"/>
        <v>1.5873015873015872E-2</v>
      </c>
      <c r="T45" s="12">
        <f t="shared" si="1"/>
        <v>0</v>
      </c>
      <c r="U45" s="12">
        <f t="shared" si="1"/>
        <v>0.5</v>
      </c>
    </row>
    <row r="46" spans="1:21" ht="15.75" customHeight="1" x14ac:dyDescent="0.3">
      <c r="A46" s="1">
        <v>45689</v>
      </c>
      <c r="B46" s="12">
        <f t="shared" si="2"/>
        <v>0</v>
      </c>
      <c r="C46" s="12">
        <f t="shared" si="1"/>
        <v>3.8424591738712775E-3</v>
      </c>
      <c r="D46" s="12">
        <f t="shared" si="1"/>
        <v>0</v>
      </c>
      <c r="E46" s="12">
        <f t="shared" si="1"/>
        <v>0</v>
      </c>
      <c r="F46" s="12">
        <f t="shared" si="1"/>
        <v>0</v>
      </c>
      <c r="G46" s="12">
        <f t="shared" si="1"/>
        <v>0</v>
      </c>
      <c r="H46" s="12">
        <f t="shared" si="1"/>
        <v>0</v>
      </c>
      <c r="I46" s="12">
        <f t="shared" si="1"/>
        <v>1.0606828440442658E-4</v>
      </c>
      <c r="J46" s="12">
        <f t="shared" si="1"/>
        <v>0</v>
      </c>
      <c r="K46" s="12">
        <f t="shared" si="1"/>
        <v>0</v>
      </c>
      <c r="L46" s="12">
        <f t="shared" si="1"/>
        <v>4.7853431774678697E-4</v>
      </c>
      <c r="M46" s="12">
        <f t="shared" si="1"/>
        <v>0</v>
      </c>
      <c r="N46" s="12">
        <f t="shared" si="1"/>
        <v>0</v>
      </c>
      <c r="O46" s="12">
        <f t="shared" si="1"/>
        <v>0</v>
      </c>
      <c r="P46" s="12">
        <f t="shared" si="1"/>
        <v>0</v>
      </c>
      <c r="Q46" s="12">
        <f t="shared" si="1"/>
        <v>0</v>
      </c>
      <c r="R46" s="12">
        <f t="shared" si="1"/>
        <v>0</v>
      </c>
      <c r="S46" s="12">
        <f t="shared" si="1"/>
        <v>0</v>
      </c>
      <c r="T46" s="12">
        <f t="shared" si="1"/>
        <v>0</v>
      </c>
      <c r="U46" s="12">
        <f t="shared" si="1"/>
        <v>0</v>
      </c>
    </row>
    <row r="47" spans="1:21" ht="15.75" customHeight="1" x14ac:dyDescent="0.3">
      <c r="A47" s="1">
        <v>45717</v>
      </c>
      <c r="B47" s="12">
        <f t="shared" si="2"/>
        <v>0</v>
      </c>
      <c r="C47" s="12">
        <f t="shared" si="1"/>
        <v>2.9779058597502402E-2</v>
      </c>
      <c r="D47" s="12">
        <f t="shared" si="1"/>
        <v>3.5002845759817873E-2</v>
      </c>
      <c r="E47" s="12">
        <f t="shared" si="1"/>
        <v>3.9733090688504703E-2</v>
      </c>
      <c r="F47" s="12">
        <f t="shared" si="1"/>
        <v>0</v>
      </c>
      <c r="G47" s="12">
        <f t="shared" ref="C47:U60" si="3">G16/G$29</f>
        <v>0</v>
      </c>
      <c r="H47" s="12">
        <f>H16/H$29</f>
        <v>0</v>
      </c>
      <c r="I47" s="12">
        <f t="shared" si="3"/>
        <v>3.567429965468881E-2</v>
      </c>
      <c r="J47" s="12">
        <f t="shared" si="3"/>
        <v>0</v>
      </c>
      <c r="K47" s="12">
        <f t="shared" si="3"/>
        <v>0.25</v>
      </c>
      <c r="L47" s="12">
        <f t="shared" si="3"/>
        <v>4.9767569045665844E-2</v>
      </c>
      <c r="M47" s="12">
        <f t="shared" si="3"/>
        <v>0</v>
      </c>
      <c r="N47" s="12">
        <f t="shared" si="3"/>
        <v>0</v>
      </c>
      <c r="O47" s="12">
        <f t="shared" si="3"/>
        <v>0</v>
      </c>
      <c r="P47" s="12">
        <f t="shared" si="3"/>
        <v>8.5365853658536592E-2</v>
      </c>
      <c r="Q47" s="12">
        <f t="shared" si="3"/>
        <v>0</v>
      </c>
      <c r="R47" s="12">
        <f t="shared" si="3"/>
        <v>8.6521129581413975E-2</v>
      </c>
      <c r="S47" s="12">
        <f t="shared" si="3"/>
        <v>0</v>
      </c>
      <c r="T47" s="12">
        <f t="shared" si="3"/>
        <v>0.18181818181818182</v>
      </c>
      <c r="U47" s="12">
        <f t="shared" si="3"/>
        <v>0</v>
      </c>
    </row>
    <row r="48" spans="1:21" ht="15.75" customHeight="1" x14ac:dyDescent="0.3">
      <c r="A48" s="1">
        <v>45748</v>
      </c>
      <c r="B48" s="12">
        <f t="shared" si="2"/>
        <v>0</v>
      </c>
      <c r="C48" s="12">
        <f t="shared" si="3"/>
        <v>4.6109510086455328E-2</v>
      </c>
      <c r="D48" s="12">
        <f t="shared" si="3"/>
        <v>8.2953898690950489E-2</v>
      </c>
      <c r="E48" s="12">
        <f t="shared" si="3"/>
        <v>0.14346375492872307</v>
      </c>
      <c r="F48" s="12">
        <f t="shared" si="3"/>
        <v>0</v>
      </c>
      <c r="G48" s="12">
        <f t="shared" si="3"/>
        <v>0</v>
      </c>
      <c r="H48" s="12">
        <f t="shared" si="3"/>
        <v>0</v>
      </c>
      <c r="I48" s="12">
        <f t="shared" si="3"/>
        <v>5.6027624895404887E-2</v>
      </c>
      <c r="J48" s="12">
        <f t="shared" si="3"/>
        <v>0</v>
      </c>
      <c r="K48" s="12">
        <f t="shared" si="3"/>
        <v>0.25</v>
      </c>
      <c r="L48" s="12">
        <f t="shared" si="3"/>
        <v>7.8753076292042659E-2</v>
      </c>
      <c r="M48" s="12">
        <f t="shared" si="3"/>
        <v>0</v>
      </c>
      <c r="N48" s="12">
        <f t="shared" si="3"/>
        <v>0</v>
      </c>
      <c r="O48" s="12">
        <f t="shared" si="3"/>
        <v>0</v>
      </c>
      <c r="P48" s="12">
        <f t="shared" si="3"/>
        <v>7.3170731707317069E-2</v>
      </c>
      <c r="Q48" s="12">
        <f t="shared" si="3"/>
        <v>0</v>
      </c>
      <c r="R48" s="12">
        <f t="shared" si="3"/>
        <v>0.18165431604245943</v>
      </c>
      <c r="S48" s="12">
        <f t="shared" si="3"/>
        <v>0</v>
      </c>
      <c r="T48" s="12">
        <f t="shared" si="3"/>
        <v>0</v>
      </c>
      <c r="U48" s="12">
        <f t="shared" si="3"/>
        <v>0</v>
      </c>
    </row>
    <row r="49" spans="1:21" ht="15.75" customHeight="1" x14ac:dyDescent="0.3">
      <c r="A49" s="1">
        <v>45778</v>
      </c>
      <c r="B49" s="12">
        <f t="shared" si="2"/>
        <v>0</v>
      </c>
      <c r="C49" s="12">
        <f t="shared" si="3"/>
        <v>5.763688760806916E-3</v>
      </c>
      <c r="D49" s="12">
        <f t="shared" si="3"/>
        <v>0.18981217985202048</v>
      </c>
      <c r="E49" s="12">
        <f t="shared" si="3"/>
        <v>0.20624810433727631</v>
      </c>
      <c r="F49" s="12">
        <f t="shared" si="3"/>
        <v>0</v>
      </c>
      <c r="G49" s="12">
        <f t="shared" si="3"/>
        <v>0</v>
      </c>
      <c r="H49" s="12">
        <f t="shared" si="3"/>
        <v>1</v>
      </c>
      <c r="I49" s="12">
        <f t="shared" si="3"/>
        <v>6.6858375269590223E-2</v>
      </c>
      <c r="J49" s="12">
        <f t="shared" si="3"/>
        <v>0</v>
      </c>
      <c r="K49" s="12">
        <f t="shared" si="3"/>
        <v>0</v>
      </c>
      <c r="L49" s="12">
        <f t="shared" si="3"/>
        <v>0.20399234345091605</v>
      </c>
      <c r="M49" s="12">
        <f t="shared" si="3"/>
        <v>0</v>
      </c>
      <c r="N49" s="12">
        <f t="shared" si="3"/>
        <v>0</v>
      </c>
      <c r="O49" s="12">
        <f t="shared" si="3"/>
        <v>0</v>
      </c>
      <c r="P49" s="12">
        <f t="shared" si="3"/>
        <v>0.10975609756097561</v>
      </c>
      <c r="Q49" s="12">
        <f t="shared" si="3"/>
        <v>0</v>
      </c>
      <c r="R49" s="12">
        <f t="shared" si="3"/>
        <v>0.27538553975565794</v>
      </c>
      <c r="S49" s="12">
        <f t="shared" si="3"/>
        <v>0</v>
      </c>
      <c r="T49" s="12">
        <f t="shared" si="3"/>
        <v>0</v>
      </c>
      <c r="U49" s="12">
        <f t="shared" si="3"/>
        <v>0</v>
      </c>
    </row>
    <row r="50" spans="1:21" ht="15.75" customHeight="1" x14ac:dyDescent="0.3">
      <c r="A50" s="1">
        <v>45809</v>
      </c>
      <c r="B50" s="12">
        <f t="shared" si="2"/>
        <v>0</v>
      </c>
      <c r="C50" s="12">
        <f t="shared" si="3"/>
        <v>0.12487992315081652</v>
      </c>
      <c r="D50" s="12">
        <f t="shared" si="3"/>
        <v>0.18910073989755263</v>
      </c>
      <c r="E50" s="12">
        <f t="shared" si="3"/>
        <v>0.23748862602365786</v>
      </c>
      <c r="F50" s="12">
        <f t="shared" si="3"/>
        <v>0.58823529411764708</v>
      </c>
      <c r="G50" s="12">
        <f t="shared" si="3"/>
        <v>0</v>
      </c>
      <c r="H50" s="12">
        <f t="shared" si="3"/>
        <v>0</v>
      </c>
      <c r="I50" s="12">
        <f t="shared" si="3"/>
        <v>8.4041437343107331E-2</v>
      </c>
      <c r="J50" s="12">
        <f t="shared" si="3"/>
        <v>0</v>
      </c>
      <c r="K50" s="12">
        <f t="shared" si="3"/>
        <v>0</v>
      </c>
      <c r="L50" s="12">
        <f t="shared" si="3"/>
        <v>0.18888433141919606</v>
      </c>
      <c r="M50" s="12">
        <f t="shared" si="3"/>
        <v>0.22222222222222221</v>
      </c>
      <c r="N50" s="12">
        <f t="shared" si="3"/>
        <v>0</v>
      </c>
      <c r="O50" s="12">
        <f t="shared" si="3"/>
        <v>0</v>
      </c>
      <c r="P50" s="12">
        <f t="shared" si="3"/>
        <v>0.3048780487804878</v>
      </c>
      <c r="Q50" s="12">
        <f t="shared" si="3"/>
        <v>0</v>
      </c>
      <c r="R50" s="12">
        <f t="shared" si="3"/>
        <v>0.18726216703384738</v>
      </c>
      <c r="S50" s="12">
        <f t="shared" si="3"/>
        <v>0</v>
      </c>
      <c r="T50" s="12">
        <f t="shared" si="3"/>
        <v>9.0909090909090912E-2</v>
      </c>
      <c r="U50" s="12">
        <f t="shared" si="3"/>
        <v>0</v>
      </c>
    </row>
    <row r="51" spans="1:21" ht="15.75" customHeight="1" x14ac:dyDescent="0.3">
      <c r="A51" s="1">
        <v>45839</v>
      </c>
      <c r="B51" s="12">
        <f t="shared" si="2"/>
        <v>0</v>
      </c>
      <c r="C51" s="12">
        <f>C20/C$29</f>
        <v>0.14409221902017291</v>
      </c>
      <c r="D51" s="12">
        <f t="shared" si="3"/>
        <v>0.16306203756402959</v>
      </c>
      <c r="E51" s="12">
        <f t="shared" si="3"/>
        <v>0.16924476797088261</v>
      </c>
      <c r="F51" s="12">
        <f t="shared" si="3"/>
        <v>0.14705882352941177</v>
      </c>
      <c r="G51" s="12">
        <f t="shared" si="3"/>
        <v>0</v>
      </c>
      <c r="H51" s="12">
        <f t="shared" si="3"/>
        <v>0</v>
      </c>
      <c r="I51" s="12">
        <f t="shared" si="3"/>
        <v>0.12224959045856855</v>
      </c>
      <c r="J51" s="12">
        <f t="shared" si="3"/>
        <v>0</v>
      </c>
      <c r="K51" s="12">
        <f t="shared" si="3"/>
        <v>0</v>
      </c>
      <c r="L51" s="12">
        <f t="shared" si="3"/>
        <v>0.13665572873940388</v>
      </c>
      <c r="M51" s="12">
        <f t="shared" si="3"/>
        <v>0</v>
      </c>
      <c r="N51" s="12">
        <f t="shared" si="3"/>
        <v>0</v>
      </c>
      <c r="O51" s="12">
        <f t="shared" si="3"/>
        <v>0</v>
      </c>
      <c r="P51" s="12">
        <f t="shared" si="3"/>
        <v>6.097560975609756E-2</v>
      </c>
      <c r="Q51" s="12">
        <f t="shared" si="3"/>
        <v>0</v>
      </c>
      <c r="R51" s="12">
        <f t="shared" si="3"/>
        <v>9.9739635489685563E-2</v>
      </c>
      <c r="S51" s="12">
        <f t="shared" si="3"/>
        <v>0</v>
      </c>
      <c r="T51" s="12">
        <f t="shared" si="3"/>
        <v>0</v>
      </c>
      <c r="U51" s="12">
        <f t="shared" si="3"/>
        <v>0</v>
      </c>
    </row>
    <row r="52" spans="1:21" ht="15.75" customHeight="1" x14ac:dyDescent="0.3">
      <c r="A52" s="1">
        <v>45870</v>
      </c>
      <c r="B52" s="12">
        <f t="shared" si="2"/>
        <v>0</v>
      </c>
      <c r="C52" s="12">
        <f t="shared" si="3"/>
        <v>0.11239193083573487</v>
      </c>
      <c r="D52" s="12">
        <f t="shared" si="3"/>
        <v>9.8415860368051597E-2</v>
      </c>
      <c r="E52" s="12">
        <f t="shared" si="3"/>
        <v>0.11343645738550197</v>
      </c>
      <c r="F52" s="12">
        <f t="shared" si="3"/>
        <v>5.8823529411764705E-2</v>
      </c>
      <c r="G52" s="12">
        <f t="shared" si="3"/>
        <v>0</v>
      </c>
      <c r="H52" s="12">
        <f t="shared" si="3"/>
        <v>0</v>
      </c>
      <c r="I52" s="12">
        <f t="shared" si="3"/>
        <v>9.7936382600087218E-2</v>
      </c>
      <c r="J52" s="12">
        <f t="shared" si="3"/>
        <v>0</v>
      </c>
      <c r="K52" s="12">
        <f t="shared" si="3"/>
        <v>0.25</v>
      </c>
      <c r="L52" s="12">
        <f t="shared" si="3"/>
        <v>0.12462400875034181</v>
      </c>
      <c r="M52" s="12">
        <f t="shared" si="3"/>
        <v>0</v>
      </c>
      <c r="N52" s="12">
        <f t="shared" si="3"/>
        <v>0</v>
      </c>
      <c r="O52" s="12">
        <f t="shared" si="3"/>
        <v>0</v>
      </c>
      <c r="P52" s="12">
        <f t="shared" si="3"/>
        <v>6.097560975609756E-2</v>
      </c>
      <c r="Q52" s="12">
        <f t="shared" si="3"/>
        <v>0</v>
      </c>
      <c r="R52" s="12">
        <f t="shared" si="3"/>
        <v>7.8710194271980768E-2</v>
      </c>
      <c r="S52" s="12">
        <f t="shared" si="3"/>
        <v>0</v>
      </c>
      <c r="T52" s="12">
        <f t="shared" si="3"/>
        <v>0</v>
      </c>
      <c r="U52" s="12">
        <f t="shared" si="3"/>
        <v>0</v>
      </c>
    </row>
    <row r="53" spans="1:21" ht="15.75" customHeight="1" x14ac:dyDescent="0.3">
      <c r="A53" s="1">
        <v>45901</v>
      </c>
      <c r="B53" s="12">
        <f t="shared" si="2"/>
        <v>0</v>
      </c>
      <c r="C53" s="12">
        <f t="shared" si="3"/>
        <v>8.1652257444764648E-2</v>
      </c>
      <c r="D53" s="12">
        <f t="shared" si="3"/>
        <v>6.3270726617340164E-2</v>
      </c>
      <c r="E53" s="12">
        <f t="shared" si="3"/>
        <v>5.8234758871701549E-2</v>
      </c>
      <c r="F53" s="12">
        <f t="shared" si="3"/>
        <v>0.11764705882352941</v>
      </c>
      <c r="G53" s="12">
        <f t="shared" si="3"/>
        <v>0</v>
      </c>
      <c r="H53" s="12">
        <f t="shared" si="3"/>
        <v>0</v>
      </c>
      <c r="I53" s="12">
        <f t="shared" si="3"/>
        <v>7.114824810550259E-2</v>
      </c>
      <c r="J53" s="12">
        <f t="shared" si="3"/>
        <v>0</v>
      </c>
      <c r="K53" s="12">
        <f t="shared" si="3"/>
        <v>0</v>
      </c>
      <c r="L53" s="12">
        <f t="shared" si="3"/>
        <v>4.3409898824172823E-2</v>
      </c>
      <c r="M53" s="12">
        <f t="shared" si="3"/>
        <v>0</v>
      </c>
      <c r="N53" s="12">
        <f t="shared" si="3"/>
        <v>0</v>
      </c>
      <c r="O53" s="12">
        <f t="shared" si="3"/>
        <v>0</v>
      </c>
      <c r="P53" s="12">
        <f t="shared" si="3"/>
        <v>0.14634146341463414</v>
      </c>
      <c r="Q53" s="12">
        <f t="shared" si="3"/>
        <v>0</v>
      </c>
      <c r="R53" s="12">
        <f t="shared" si="3"/>
        <v>6.4890847186060488E-2</v>
      </c>
      <c r="S53" s="12">
        <f t="shared" si="3"/>
        <v>0</v>
      </c>
      <c r="T53" s="12">
        <f t="shared" si="3"/>
        <v>0</v>
      </c>
      <c r="U53" s="12">
        <f t="shared" si="3"/>
        <v>0</v>
      </c>
    </row>
    <row r="54" spans="1:21" ht="15.75" customHeight="1" x14ac:dyDescent="0.3">
      <c r="A54" s="1">
        <v>45931</v>
      </c>
      <c r="B54" s="12">
        <f t="shared" si="2"/>
        <v>0</v>
      </c>
      <c r="C54" s="12">
        <f t="shared" si="3"/>
        <v>4.4188280499519693E-2</v>
      </c>
      <c r="D54" s="12">
        <f t="shared" si="3"/>
        <v>2.7082147600075886E-2</v>
      </c>
      <c r="E54" s="12">
        <f t="shared" si="3"/>
        <v>2.032150439793752E-2</v>
      </c>
      <c r="F54" s="12">
        <f t="shared" si="3"/>
        <v>2.9411764705882353E-2</v>
      </c>
      <c r="G54" s="12">
        <f t="shared" si="3"/>
        <v>0</v>
      </c>
      <c r="H54" s="12">
        <f t="shared" si="3"/>
        <v>0</v>
      </c>
      <c r="I54" s="12">
        <f t="shared" si="3"/>
        <v>4.3110864927932493E-2</v>
      </c>
      <c r="J54" s="12">
        <f t="shared" si="3"/>
        <v>0</v>
      </c>
      <c r="K54" s="12">
        <f t="shared" si="3"/>
        <v>0</v>
      </c>
      <c r="L54" s="12">
        <f t="shared" si="3"/>
        <v>2.3653267705769757E-2</v>
      </c>
      <c r="M54" s="12">
        <f t="shared" si="3"/>
        <v>0</v>
      </c>
      <c r="N54" s="12">
        <f t="shared" si="3"/>
        <v>0</v>
      </c>
      <c r="O54" s="12">
        <f t="shared" si="3"/>
        <v>0</v>
      </c>
      <c r="P54" s="12">
        <f t="shared" si="3"/>
        <v>7.3170731707317069E-2</v>
      </c>
      <c r="Q54" s="12">
        <f t="shared" si="3"/>
        <v>0</v>
      </c>
      <c r="R54" s="12">
        <f t="shared" si="3"/>
        <v>2.4634488283597034E-2</v>
      </c>
      <c r="S54" s="12">
        <f t="shared" si="3"/>
        <v>0</v>
      </c>
      <c r="T54" s="12">
        <f t="shared" si="3"/>
        <v>0</v>
      </c>
      <c r="U54" s="12">
        <f t="shared" si="3"/>
        <v>0</v>
      </c>
    </row>
    <row r="55" spans="1:21" ht="15.75" customHeight="1" x14ac:dyDescent="0.3">
      <c r="A55" s="1">
        <v>45962</v>
      </c>
      <c r="B55" s="12">
        <f t="shared" si="2"/>
        <v>0</v>
      </c>
      <c r="C55" s="12">
        <f t="shared" si="3"/>
        <v>2.1133525456292025E-2</v>
      </c>
      <c r="D55" s="12">
        <f t="shared" si="3"/>
        <v>7.7309808385505599E-3</v>
      </c>
      <c r="E55" s="12">
        <f t="shared" si="3"/>
        <v>7.2793448589626936E-3</v>
      </c>
      <c r="F55" s="12">
        <f t="shared" si="3"/>
        <v>5.8823529411764705E-2</v>
      </c>
      <c r="G55" s="12">
        <f t="shared" si="3"/>
        <v>0.60215053763440862</v>
      </c>
      <c r="H55" s="12">
        <f t="shared" si="3"/>
        <v>0</v>
      </c>
      <c r="I55" s="12">
        <f t="shared" si="3"/>
        <v>2.2427549469069309E-2</v>
      </c>
      <c r="J55" s="12">
        <f t="shared" si="3"/>
        <v>0</v>
      </c>
      <c r="K55" s="12">
        <f t="shared" si="3"/>
        <v>0</v>
      </c>
      <c r="L55" s="12">
        <f t="shared" si="3"/>
        <v>4.7853431774678695E-3</v>
      </c>
      <c r="M55" s="12">
        <f t="shared" si="3"/>
        <v>0.33333333333333331</v>
      </c>
      <c r="N55" s="12">
        <f t="shared" si="3"/>
        <v>0.45454545454545453</v>
      </c>
      <c r="O55" s="12">
        <f t="shared" si="3"/>
        <v>0</v>
      </c>
      <c r="P55" s="12">
        <f t="shared" si="3"/>
        <v>1.2195121951219513E-2</v>
      </c>
      <c r="Q55" s="12">
        <f t="shared" si="3"/>
        <v>0.61538461538461542</v>
      </c>
      <c r="R55" s="12">
        <f t="shared" si="3"/>
        <v>1.2016823552974164E-3</v>
      </c>
      <c r="S55" s="12">
        <f t="shared" si="3"/>
        <v>0</v>
      </c>
      <c r="T55" s="12">
        <f t="shared" si="3"/>
        <v>0</v>
      </c>
      <c r="U55" s="12">
        <f t="shared" si="3"/>
        <v>0</v>
      </c>
    </row>
    <row r="56" spans="1:21" ht="15.75" customHeight="1" x14ac:dyDescent="0.3">
      <c r="A56" s="1">
        <v>45992</v>
      </c>
      <c r="B56" s="12">
        <f t="shared" si="2"/>
        <v>0</v>
      </c>
      <c r="C56" s="12">
        <f t="shared" si="3"/>
        <v>1.9212295869356388E-3</v>
      </c>
      <c r="D56" s="12">
        <f t="shared" si="3"/>
        <v>6.6401062416998667E-4</v>
      </c>
      <c r="E56" s="12">
        <f t="shared" si="3"/>
        <v>1.5165301789505611E-3</v>
      </c>
      <c r="F56" s="12">
        <f t="shared" si="3"/>
        <v>0</v>
      </c>
      <c r="G56" s="12">
        <f t="shared" si="3"/>
        <v>0.34408602150537637</v>
      </c>
      <c r="H56" s="12">
        <f t="shared" si="3"/>
        <v>0</v>
      </c>
      <c r="I56" s="12">
        <f t="shared" si="3"/>
        <v>9.0629456341115595E-3</v>
      </c>
      <c r="J56" s="12">
        <f t="shared" si="3"/>
        <v>0</v>
      </c>
      <c r="K56" s="12">
        <f t="shared" si="3"/>
        <v>0</v>
      </c>
      <c r="L56" s="12">
        <f t="shared" si="3"/>
        <v>2.7344818156959256E-4</v>
      </c>
      <c r="M56" s="12">
        <f t="shared" si="3"/>
        <v>0</v>
      </c>
      <c r="N56" s="12">
        <f t="shared" si="3"/>
        <v>0.18181818181818182</v>
      </c>
      <c r="O56" s="12">
        <f t="shared" si="3"/>
        <v>0</v>
      </c>
      <c r="P56" s="12">
        <f t="shared" si="3"/>
        <v>3.6585365853658534E-2</v>
      </c>
      <c r="Q56" s="12">
        <f t="shared" si="3"/>
        <v>0.15384615384615385</v>
      </c>
      <c r="R56" s="12">
        <f t="shared" si="3"/>
        <v>0</v>
      </c>
      <c r="S56" s="12">
        <f t="shared" si="3"/>
        <v>0</v>
      </c>
      <c r="T56" s="12">
        <f t="shared" si="3"/>
        <v>0</v>
      </c>
      <c r="U56" s="12">
        <f t="shared" si="3"/>
        <v>0</v>
      </c>
    </row>
    <row r="57" spans="1:21" ht="15.75" customHeight="1" x14ac:dyDescent="0.3">
      <c r="A57" s="1">
        <v>46023</v>
      </c>
      <c r="B57" s="12">
        <f t="shared" si="2"/>
        <v>0</v>
      </c>
      <c r="C57" s="12">
        <f t="shared" si="3"/>
        <v>0</v>
      </c>
      <c r="D57" s="12">
        <f t="shared" si="3"/>
        <v>4.2686397268070576E-4</v>
      </c>
      <c r="E57" s="12">
        <f t="shared" si="3"/>
        <v>1.5165301789505611E-3</v>
      </c>
      <c r="F57" s="12">
        <f t="shared" si="3"/>
        <v>0</v>
      </c>
      <c r="G57" s="12">
        <f t="shared" si="3"/>
        <v>0</v>
      </c>
      <c r="H57" s="12">
        <f t="shared" si="3"/>
        <v>0</v>
      </c>
      <c r="I57" s="12">
        <f t="shared" si="3"/>
        <v>3.6181070346843289E-3</v>
      </c>
      <c r="J57" s="12">
        <f t="shared" si="3"/>
        <v>0</v>
      </c>
      <c r="K57" s="12">
        <f t="shared" si="3"/>
        <v>0</v>
      </c>
      <c r="L57" s="12">
        <f t="shared" si="3"/>
        <v>5.742411812961444E-3</v>
      </c>
      <c r="M57" s="12">
        <f t="shared" si="3"/>
        <v>0</v>
      </c>
      <c r="N57" s="12">
        <f t="shared" si="3"/>
        <v>0.24242424242424243</v>
      </c>
      <c r="O57" s="12">
        <f t="shared" si="3"/>
        <v>0</v>
      </c>
      <c r="P57" s="12">
        <f t="shared" si="3"/>
        <v>2.4390243902439025E-2</v>
      </c>
      <c r="Q57" s="12">
        <f t="shared" si="3"/>
        <v>0</v>
      </c>
      <c r="R57" s="12">
        <f t="shared" si="3"/>
        <v>0</v>
      </c>
      <c r="S57" s="12">
        <f t="shared" si="3"/>
        <v>0</v>
      </c>
      <c r="T57" s="12">
        <f t="shared" si="3"/>
        <v>0</v>
      </c>
      <c r="U57" s="12">
        <f t="shared" si="3"/>
        <v>0</v>
      </c>
    </row>
    <row r="58" spans="1:21" ht="15.75" customHeight="1" x14ac:dyDescent="0.3">
      <c r="A58" s="1">
        <v>46054</v>
      </c>
      <c r="B58" s="12">
        <f t="shared" si="2"/>
        <v>1</v>
      </c>
      <c r="C58" s="12">
        <f t="shared" si="3"/>
        <v>0</v>
      </c>
      <c r="D58" s="12">
        <f t="shared" si="3"/>
        <v>2.3714665148928096E-4</v>
      </c>
      <c r="E58" s="12">
        <f t="shared" si="3"/>
        <v>9.099181073703367E-4</v>
      </c>
      <c r="F58" s="12">
        <f t="shared" si="3"/>
        <v>0</v>
      </c>
      <c r="G58" s="12">
        <f t="shared" si="3"/>
        <v>4.3010752688172046E-2</v>
      </c>
      <c r="H58" s="12">
        <f t="shared" si="3"/>
        <v>0</v>
      </c>
      <c r="I58" s="12">
        <f t="shared" si="3"/>
        <v>4.4902240397873923E-3</v>
      </c>
      <c r="J58" s="12">
        <f t="shared" si="3"/>
        <v>0.64393939393939392</v>
      </c>
      <c r="K58" s="12">
        <f t="shared" si="3"/>
        <v>0</v>
      </c>
      <c r="L58" s="12">
        <f t="shared" si="3"/>
        <v>4.9904293136450641E-3</v>
      </c>
      <c r="M58" s="12">
        <f t="shared" si="3"/>
        <v>0</v>
      </c>
      <c r="N58" s="12">
        <f t="shared" si="3"/>
        <v>3.0303030303030304E-2</v>
      </c>
      <c r="O58" s="12">
        <f t="shared" si="3"/>
        <v>0</v>
      </c>
      <c r="P58" s="12">
        <f t="shared" si="3"/>
        <v>0</v>
      </c>
      <c r="Q58" s="12">
        <f t="shared" si="3"/>
        <v>0.23076923076923078</v>
      </c>
      <c r="R58" s="12">
        <f t="shared" si="3"/>
        <v>0</v>
      </c>
      <c r="S58" s="12">
        <f t="shared" si="3"/>
        <v>0</v>
      </c>
      <c r="T58" s="12">
        <f t="shared" si="3"/>
        <v>0.18181818181818182</v>
      </c>
      <c r="U58" s="12">
        <f t="shared" si="3"/>
        <v>0</v>
      </c>
    </row>
    <row r="59" spans="1:21" ht="15.75" customHeight="1" x14ac:dyDescent="0.3">
      <c r="A59" s="1">
        <v>46082</v>
      </c>
      <c r="B59" s="12">
        <f t="shared" si="2"/>
        <v>0</v>
      </c>
      <c r="C59" s="12">
        <f t="shared" si="3"/>
        <v>0</v>
      </c>
      <c r="D59" s="12">
        <f t="shared" si="3"/>
        <v>1.4228799089356859E-4</v>
      </c>
      <c r="E59" s="12">
        <f t="shared" si="3"/>
        <v>6.0661207158022447E-4</v>
      </c>
      <c r="F59" s="12">
        <f t="shared" si="3"/>
        <v>0</v>
      </c>
      <c r="G59" s="12">
        <f t="shared" si="3"/>
        <v>1.0752688172043012E-2</v>
      </c>
      <c r="H59" s="12">
        <f t="shared" si="3"/>
        <v>0</v>
      </c>
      <c r="I59" s="12">
        <f t="shared" si="3"/>
        <v>1.1667511284486924E-3</v>
      </c>
      <c r="J59" s="12">
        <f t="shared" si="3"/>
        <v>0.35606060606060608</v>
      </c>
      <c r="K59" s="12">
        <f t="shared" si="3"/>
        <v>0</v>
      </c>
      <c r="L59" s="12">
        <f t="shared" si="3"/>
        <v>6.836204539239814E-5</v>
      </c>
      <c r="M59" s="12">
        <f t="shared" si="3"/>
        <v>0</v>
      </c>
      <c r="N59" s="12">
        <f t="shared" si="3"/>
        <v>9.0909090909090912E-2</v>
      </c>
      <c r="O59" s="12">
        <f t="shared" si="3"/>
        <v>0</v>
      </c>
      <c r="P59" s="12">
        <f t="shared" si="3"/>
        <v>0</v>
      </c>
      <c r="Q59" s="12">
        <f t="shared" si="3"/>
        <v>0</v>
      </c>
      <c r="R59" s="12">
        <f t="shared" si="3"/>
        <v>0</v>
      </c>
      <c r="S59" s="12">
        <f t="shared" si="3"/>
        <v>0</v>
      </c>
      <c r="T59" s="12">
        <f t="shared" si="3"/>
        <v>0</v>
      </c>
      <c r="U59" s="12">
        <f t="shared" si="3"/>
        <v>0</v>
      </c>
    </row>
    <row r="60" spans="1:21" ht="15.75" customHeight="1" x14ac:dyDescent="0.3">
      <c r="A60" s="2" t="s">
        <v>21</v>
      </c>
      <c r="B60" s="12">
        <f t="shared" si="2"/>
        <v>1</v>
      </c>
      <c r="C60" s="12">
        <f t="shared" si="3"/>
        <v>1</v>
      </c>
      <c r="D60" s="12">
        <f t="shared" si="3"/>
        <v>1</v>
      </c>
      <c r="E60" s="12">
        <f t="shared" si="3"/>
        <v>1</v>
      </c>
      <c r="F60" s="12">
        <f t="shared" si="3"/>
        <v>1</v>
      </c>
      <c r="G60" s="12">
        <f t="shared" si="3"/>
        <v>1</v>
      </c>
      <c r="H60" s="12">
        <f t="shared" si="3"/>
        <v>1</v>
      </c>
      <c r="I60" s="12">
        <f t="shared" si="3"/>
        <v>1</v>
      </c>
      <c r="J60" s="12">
        <f t="shared" si="3"/>
        <v>1</v>
      </c>
      <c r="K60" s="12">
        <f t="shared" si="3"/>
        <v>1</v>
      </c>
      <c r="L60" s="12">
        <f t="shared" si="3"/>
        <v>1</v>
      </c>
      <c r="M60" s="12">
        <f t="shared" si="3"/>
        <v>1</v>
      </c>
      <c r="N60" s="12">
        <f t="shared" si="3"/>
        <v>1</v>
      </c>
      <c r="O60" s="12">
        <f t="shared" ref="O60:U60" si="4">O29/O$29</f>
        <v>1</v>
      </c>
      <c r="P60" s="12">
        <f t="shared" si="4"/>
        <v>1</v>
      </c>
      <c r="Q60" s="12">
        <f t="shared" si="4"/>
        <v>1</v>
      </c>
      <c r="R60" s="12">
        <f t="shared" si="4"/>
        <v>1</v>
      </c>
      <c r="S60" s="12">
        <f t="shared" si="4"/>
        <v>1</v>
      </c>
      <c r="T60" s="12">
        <f t="shared" si="4"/>
        <v>1</v>
      </c>
      <c r="U60" s="12">
        <f t="shared" si="4"/>
        <v>1</v>
      </c>
    </row>
    <row r="61" spans="1:21" ht="15.75" customHeight="1" x14ac:dyDescent="0.3"/>
    <row r="62" spans="1:21" ht="15.75" customHeight="1" x14ac:dyDescent="0.3"/>
    <row r="63" spans="1:21" ht="15.75" customHeight="1" x14ac:dyDescent="0.3"/>
    <row r="64" spans="1:2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3ADE-6FC9-48F9-9F99-101BDDBFA0DB}">
  <dimension ref="A1:BG69"/>
  <sheetViews>
    <sheetView zoomScale="40" zoomScaleNormal="40" workbookViewId="0">
      <selection activeCell="AE10" sqref="AE10"/>
    </sheetView>
  </sheetViews>
  <sheetFormatPr defaultRowHeight="15.6" x14ac:dyDescent="0.3"/>
  <cols>
    <col min="1" max="1" width="34.796875" customWidth="1"/>
    <col min="2" max="4" width="3.296875" bestFit="1" customWidth="1"/>
    <col min="5" max="5" width="3.59765625" bestFit="1" customWidth="1"/>
    <col min="6" max="6" width="4.5" bestFit="1" customWidth="1"/>
    <col min="7" max="7" width="3.59765625" bestFit="1" customWidth="1"/>
    <col min="8" max="11" width="4.5" bestFit="1" customWidth="1"/>
    <col min="12" max="12" width="3.59765625" bestFit="1" customWidth="1"/>
    <col min="13" max="15" width="3.296875" bestFit="1" customWidth="1"/>
    <col min="16" max="19" width="4.5" bestFit="1" customWidth="1"/>
    <col min="20" max="20" width="5.3984375" bestFit="1" customWidth="1"/>
    <col min="21" max="24" width="4.5" bestFit="1" customWidth="1"/>
    <col min="25" max="27" width="3.59765625" bestFit="1" customWidth="1"/>
    <col min="28" max="28" width="3.296875" bestFit="1" customWidth="1"/>
    <col min="29" max="29" width="5.3984375" bestFit="1" customWidth="1"/>
    <col min="31" max="31" width="42.69921875" customWidth="1"/>
    <col min="32" max="32" width="10.5" customWidth="1"/>
  </cols>
  <sheetData>
    <row r="1" spans="1:59" s="16" customFormat="1" ht="63.6" customHeight="1" x14ac:dyDescent="0.3">
      <c r="A1" s="13" t="s">
        <v>0</v>
      </c>
      <c r="B1" s="14">
        <v>45292</v>
      </c>
      <c r="C1" s="14">
        <v>45323</v>
      </c>
      <c r="D1" s="14">
        <v>45352</v>
      </c>
      <c r="E1" s="14">
        <v>45383</v>
      </c>
      <c r="F1" s="14">
        <v>45413</v>
      </c>
      <c r="G1" s="14">
        <v>45444</v>
      </c>
      <c r="H1" s="14">
        <v>45474</v>
      </c>
      <c r="I1" s="14">
        <v>45505</v>
      </c>
      <c r="J1" s="14">
        <v>45536</v>
      </c>
      <c r="K1" s="14">
        <v>45566</v>
      </c>
      <c r="L1" s="14">
        <v>45597</v>
      </c>
      <c r="M1" s="14">
        <v>45627</v>
      </c>
      <c r="N1" s="14">
        <v>45658</v>
      </c>
      <c r="O1" s="14">
        <v>45689</v>
      </c>
      <c r="P1" s="14">
        <v>45717</v>
      </c>
      <c r="Q1" s="14">
        <v>45748</v>
      </c>
      <c r="R1" s="14">
        <v>45778</v>
      </c>
      <c r="S1" s="14">
        <v>45809</v>
      </c>
      <c r="T1" s="14">
        <v>45839</v>
      </c>
      <c r="U1" s="14">
        <v>45870</v>
      </c>
      <c r="V1" s="14">
        <v>45901</v>
      </c>
      <c r="W1" s="14">
        <v>45931</v>
      </c>
      <c r="X1" s="14">
        <v>45962</v>
      </c>
      <c r="Y1" s="14">
        <v>45992</v>
      </c>
      <c r="Z1" s="14">
        <v>46023</v>
      </c>
      <c r="AA1" s="14">
        <v>46054</v>
      </c>
      <c r="AB1" s="14">
        <v>46082</v>
      </c>
      <c r="AC1" s="15" t="s">
        <v>21</v>
      </c>
      <c r="AE1" s="13" t="s">
        <v>0</v>
      </c>
      <c r="AF1" s="14">
        <v>45292</v>
      </c>
      <c r="AG1" s="14">
        <v>45323</v>
      </c>
      <c r="AH1" s="14">
        <v>45352</v>
      </c>
      <c r="AI1" s="14">
        <v>45383</v>
      </c>
      <c r="AJ1" s="14">
        <v>45413</v>
      </c>
      <c r="AK1" s="14">
        <v>45444</v>
      </c>
      <c r="AL1" s="14">
        <v>45474</v>
      </c>
      <c r="AM1" s="14">
        <v>45505</v>
      </c>
      <c r="AN1" s="14">
        <v>45536</v>
      </c>
      <c r="AO1" s="14">
        <v>45566</v>
      </c>
      <c r="AP1" s="14">
        <v>45597</v>
      </c>
      <c r="AQ1" s="14">
        <v>45627</v>
      </c>
      <c r="AR1" s="14">
        <v>45658</v>
      </c>
      <c r="AS1" s="14">
        <v>45689</v>
      </c>
      <c r="AT1" s="14">
        <v>45717</v>
      </c>
      <c r="AU1" s="14">
        <v>45748</v>
      </c>
      <c r="AV1" s="14">
        <v>45778</v>
      </c>
      <c r="AW1" s="14">
        <v>45809</v>
      </c>
      <c r="AX1" s="14">
        <v>45839</v>
      </c>
      <c r="AY1" s="14">
        <v>45870</v>
      </c>
      <c r="AZ1" s="14">
        <v>45901</v>
      </c>
      <c r="BA1" s="14">
        <v>45931</v>
      </c>
      <c r="BB1" s="14">
        <v>45962</v>
      </c>
      <c r="BC1" s="14">
        <v>45992</v>
      </c>
      <c r="BD1" s="14">
        <v>46023</v>
      </c>
      <c r="BE1" s="14">
        <v>46054</v>
      </c>
      <c r="BF1" s="14">
        <v>46082</v>
      </c>
      <c r="BG1" s="15" t="s">
        <v>21</v>
      </c>
    </row>
    <row r="2" spans="1:59" x14ac:dyDescent="0.3">
      <c r="A2" s="5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>
        <v>1</v>
      </c>
      <c r="AB2" s="17"/>
      <c r="AC2" s="17">
        <f t="shared" ref="AC2:AC21" si="0">SUM(B2:AB2)</f>
        <v>1</v>
      </c>
      <c r="AE2" s="5" t="s">
        <v>1</v>
      </c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>
        <v>1</v>
      </c>
      <c r="BF2" s="17"/>
      <c r="BG2" s="17">
        <v>1</v>
      </c>
    </row>
    <row r="3" spans="1:59" x14ac:dyDescent="0.3">
      <c r="A3" s="5" t="s">
        <v>2</v>
      </c>
      <c r="B3" s="17"/>
      <c r="C3" s="17"/>
      <c r="D3" s="17"/>
      <c r="E3" s="17"/>
      <c r="F3" s="17">
        <v>36</v>
      </c>
      <c r="G3" s="17">
        <v>7</v>
      </c>
      <c r="H3" s="17">
        <v>263</v>
      </c>
      <c r="I3" s="17">
        <v>20</v>
      </c>
      <c r="J3" s="17">
        <v>67</v>
      </c>
      <c r="K3" s="17">
        <v>3</v>
      </c>
      <c r="L3" s="17">
        <v>2</v>
      </c>
      <c r="M3" s="17"/>
      <c r="N3" s="17">
        <v>2</v>
      </c>
      <c r="O3" s="17">
        <v>4</v>
      </c>
      <c r="P3" s="17">
        <v>31</v>
      </c>
      <c r="Q3" s="17">
        <v>48</v>
      </c>
      <c r="R3" s="17">
        <v>6</v>
      </c>
      <c r="S3" s="17">
        <v>130</v>
      </c>
      <c r="T3" s="17">
        <v>150</v>
      </c>
      <c r="U3" s="17">
        <v>117</v>
      </c>
      <c r="V3" s="17">
        <v>85</v>
      </c>
      <c r="W3" s="17">
        <v>46</v>
      </c>
      <c r="X3" s="17">
        <v>22</v>
      </c>
      <c r="Y3" s="17">
        <v>2</v>
      </c>
      <c r="Z3" s="17"/>
      <c r="AA3" s="17"/>
      <c r="AB3" s="17"/>
      <c r="AC3" s="17">
        <f t="shared" si="0"/>
        <v>1041</v>
      </c>
      <c r="AE3" s="5" t="s">
        <v>7</v>
      </c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>
        <v>1</v>
      </c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>
        <v>1</v>
      </c>
    </row>
    <row r="4" spans="1:59" ht="16.2" customHeight="1" x14ac:dyDescent="0.3">
      <c r="A4" s="18" t="s">
        <v>3</v>
      </c>
      <c r="B4" s="17"/>
      <c r="C4" s="17"/>
      <c r="D4" s="17"/>
      <c r="E4" s="17">
        <v>122</v>
      </c>
      <c r="F4" s="17">
        <v>570</v>
      </c>
      <c r="G4" s="17">
        <v>271</v>
      </c>
      <c r="H4" s="17">
        <v>574</v>
      </c>
      <c r="I4" s="17">
        <v>634</v>
      </c>
      <c r="J4" s="17">
        <v>530</v>
      </c>
      <c r="K4" s="17">
        <v>240</v>
      </c>
      <c r="L4" s="17">
        <v>45</v>
      </c>
      <c r="M4" s="17">
        <v>4</v>
      </c>
      <c r="N4" s="17">
        <v>6</v>
      </c>
      <c r="O4" s="17"/>
      <c r="P4" s="17">
        <v>738</v>
      </c>
      <c r="Q4" s="17">
        <v>1749</v>
      </c>
      <c r="R4" s="17">
        <v>4002</v>
      </c>
      <c r="S4" s="17">
        <v>3987</v>
      </c>
      <c r="T4" s="17">
        <v>3438</v>
      </c>
      <c r="U4" s="17">
        <v>2075</v>
      </c>
      <c r="V4" s="17">
        <v>1334</v>
      </c>
      <c r="W4" s="17">
        <v>571</v>
      </c>
      <c r="X4" s="17">
        <v>163</v>
      </c>
      <c r="Y4" s="17">
        <v>14</v>
      </c>
      <c r="Z4" s="17">
        <v>9</v>
      </c>
      <c r="AA4" s="17">
        <v>5</v>
      </c>
      <c r="AB4" s="17">
        <v>3</v>
      </c>
      <c r="AC4" s="17">
        <f t="shared" si="0"/>
        <v>21084</v>
      </c>
      <c r="AE4" s="5" t="s">
        <v>10</v>
      </c>
      <c r="AF4" s="17"/>
      <c r="AG4" s="17"/>
      <c r="AH4" s="17"/>
      <c r="AI4" s="17">
        <v>1</v>
      </c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>
        <v>1</v>
      </c>
      <c r="AU4" s="17">
        <v>1</v>
      </c>
      <c r="AV4" s="17"/>
      <c r="AW4" s="17"/>
      <c r="AX4" s="17"/>
      <c r="AY4" s="17">
        <v>1</v>
      </c>
      <c r="AZ4" s="17"/>
      <c r="BA4" s="17"/>
      <c r="BB4" s="17"/>
      <c r="BC4" s="17"/>
      <c r="BD4" s="17"/>
      <c r="BE4" s="17"/>
      <c r="BF4" s="17"/>
      <c r="BG4" s="17">
        <v>4</v>
      </c>
    </row>
    <row r="5" spans="1:59" ht="31.2" customHeight="1" x14ac:dyDescent="0.3">
      <c r="A5" s="18" t="s">
        <v>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131</v>
      </c>
      <c r="Q5" s="17">
        <v>473</v>
      </c>
      <c r="R5" s="17">
        <v>680</v>
      </c>
      <c r="S5" s="17">
        <v>783</v>
      </c>
      <c r="T5" s="17">
        <v>558</v>
      </c>
      <c r="U5" s="17">
        <v>374</v>
      </c>
      <c r="V5" s="17">
        <v>192</v>
      </c>
      <c r="W5" s="17">
        <v>67</v>
      </c>
      <c r="X5" s="17">
        <v>24</v>
      </c>
      <c r="Y5" s="17">
        <v>5</v>
      </c>
      <c r="Z5" s="17">
        <v>5</v>
      </c>
      <c r="AA5" s="17">
        <v>3</v>
      </c>
      <c r="AB5" s="17">
        <v>2</v>
      </c>
      <c r="AC5" s="17">
        <f t="shared" si="0"/>
        <v>3297</v>
      </c>
      <c r="AE5" s="5" t="s">
        <v>12</v>
      </c>
      <c r="AF5" s="17"/>
      <c r="AG5" s="17"/>
      <c r="AH5" s="17"/>
      <c r="AI5" s="17"/>
      <c r="AJ5" s="17">
        <v>1</v>
      </c>
      <c r="AK5" s="17"/>
      <c r="AL5" s="17"/>
      <c r="AM5" s="17"/>
      <c r="AN5" s="17">
        <v>2</v>
      </c>
      <c r="AO5" s="17">
        <v>1</v>
      </c>
      <c r="AP5" s="17"/>
      <c r="AQ5" s="17"/>
      <c r="AR5" s="17"/>
      <c r="AS5" s="17"/>
      <c r="AT5" s="17"/>
      <c r="AU5" s="17"/>
      <c r="AV5" s="17"/>
      <c r="AW5" s="17">
        <v>2</v>
      </c>
      <c r="AX5" s="17"/>
      <c r="AY5" s="17"/>
      <c r="AZ5" s="17"/>
      <c r="BA5" s="17"/>
      <c r="BB5" s="17">
        <v>3</v>
      </c>
      <c r="BC5" s="17"/>
      <c r="BD5" s="17"/>
      <c r="BE5" s="17"/>
      <c r="BF5" s="17"/>
      <c r="BG5" s="17">
        <v>9</v>
      </c>
    </row>
    <row r="6" spans="1:59" ht="46.8" x14ac:dyDescent="0.35">
      <c r="A6" s="19" t="s">
        <v>5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>
        <v>20</v>
      </c>
      <c r="T6" s="17">
        <v>5</v>
      </c>
      <c r="U6" s="17">
        <v>2</v>
      </c>
      <c r="V6" s="17">
        <v>4</v>
      </c>
      <c r="W6" s="17">
        <v>1</v>
      </c>
      <c r="X6" s="17">
        <v>2</v>
      </c>
      <c r="Y6" s="17"/>
      <c r="Z6" s="17"/>
      <c r="AA6" s="17"/>
      <c r="AB6" s="17"/>
      <c r="AC6" s="17">
        <f t="shared" si="0"/>
        <v>34</v>
      </c>
      <c r="AE6" s="27" t="s">
        <v>98</v>
      </c>
      <c r="AF6" s="2">
        <v>2</v>
      </c>
      <c r="AG6" s="2">
        <v>0</v>
      </c>
      <c r="AH6" s="2">
        <v>0</v>
      </c>
      <c r="AI6" s="2">
        <v>0</v>
      </c>
      <c r="AJ6" s="2">
        <v>1</v>
      </c>
      <c r="AK6" s="2">
        <v>0</v>
      </c>
      <c r="AL6" s="2">
        <v>2</v>
      </c>
      <c r="AM6" s="2">
        <v>0</v>
      </c>
      <c r="AN6" s="2">
        <v>0</v>
      </c>
      <c r="AO6" s="2">
        <v>1</v>
      </c>
      <c r="AP6" s="2">
        <v>0</v>
      </c>
      <c r="AQ6" s="2">
        <v>1</v>
      </c>
      <c r="AR6" s="2">
        <v>1</v>
      </c>
      <c r="AS6" s="2">
        <v>0</v>
      </c>
      <c r="AT6" s="2">
        <v>2</v>
      </c>
      <c r="AU6" s="2">
        <v>0</v>
      </c>
      <c r="AV6" s="2">
        <v>0</v>
      </c>
      <c r="AW6" s="2">
        <v>1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2</v>
      </c>
      <c r="BF6" s="2">
        <v>0</v>
      </c>
      <c r="BG6" s="2">
        <v>13</v>
      </c>
    </row>
    <row r="7" spans="1:59" ht="78" customHeight="1" x14ac:dyDescent="0.3">
      <c r="A7" s="5" t="s">
        <v>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>
        <v>56</v>
      </c>
      <c r="Y7" s="17">
        <v>32</v>
      </c>
      <c r="Z7" s="17"/>
      <c r="AA7" s="17">
        <v>4</v>
      </c>
      <c r="AB7" s="17">
        <v>1</v>
      </c>
      <c r="AC7" s="17">
        <f t="shared" si="0"/>
        <v>93</v>
      </c>
      <c r="AE7" s="29" t="s">
        <v>99</v>
      </c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>
        <v>56</v>
      </c>
      <c r="BC7" s="17">
        <v>32</v>
      </c>
      <c r="BD7" s="17"/>
      <c r="BE7" s="17">
        <v>4</v>
      </c>
      <c r="BF7" s="17">
        <v>1</v>
      </c>
      <c r="BG7" s="17">
        <v>93</v>
      </c>
    </row>
    <row r="8" spans="1:59" ht="15.6" customHeight="1" x14ac:dyDescent="0.35">
      <c r="A8" s="5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>
        <v>1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>
        <f t="shared" si="0"/>
        <v>1</v>
      </c>
      <c r="AE8" s="24" t="s">
        <v>96</v>
      </c>
      <c r="AF8" s="2">
        <v>0</v>
      </c>
      <c r="AG8" s="2">
        <v>0</v>
      </c>
      <c r="AH8" s="2">
        <v>0</v>
      </c>
      <c r="AI8" s="2">
        <v>0</v>
      </c>
      <c r="AJ8" s="2">
        <v>32</v>
      </c>
      <c r="AK8" s="2">
        <v>7</v>
      </c>
      <c r="AL8" s="2">
        <v>6</v>
      </c>
      <c r="AM8" s="2">
        <v>3</v>
      </c>
      <c r="AN8" s="2">
        <v>1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7</v>
      </c>
      <c r="AU8" s="2">
        <v>6</v>
      </c>
      <c r="AV8" s="2">
        <v>9</v>
      </c>
      <c r="AW8" s="2">
        <v>45</v>
      </c>
      <c r="AX8" s="2">
        <v>10</v>
      </c>
      <c r="AY8" s="2">
        <v>7</v>
      </c>
      <c r="AZ8" s="2">
        <v>16</v>
      </c>
      <c r="BA8" s="2">
        <v>7</v>
      </c>
      <c r="BB8" s="2">
        <v>3</v>
      </c>
      <c r="BC8" s="2">
        <v>3</v>
      </c>
      <c r="BD8" s="2">
        <v>2</v>
      </c>
      <c r="BE8" s="2">
        <v>0</v>
      </c>
      <c r="BF8" s="2">
        <v>0</v>
      </c>
      <c r="BG8" s="2">
        <v>164</v>
      </c>
    </row>
    <row r="9" spans="1:59" x14ac:dyDescent="0.3">
      <c r="A9" s="20" t="s">
        <v>8</v>
      </c>
      <c r="B9" s="17"/>
      <c r="C9" s="17">
        <v>4</v>
      </c>
      <c r="D9" s="17">
        <v>15</v>
      </c>
      <c r="E9" s="17">
        <v>435</v>
      </c>
      <c r="F9" s="17">
        <v>1903</v>
      </c>
      <c r="G9" s="17">
        <v>867</v>
      </c>
      <c r="H9" s="17">
        <v>9867</v>
      </c>
      <c r="I9" s="17">
        <v>9864</v>
      </c>
      <c r="J9" s="17">
        <v>5362</v>
      </c>
      <c r="K9" s="17">
        <v>3264</v>
      </c>
      <c r="L9" s="17">
        <v>783</v>
      </c>
      <c r="M9" s="17">
        <v>33</v>
      </c>
      <c r="N9" s="17">
        <v>23</v>
      </c>
      <c r="O9" s="17">
        <v>9</v>
      </c>
      <c r="P9" s="17">
        <v>3027</v>
      </c>
      <c r="Q9" s="17">
        <v>4754</v>
      </c>
      <c r="R9" s="17">
        <v>5673</v>
      </c>
      <c r="S9" s="17">
        <v>7131</v>
      </c>
      <c r="T9" s="17">
        <v>10373</v>
      </c>
      <c r="U9" s="17">
        <v>8310</v>
      </c>
      <c r="V9" s="17">
        <v>6037</v>
      </c>
      <c r="W9" s="17">
        <v>3658</v>
      </c>
      <c r="X9" s="17">
        <v>1903</v>
      </c>
      <c r="Y9" s="17">
        <v>769</v>
      </c>
      <c r="Z9" s="17">
        <v>307</v>
      </c>
      <c r="AA9" s="17">
        <v>381</v>
      </c>
      <c r="AB9" s="17">
        <v>99</v>
      </c>
      <c r="AC9" s="17">
        <f t="shared" si="0"/>
        <v>84851</v>
      </c>
      <c r="AE9" s="5" t="s">
        <v>2</v>
      </c>
      <c r="AF9" s="17"/>
      <c r="AG9" s="17"/>
      <c r="AH9" s="17"/>
      <c r="AI9" s="17"/>
      <c r="AJ9" s="17">
        <v>36</v>
      </c>
      <c r="AK9" s="17">
        <v>7</v>
      </c>
      <c r="AL9" s="17">
        <v>263</v>
      </c>
      <c r="AM9" s="17">
        <v>20</v>
      </c>
      <c r="AN9" s="17">
        <v>67</v>
      </c>
      <c r="AO9" s="17">
        <v>3</v>
      </c>
      <c r="AP9" s="17">
        <v>2</v>
      </c>
      <c r="AQ9" s="17"/>
      <c r="AR9" s="17">
        <v>2</v>
      </c>
      <c r="AS9" s="17">
        <v>4</v>
      </c>
      <c r="AT9" s="17">
        <v>31</v>
      </c>
      <c r="AU9" s="17">
        <v>48</v>
      </c>
      <c r="AV9" s="17">
        <v>6</v>
      </c>
      <c r="AW9" s="17">
        <v>130</v>
      </c>
      <c r="AX9" s="17">
        <v>150</v>
      </c>
      <c r="AY9" s="17">
        <v>117</v>
      </c>
      <c r="AZ9" s="17">
        <v>85</v>
      </c>
      <c r="BA9" s="17">
        <v>46</v>
      </c>
      <c r="BB9" s="17">
        <v>22</v>
      </c>
      <c r="BC9" s="17">
        <v>2</v>
      </c>
      <c r="BD9" s="17"/>
      <c r="BE9" s="17"/>
      <c r="BF9" s="17"/>
      <c r="BG9" s="17">
        <v>1041</v>
      </c>
    </row>
    <row r="10" spans="1:59" ht="31.2" customHeight="1" x14ac:dyDescent="0.35">
      <c r="A10" s="20" t="s">
        <v>9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>
        <v>85</v>
      </c>
      <c r="AB10" s="17">
        <v>47</v>
      </c>
      <c r="AC10" s="17">
        <f t="shared" si="0"/>
        <v>132</v>
      </c>
      <c r="AE10" s="26" t="s">
        <v>97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2</v>
      </c>
      <c r="AN10" s="2">
        <v>167</v>
      </c>
      <c r="AO10" s="2">
        <v>165</v>
      </c>
      <c r="AP10" s="2">
        <v>35</v>
      </c>
      <c r="AQ10" s="2">
        <v>3</v>
      </c>
      <c r="AR10" s="2">
        <v>6</v>
      </c>
      <c r="AS10" s="2">
        <v>0</v>
      </c>
      <c r="AT10" s="2">
        <v>432</v>
      </c>
      <c r="AU10" s="2">
        <v>907</v>
      </c>
      <c r="AV10" s="2">
        <v>1375</v>
      </c>
      <c r="AW10" s="2">
        <v>935</v>
      </c>
      <c r="AX10" s="2">
        <v>498</v>
      </c>
      <c r="AY10" s="2">
        <v>393</v>
      </c>
      <c r="AZ10" s="2">
        <v>324</v>
      </c>
      <c r="BA10" s="2">
        <v>123</v>
      </c>
      <c r="BB10" s="2">
        <v>29</v>
      </c>
      <c r="BC10" s="2">
        <v>8</v>
      </c>
      <c r="BD10" s="2">
        <v>8</v>
      </c>
      <c r="BE10" s="2">
        <v>4</v>
      </c>
      <c r="BF10" s="2">
        <v>3</v>
      </c>
      <c r="BG10" s="2">
        <v>5417</v>
      </c>
    </row>
    <row r="11" spans="1:59" ht="31.2" x14ac:dyDescent="0.3">
      <c r="A11" s="5" t="s">
        <v>10</v>
      </c>
      <c r="B11" s="17"/>
      <c r="C11" s="17"/>
      <c r="D11" s="17"/>
      <c r="E11" s="17">
        <v>1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1</v>
      </c>
      <c r="Q11" s="17">
        <v>1</v>
      </c>
      <c r="R11" s="17"/>
      <c r="S11" s="17"/>
      <c r="T11" s="17"/>
      <c r="U11" s="17">
        <v>1</v>
      </c>
      <c r="V11" s="17"/>
      <c r="W11" s="17"/>
      <c r="X11" s="17"/>
      <c r="Y11" s="17"/>
      <c r="Z11" s="17"/>
      <c r="AA11" s="17"/>
      <c r="AB11" s="17"/>
      <c r="AC11" s="17">
        <f t="shared" si="0"/>
        <v>4</v>
      </c>
      <c r="AE11" s="5" t="s">
        <v>11</v>
      </c>
      <c r="AF11" s="17"/>
      <c r="AG11" s="17"/>
      <c r="AH11" s="17"/>
      <c r="AI11" s="17"/>
      <c r="AJ11" s="17"/>
      <c r="AK11" s="17"/>
      <c r="AL11" s="17"/>
      <c r="AM11" s="17">
        <v>136</v>
      </c>
      <c r="AN11" s="17">
        <v>278</v>
      </c>
      <c r="AO11" s="17">
        <v>982</v>
      </c>
      <c r="AP11" s="17">
        <v>492</v>
      </c>
      <c r="AQ11" s="17">
        <v>4</v>
      </c>
      <c r="AR11" s="17">
        <v>67</v>
      </c>
      <c r="AS11" s="17">
        <v>7</v>
      </c>
      <c r="AT11" s="17">
        <v>728</v>
      </c>
      <c r="AU11" s="17">
        <v>1152</v>
      </c>
      <c r="AV11" s="17">
        <v>2984</v>
      </c>
      <c r="AW11" s="17">
        <v>2763</v>
      </c>
      <c r="AX11" s="17">
        <v>1999</v>
      </c>
      <c r="AY11" s="17">
        <v>1823</v>
      </c>
      <c r="AZ11" s="17">
        <v>635</v>
      </c>
      <c r="BA11" s="17">
        <v>346</v>
      </c>
      <c r="BB11" s="17">
        <v>70</v>
      </c>
      <c r="BC11" s="17">
        <v>4</v>
      </c>
      <c r="BD11" s="17">
        <v>84</v>
      </c>
      <c r="BE11" s="17">
        <v>73</v>
      </c>
      <c r="BF11" s="17">
        <v>1</v>
      </c>
      <c r="BG11" s="17">
        <v>14628</v>
      </c>
    </row>
    <row r="12" spans="1:59" ht="31.2" x14ac:dyDescent="0.3">
      <c r="A12" s="5" t="s">
        <v>11</v>
      </c>
      <c r="B12" s="17"/>
      <c r="C12" s="17"/>
      <c r="D12" s="17"/>
      <c r="E12" s="17"/>
      <c r="F12" s="17"/>
      <c r="G12" s="17"/>
      <c r="H12" s="17"/>
      <c r="I12" s="17">
        <v>136</v>
      </c>
      <c r="J12" s="17">
        <v>278</v>
      </c>
      <c r="K12" s="17">
        <v>982</v>
      </c>
      <c r="L12" s="17">
        <v>492</v>
      </c>
      <c r="M12" s="17">
        <v>4</v>
      </c>
      <c r="N12" s="17">
        <v>67</v>
      </c>
      <c r="O12" s="17">
        <v>7</v>
      </c>
      <c r="P12" s="17">
        <v>728</v>
      </c>
      <c r="Q12" s="17">
        <v>1152</v>
      </c>
      <c r="R12" s="17">
        <v>2984</v>
      </c>
      <c r="S12" s="17">
        <v>2763</v>
      </c>
      <c r="T12" s="17">
        <v>1999</v>
      </c>
      <c r="U12" s="17">
        <v>1823</v>
      </c>
      <c r="V12" s="17">
        <v>635</v>
      </c>
      <c r="W12" s="17">
        <v>346</v>
      </c>
      <c r="X12" s="17">
        <v>70</v>
      </c>
      <c r="Y12" s="17">
        <v>4</v>
      </c>
      <c r="Z12" s="17">
        <v>84</v>
      </c>
      <c r="AA12" s="17">
        <v>73</v>
      </c>
      <c r="AB12" s="17">
        <v>1</v>
      </c>
      <c r="AC12" s="17">
        <f t="shared" si="0"/>
        <v>14628</v>
      </c>
      <c r="AE12" s="23" t="s">
        <v>3</v>
      </c>
      <c r="AF12" s="2">
        <v>0</v>
      </c>
      <c r="AG12" s="2">
        <v>0</v>
      </c>
      <c r="AH12" s="2">
        <v>0</v>
      </c>
      <c r="AI12" s="2">
        <v>122</v>
      </c>
      <c r="AJ12" s="2">
        <v>570</v>
      </c>
      <c r="AK12" s="2">
        <v>271</v>
      </c>
      <c r="AL12" s="2">
        <v>574</v>
      </c>
      <c r="AM12" s="2">
        <v>634</v>
      </c>
      <c r="AN12" s="2">
        <v>530</v>
      </c>
      <c r="AO12" s="2">
        <v>240</v>
      </c>
      <c r="AP12" s="2">
        <v>45</v>
      </c>
      <c r="AQ12" s="2">
        <v>4</v>
      </c>
      <c r="AR12" s="2">
        <v>6</v>
      </c>
      <c r="AS12" s="2">
        <v>0</v>
      </c>
      <c r="AT12" s="2">
        <v>869</v>
      </c>
      <c r="AU12" s="2">
        <v>2222</v>
      </c>
      <c r="AV12" s="2">
        <v>4682</v>
      </c>
      <c r="AW12" s="2">
        <v>4770</v>
      </c>
      <c r="AX12" s="2">
        <v>3996</v>
      </c>
      <c r="AY12" s="2">
        <v>2449</v>
      </c>
      <c r="AZ12" s="2">
        <v>1526</v>
      </c>
      <c r="BA12" s="2">
        <v>638</v>
      </c>
      <c r="BB12" s="2">
        <v>187</v>
      </c>
      <c r="BC12" s="2">
        <v>19</v>
      </c>
      <c r="BD12" s="2">
        <v>14</v>
      </c>
      <c r="BE12" s="2">
        <v>8</v>
      </c>
      <c r="BF12" s="2">
        <v>5</v>
      </c>
      <c r="BG12" s="2">
        <v>24381</v>
      </c>
    </row>
    <row r="13" spans="1:59" ht="15.6" customHeight="1" x14ac:dyDescent="0.35">
      <c r="A13" s="5" t="s">
        <v>12</v>
      </c>
      <c r="B13" s="17"/>
      <c r="C13" s="17"/>
      <c r="D13" s="17"/>
      <c r="E13" s="17"/>
      <c r="F13" s="17">
        <v>1</v>
      </c>
      <c r="G13" s="17"/>
      <c r="H13" s="17"/>
      <c r="I13" s="17"/>
      <c r="J13" s="17">
        <v>2</v>
      </c>
      <c r="K13" s="17">
        <v>1</v>
      </c>
      <c r="L13" s="17"/>
      <c r="M13" s="17"/>
      <c r="N13" s="17"/>
      <c r="O13" s="17"/>
      <c r="P13" s="17"/>
      <c r="Q13" s="17"/>
      <c r="R13" s="17"/>
      <c r="S13" s="17">
        <v>2</v>
      </c>
      <c r="T13" s="17"/>
      <c r="U13" s="17"/>
      <c r="V13" s="17"/>
      <c r="W13" s="17"/>
      <c r="X13" s="17">
        <v>3</v>
      </c>
      <c r="Y13" s="17"/>
      <c r="Z13" s="17"/>
      <c r="AA13" s="17"/>
      <c r="AB13" s="17"/>
      <c r="AC13" s="17">
        <f t="shared" si="0"/>
        <v>9</v>
      </c>
      <c r="AE13" s="25" t="s">
        <v>8</v>
      </c>
      <c r="AF13" s="2">
        <v>0</v>
      </c>
      <c r="AG13" s="2">
        <v>4</v>
      </c>
      <c r="AH13" s="2">
        <v>15</v>
      </c>
      <c r="AI13" s="2">
        <v>435</v>
      </c>
      <c r="AJ13" s="2">
        <v>1903</v>
      </c>
      <c r="AK13" s="2">
        <v>867</v>
      </c>
      <c r="AL13" s="2">
        <v>9867</v>
      </c>
      <c r="AM13" s="2">
        <v>9864</v>
      </c>
      <c r="AN13" s="2">
        <v>5362</v>
      </c>
      <c r="AO13" s="2">
        <v>3264</v>
      </c>
      <c r="AP13" s="2">
        <v>783</v>
      </c>
      <c r="AQ13" s="2">
        <v>33</v>
      </c>
      <c r="AR13" s="2">
        <v>23</v>
      </c>
      <c r="AS13" s="2">
        <v>9</v>
      </c>
      <c r="AT13" s="2">
        <v>3027</v>
      </c>
      <c r="AU13" s="2">
        <v>4754</v>
      </c>
      <c r="AV13" s="2">
        <v>5673</v>
      </c>
      <c r="AW13" s="2">
        <v>7131</v>
      </c>
      <c r="AX13" s="2">
        <v>10373</v>
      </c>
      <c r="AY13" s="2">
        <v>8310</v>
      </c>
      <c r="AZ13" s="2">
        <v>6037</v>
      </c>
      <c r="BA13" s="2">
        <v>3658</v>
      </c>
      <c r="BB13" s="2">
        <v>1903</v>
      </c>
      <c r="BC13" s="2">
        <v>769</v>
      </c>
      <c r="BD13" s="2">
        <v>307</v>
      </c>
      <c r="BE13" s="2">
        <v>466</v>
      </c>
      <c r="BF13" s="2">
        <v>146</v>
      </c>
      <c r="BG13" s="2">
        <v>84983</v>
      </c>
    </row>
    <row r="14" spans="1:59" ht="31.2" x14ac:dyDescent="0.3">
      <c r="A14" s="21" t="s">
        <v>13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>
        <v>15</v>
      </c>
      <c r="Y14" s="17">
        <v>6</v>
      </c>
      <c r="Z14" s="17">
        <v>8</v>
      </c>
      <c r="AA14" s="17">
        <v>1</v>
      </c>
      <c r="AB14" s="17">
        <v>3</v>
      </c>
      <c r="AC14" s="17">
        <f t="shared" si="0"/>
        <v>33</v>
      </c>
    </row>
    <row r="15" spans="1:59" x14ac:dyDescent="0.3">
      <c r="A15" s="19" t="s">
        <v>14</v>
      </c>
      <c r="B15" s="17"/>
      <c r="C15" s="17"/>
      <c r="D15" s="17"/>
      <c r="E15" s="17"/>
      <c r="F15" s="17">
        <v>32</v>
      </c>
      <c r="G15" s="17">
        <v>7</v>
      </c>
      <c r="H15" s="17">
        <v>6</v>
      </c>
      <c r="I15" s="17">
        <v>3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>
        <f t="shared" si="0"/>
        <v>48</v>
      </c>
    </row>
    <row r="16" spans="1:59" ht="54.6" x14ac:dyDescent="0.3">
      <c r="A16" s="19" t="s">
        <v>15</v>
      </c>
      <c r="B16" s="17"/>
      <c r="C16" s="17"/>
      <c r="D16" s="17"/>
      <c r="E16" s="17"/>
      <c r="F16" s="17"/>
      <c r="G16" s="17"/>
      <c r="H16" s="17"/>
      <c r="I16" s="17"/>
      <c r="J16" s="17">
        <v>1</v>
      </c>
      <c r="K16" s="17"/>
      <c r="L16" s="17"/>
      <c r="M16" s="17"/>
      <c r="N16" s="17"/>
      <c r="O16" s="17"/>
      <c r="P16" s="17">
        <v>7</v>
      </c>
      <c r="Q16" s="17">
        <v>6</v>
      </c>
      <c r="R16" s="17">
        <v>9</v>
      </c>
      <c r="S16" s="17">
        <v>25</v>
      </c>
      <c r="T16" s="17">
        <v>5</v>
      </c>
      <c r="U16" s="17">
        <v>5</v>
      </c>
      <c r="V16" s="17">
        <v>12</v>
      </c>
      <c r="W16" s="17">
        <v>6</v>
      </c>
      <c r="X16" s="17">
        <v>1</v>
      </c>
      <c r="Y16" s="17">
        <v>3</v>
      </c>
      <c r="Z16" s="17">
        <v>2</v>
      </c>
      <c r="AA16" s="17"/>
      <c r="AB16" s="17"/>
      <c r="AC16" s="17">
        <f t="shared" si="0"/>
        <v>82</v>
      </c>
      <c r="AE16" s="13" t="s">
        <v>0</v>
      </c>
      <c r="AF16" s="32">
        <v>45292</v>
      </c>
      <c r="AG16" s="32">
        <v>45323</v>
      </c>
      <c r="AH16" s="32">
        <v>45352</v>
      </c>
      <c r="AI16" s="32">
        <v>45383</v>
      </c>
      <c r="AJ16" s="32">
        <v>45413</v>
      </c>
      <c r="AK16" s="32">
        <v>45444</v>
      </c>
      <c r="AL16" s="32">
        <v>45474</v>
      </c>
      <c r="AM16" s="32">
        <v>45505</v>
      </c>
      <c r="AN16" s="32">
        <v>45536</v>
      </c>
      <c r="AO16" s="32">
        <v>45566</v>
      </c>
      <c r="AP16" s="32">
        <v>45597</v>
      </c>
      <c r="AQ16" s="32">
        <v>45627</v>
      </c>
      <c r="AR16" s="32">
        <v>45658</v>
      </c>
      <c r="AS16" s="32">
        <v>45689</v>
      </c>
      <c r="AT16" s="32">
        <v>45717</v>
      </c>
      <c r="AU16" s="32">
        <v>45748</v>
      </c>
      <c r="AV16" s="32">
        <v>45778</v>
      </c>
      <c r="AW16" s="32">
        <v>45809</v>
      </c>
      <c r="AX16" s="32">
        <v>45839</v>
      </c>
      <c r="AY16" s="32">
        <v>45870</v>
      </c>
      <c r="AZ16" s="32">
        <v>45901</v>
      </c>
      <c r="BA16" s="32">
        <v>45931</v>
      </c>
      <c r="BB16" s="32">
        <v>45962</v>
      </c>
      <c r="BC16" s="32">
        <v>45992</v>
      </c>
      <c r="BD16" s="32">
        <v>46023</v>
      </c>
      <c r="BE16" s="32">
        <v>46054</v>
      </c>
      <c r="BF16" s="32">
        <v>46082</v>
      </c>
      <c r="BG16" s="15" t="s">
        <v>21</v>
      </c>
    </row>
    <row r="17" spans="1:59" ht="70.8" customHeight="1" x14ac:dyDescent="0.3">
      <c r="A17" s="21" t="s">
        <v>16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>
        <v>8</v>
      </c>
      <c r="Y17" s="17">
        <v>2</v>
      </c>
      <c r="Z17" s="17"/>
      <c r="AA17" s="17">
        <v>3</v>
      </c>
      <c r="AB17" s="17"/>
      <c r="AC17" s="17">
        <f t="shared" si="0"/>
        <v>13</v>
      </c>
      <c r="AE17" s="5" t="s">
        <v>1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3">
        <v>0</v>
      </c>
      <c r="AV17" s="33">
        <v>0</v>
      </c>
      <c r="AW17" s="33">
        <v>0</v>
      </c>
      <c r="AX17" s="33">
        <v>0</v>
      </c>
      <c r="AY17" s="33">
        <v>0</v>
      </c>
      <c r="AZ17" s="33">
        <v>0</v>
      </c>
      <c r="BA17" s="33">
        <v>0</v>
      </c>
      <c r="BB17" s="33">
        <v>0</v>
      </c>
      <c r="BC17" s="33">
        <v>0</v>
      </c>
      <c r="BD17" s="33">
        <v>0</v>
      </c>
      <c r="BE17" s="33">
        <v>1.7921146953405018E-3</v>
      </c>
      <c r="BF17" s="33">
        <v>0</v>
      </c>
      <c r="BG17" s="33">
        <v>7.649061077752706E-6</v>
      </c>
    </row>
    <row r="18" spans="1:59" ht="62.4" x14ac:dyDescent="0.3">
      <c r="A18" s="21" t="s">
        <v>17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432</v>
      </c>
      <c r="Q18" s="17">
        <v>907</v>
      </c>
      <c r="R18" s="17">
        <v>1375</v>
      </c>
      <c r="S18" s="17">
        <v>935</v>
      </c>
      <c r="T18" s="17">
        <v>498</v>
      </c>
      <c r="U18" s="17">
        <v>393</v>
      </c>
      <c r="V18" s="17">
        <v>324</v>
      </c>
      <c r="W18" s="17">
        <v>123</v>
      </c>
      <c r="X18" s="17">
        <v>6</v>
      </c>
      <c r="Y18" s="17"/>
      <c r="Z18" s="17"/>
      <c r="AA18" s="17"/>
      <c r="AB18" s="17"/>
      <c r="AC18" s="17">
        <f t="shared" si="0"/>
        <v>4993</v>
      </c>
      <c r="AE18" s="5" t="s">
        <v>7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>
        <v>0</v>
      </c>
      <c r="AM18" s="33">
        <v>0</v>
      </c>
      <c r="AN18" s="33">
        <v>0</v>
      </c>
      <c r="AO18" s="33">
        <v>0</v>
      </c>
      <c r="AP18" s="33">
        <v>0</v>
      </c>
      <c r="AQ18" s="33">
        <v>0</v>
      </c>
      <c r="AR18" s="33">
        <v>0</v>
      </c>
      <c r="AS18" s="33">
        <v>0</v>
      </c>
      <c r="AT18" s="33">
        <v>0</v>
      </c>
      <c r="AU18" s="33">
        <v>0</v>
      </c>
      <c r="AV18" s="33">
        <v>6.7888662593346914E-5</v>
      </c>
      <c r="AW18" s="33">
        <v>0</v>
      </c>
      <c r="AX18" s="33">
        <v>0</v>
      </c>
      <c r="AY18" s="33">
        <v>0</v>
      </c>
      <c r="AZ18" s="33">
        <v>0</v>
      </c>
      <c r="BA18" s="33">
        <v>0</v>
      </c>
      <c r="BB18" s="33">
        <v>0</v>
      </c>
      <c r="BC18" s="33">
        <v>0</v>
      </c>
      <c r="BD18" s="33">
        <v>0</v>
      </c>
      <c r="BE18" s="33">
        <v>0</v>
      </c>
      <c r="BF18" s="33">
        <v>0</v>
      </c>
      <c r="BG18" s="33">
        <v>7.649061077752706E-6</v>
      </c>
    </row>
    <row r="19" spans="1:59" ht="31.2" x14ac:dyDescent="0.3">
      <c r="A19" s="21" t="s">
        <v>18</v>
      </c>
      <c r="B19" s="17"/>
      <c r="C19" s="17"/>
      <c r="D19" s="17"/>
      <c r="E19" s="17"/>
      <c r="F19" s="17"/>
      <c r="G19" s="17"/>
      <c r="H19" s="17"/>
      <c r="I19" s="17">
        <v>2</v>
      </c>
      <c r="J19" s="17">
        <v>167</v>
      </c>
      <c r="K19" s="17">
        <v>165</v>
      </c>
      <c r="L19" s="17">
        <v>35</v>
      </c>
      <c r="M19" s="17">
        <v>3</v>
      </c>
      <c r="N19" s="17">
        <v>6</v>
      </c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>
        <f t="shared" si="0"/>
        <v>378</v>
      </c>
      <c r="AE19" s="5" t="s">
        <v>10</v>
      </c>
      <c r="AF19" s="33">
        <v>0</v>
      </c>
      <c r="AG19" s="33">
        <v>0</v>
      </c>
      <c r="AH19" s="33">
        <v>0</v>
      </c>
      <c r="AI19" s="33">
        <v>1.7921146953405018E-3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1.9619383951343929E-4</v>
      </c>
      <c r="AU19" s="33">
        <v>1.1001100110011001E-4</v>
      </c>
      <c r="AV19" s="33">
        <v>0</v>
      </c>
      <c r="AW19" s="33">
        <v>0</v>
      </c>
      <c r="AX19" s="33">
        <v>0</v>
      </c>
      <c r="AY19" s="33">
        <v>7.6335877862595422E-5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3.0596244311010824E-5</v>
      </c>
    </row>
    <row r="20" spans="1:59" ht="16.2" customHeight="1" x14ac:dyDescent="0.3">
      <c r="A20" s="22" t="s">
        <v>19</v>
      </c>
      <c r="B20" s="17">
        <v>2</v>
      </c>
      <c r="C20" s="17"/>
      <c r="D20" s="17"/>
      <c r="E20" s="17"/>
      <c r="F20" s="17"/>
      <c r="G20" s="17"/>
      <c r="H20" s="17">
        <v>2</v>
      </c>
      <c r="I20" s="17"/>
      <c r="J20" s="17"/>
      <c r="K20" s="17">
        <v>1</v>
      </c>
      <c r="L20" s="17"/>
      <c r="M20" s="17">
        <v>1</v>
      </c>
      <c r="N20" s="17"/>
      <c r="O20" s="17"/>
      <c r="P20" s="17">
        <v>2</v>
      </c>
      <c r="Q20" s="17"/>
      <c r="R20" s="17"/>
      <c r="S20" s="17">
        <v>1</v>
      </c>
      <c r="T20" s="17"/>
      <c r="U20" s="17"/>
      <c r="V20" s="17"/>
      <c r="W20" s="17"/>
      <c r="X20" s="17"/>
      <c r="Y20" s="17"/>
      <c r="Z20" s="17"/>
      <c r="AA20" s="17">
        <v>2</v>
      </c>
      <c r="AB20" s="17"/>
      <c r="AC20" s="17">
        <f t="shared" si="0"/>
        <v>11</v>
      </c>
      <c r="AE20" s="5" t="s">
        <v>12</v>
      </c>
      <c r="AF20" s="33">
        <v>0</v>
      </c>
      <c r="AG20" s="33">
        <v>0</v>
      </c>
      <c r="AH20" s="33">
        <v>0</v>
      </c>
      <c r="AI20" s="33">
        <v>0</v>
      </c>
      <c r="AJ20" s="33">
        <v>3.9323633503735744E-4</v>
      </c>
      <c r="AK20" s="33">
        <v>0</v>
      </c>
      <c r="AL20" s="33">
        <v>0</v>
      </c>
      <c r="AM20" s="33">
        <v>0</v>
      </c>
      <c r="AN20" s="33">
        <v>3.1215857655689092E-4</v>
      </c>
      <c r="AO20" s="33">
        <v>2.1477663230240549E-4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1.2676681244850097E-4</v>
      </c>
      <c r="AX20" s="33">
        <v>0</v>
      </c>
      <c r="AY20" s="33">
        <v>0</v>
      </c>
      <c r="AZ20" s="33">
        <v>0</v>
      </c>
      <c r="BA20" s="33">
        <v>0</v>
      </c>
      <c r="BB20" s="33">
        <v>1.3198416190057193E-3</v>
      </c>
      <c r="BC20" s="33">
        <v>0</v>
      </c>
      <c r="BD20" s="33">
        <v>0</v>
      </c>
      <c r="BE20" s="33">
        <v>0</v>
      </c>
      <c r="BF20" s="33">
        <v>0</v>
      </c>
      <c r="BG20" s="33">
        <v>6.8841549699774347E-5</v>
      </c>
    </row>
    <row r="21" spans="1:59" ht="16.2" customHeight="1" x14ac:dyDescent="0.35">
      <c r="A21" s="22" t="s">
        <v>20</v>
      </c>
      <c r="B21" s="17"/>
      <c r="C21" s="17"/>
      <c r="D21" s="17"/>
      <c r="E21" s="17"/>
      <c r="F21" s="17">
        <v>1</v>
      </c>
      <c r="G21" s="17"/>
      <c r="H21" s="17"/>
      <c r="I21" s="17"/>
      <c r="J21" s="17"/>
      <c r="K21" s="17"/>
      <c r="L21" s="17"/>
      <c r="M21" s="17"/>
      <c r="N21" s="17">
        <v>1</v>
      </c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>
        <f t="shared" si="0"/>
        <v>2</v>
      </c>
      <c r="AE21" s="31" t="s">
        <v>98</v>
      </c>
      <c r="AF21" s="33">
        <v>1</v>
      </c>
      <c r="AG21" s="33">
        <v>0</v>
      </c>
      <c r="AH21" s="33">
        <v>0</v>
      </c>
      <c r="AI21" s="33">
        <v>0</v>
      </c>
      <c r="AJ21" s="33">
        <v>3.9323633503735744E-4</v>
      </c>
      <c r="AK21" s="33">
        <v>0</v>
      </c>
      <c r="AL21" s="33">
        <v>1.8670649738610905E-4</v>
      </c>
      <c r="AM21" s="33">
        <v>0</v>
      </c>
      <c r="AN21" s="33">
        <v>0</v>
      </c>
      <c r="AO21" s="33">
        <v>2.1477663230240549E-4</v>
      </c>
      <c r="AP21" s="33">
        <v>0</v>
      </c>
      <c r="AQ21" s="33">
        <v>2.2222222222222223E-2</v>
      </c>
      <c r="AR21" s="33">
        <v>9.5238095238095247E-3</v>
      </c>
      <c r="AS21" s="33">
        <v>0</v>
      </c>
      <c r="AT21" s="33">
        <v>3.9238767902687857E-4</v>
      </c>
      <c r="AU21" s="33">
        <v>0</v>
      </c>
      <c r="AV21" s="33">
        <v>0</v>
      </c>
      <c r="AW21" s="33">
        <v>6.3383406224250485E-5</v>
      </c>
      <c r="AX21" s="33">
        <v>0</v>
      </c>
      <c r="AY21" s="33">
        <v>0</v>
      </c>
      <c r="AZ21" s="33">
        <v>0</v>
      </c>
      <c r="BA21" s="33">
        <v>0</v>
      </c>
      <c r="BB21" s="33">
        <v>0</v>
      </c>
      <c r="BC21" s="33">
        <v>0</v>
      </c>
      <c r="BD21" s="33">
        <v>0</v>
      </c>
      <c r="BE21" s="33">
        <v>3.5842293906810036E-3</v>
      </c>
      <c r="BF21" s="33">
        <v>0</v>
      </c>
      <c r="BG21" s="33">
        <v>9.9437794010785171E-5</v>
      </c>
    </row>
    <row r="22" spans="1:59" ht="31.2" x14ac:dyDescent="0.3">
      <c r="AE22" s="29" t="s">
        <v>99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0</v>
      </c>
      <c r="BB22" s="33">
        <v>2.4637043554773426E-2</v>
      </c>
      <c r="BC22" s="33">
        <v>3.8231780167264036E-2</v>
      </c>
      <c r="BD22" s="33">
        <v>0</v>
      </c>
      <c r="BE22" s="33">
        <v>7.1684587813620072E-3</v>
      </c>
      <c r="BF22" s="33">
        <v>6.41025641025641E-3</v>
      </c>
      <c r="BG22" s="33">
        <v>7.1136268023100162E-4</v>
      </c>
    </row>
    <row r="23" spans="1:59" ht="16.2" customHeight="1" x14ac:dyDescent="0.35">
      <c r="AE23" s="30" t="s">
        <v>96</v>
      </c>
      <c r="AF23" s="33">
        <v>0</v>
      </c>
      <c r="AG23" s="33">
        <v>0</v>
      </c>
      <c r="AH23" s="33">
        <v>0</v>
      </c>
      <c r="AI23" s="33">
        <v>0</v>
      </c>
      <c r="AJ23" s="33">
        <v>1.2583562721195438E-2</v>
      </c>
      <c r="AK23" s="33">
        <v>6.076388888888889E-3</v>
      </c>
      <c r="AL23" s="33">
        <v>5.6011949215832709E-4</v>
      </c>
      <c r="AM23" s="33">
        <v>2.8145229383619476E-4</v>
      </c>
      <c r="AN23" s="33">
        <v>1.5607928827844546E-4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1.3733568765940749E-3</v>
      </c>
      <c r="AU23" s="33">
        <v>6.6006600660066007E-4</v>
      </c>
      <c r="AV23" s="33">
        <v>6.1099796334012225E-4</v>
      </c>
      <c r="AW23" s="33">
        <v>2.8522532800912721E-3</v>
      </c>
      <c r="AX23" s="33">
        <v>5.8733701397862095E-4</v>
      </c>
      <c r="AY23" s="33">
        <v>5.3435114503816797E-4</v>
      </c>
      <c r="AZ23" s="33">
        <v>1.8555027252696278E-3</v>
      </c>
      <c r="BA23" s="33">
        <v>1.4528850145288502E-3</v>
      </c>
      <c r="BB23" s="33">
        <v>1.3198416190057193E-3</v>
      </c>
      <c r="BC23" s="33">
        <v>3.5842293906810036E-3</v>
      </c>
      <c r="BD23" s="33">
        <v>4.8192771084337354E-3</v>
      </c>
      <c r="BE23" s="33">
        <v>0</v>
      </c>
      <c r="BF23" s="33">
        <v>0</v>
      </c>
      <c r="BG23" s="33">
        <v>1.2544460167514438E-3</v>
      </c>
    </row>
    <row r="24" spans="1:59" ht="15.6" customHeight="1" x14ac:dyDescent="0.3">
      <c r="AE24" s="5" t="s">
        <v>2</v>
      </c>
      <c r="AF24" s="33">
        <v>0</v>
      </c>
      <c r="AG24" s="33">
        <v>0</v>
      </c>
      <c r="AH24" s="33">
        <v>0</v>
      </c>
      <c r="AI24" s="33">
        <v>0</v>
      </c>
      <c r="AJ24" s="33">
        <v>1.4156508061344868E-2</v>
      </c>
      <c r="AK24" s="33">
        <v>6.076388888888889E-3</v>
      </c>
      <c r="AL24" s="33">
        <v>2.4551904406273337E-2</v>
      </c>
      <c r="AM24" s="33">
        <v>1.8763486255746317E-3</v>
      </c>
      <c r="AN24" s="33">
        <v>1.0457312314655845E-2</v>
      </c>
      <c r="AO24" s="33">
        <v>6.4432989690721648E-4</v>
      </c>
      <c r="AP24" s="33">
        <v>1.4738393515106854E-3</v>
      </c>
      <c r="AQ24" s="33">
        <v>0</v>
      </c>
      <c r="AR24" s="33">
        <v>1.9047619047619049E-2</v>
      </c>
      <c r="AS24" s="33">
        <v>0.2</v>
      </c>
      <c r="AT24" s="33">
        <v>6.0820090249166176E-3</v>
      </c>
      <c r="AU24" s="33">
        <v>5.2805280528052806E-3</v>
      </c>
      <c r="AV24" s="33">
        <v>4.0733197556008148E-4</v>
      </c>
      <c r="AW24" s="33">
        <v>8.2398428091525634E-3</v>
      </c>
      <c r="AX24" s="33">
        <v>8.8100552096793145E-3</v>
      </c>
      <c r="AY24" s="33">
        <v>8.9312977099236645E-3</v>
      </c>
      <c r="AZ24" s="33">
        <v>9.8573582279948974E-3</v>
      </c>
      <c r="BA24" s="33">
        <v>9.5475300954753015E-3</v>
      </c>
      <c r="BB24" s="33">
        <v>9.6788385393752757E-3</v>
      </c>
      <c r="BC24" s="33">
        <v>2.3894862604540022E-3</v>
      </c>
      <c r="BD24" s="33">
        <v>0</v>
      </c>
      <c r="BE24" s="33">
        <v>0</v>
      </c>
      <c r="BF24" s="33">
        <v>0</v>
      </c>
      <c r="BG24" s="33">
        <v>7.9626725819405674E-3</v>
      </c>
    </row>
    <row r="25" spans="1:59" ht="16.2" x14ac:dyDescent="0.35">
      <c r="AE25" s="31" t="s">
        <v>97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>
        <v>0</v>
      </c>
      <c r="AM25" s="33">
        <v>1.8763486255746317E-4</v>
      </c>
      <c r="AN25" s="33">
        <v>2.6065241142500389E-2</v>
      </c>
      <c r="AO25" s="33">
        <v>3.5438144329896906E-2</v>
      </c>
      <c r="AP25" s="33">
        <v>2.5792188651436992E-2</v>
      </c>
      <c r="AQ25" s="33">
        <v>6.6666666666666666E-2</v>
      </c>
      <c r="AR25" s="33">
        <v>5.7142857142857141E-2</v>
      </c>
      <c r="AS25" s="33">
        <v>0</v>
      </c>
      <c r="AT25" s="33">
        <v>8.4755738669805764E-2</v>
      </c>
      <c r="AU25" s="33">
        <v>9.9779977997799779E-2</v>
      </c>
      <c r="AV25" s="33">
        <v>9.3346911065852009E-2</v>
      </c>
      <c r="AW25" s="33">
        <v>5.9263484819674209E-2</v>
      </c>
      <c r="AX25" s="33">
        <v>2.9249383296135321E-2</v>
      </c>
      <c r="AY25" s="33">
        <v>0.03</v>
      </c>
      <c r="AZ25" s="33">
        <v>3.7573930186709958E-2</v>
      </c>
      <c r="BA25" s="33">
        <v>2.5529265255292654E-2</v>
      </c>
      <c r="BB25" s="33">
        <v>1.2758468983721953E-2</v>
      </c>
      <c r="BC25" s="33">
        <v>9.557945041816009E-3</v>
      </c>
      <c r="BD25" s="33">
        <v>1.9277108433734941E-2</v>
      </c>
      <c r="BE25" s="33">
        <v>7.1684587813620072E-3</v>
      </c>
      <c r="BF25" s="33">
        <v>1.9230769230769232E-2</v>
      </c>
      <c r="BG25" s="33">
        <v>4.1434963858186409E-2</v>
      </c>
    </row>
    <row r="26" spans="1:59" ht="15.6" customHeight="1" x14ac:dyDescent="0.3">
      <c r="AE26" s="5" t="s">
        <v>11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>
        <v>0</v>
      </c>
      <c r="AM26" s="33">
        <v>1.2759170653907496E-2</v>
      </c>
      <c r="AN26" s="33">
        <v>4.3390042141407834E-2</v>
      </c>
      <c r="AO26" s="33">
        <v>0.2109106529209622</v>
      </c>
      <c r="AP26" s="33">
        <v>0.36256448047162859</v>
      </c>
      <c r="AQ26" s="33">
        <v>8.8888888888888892E-2</v>
      </c>
      <c r="AR26" s="33">
        <v>0.63809523809523805</v>
      </c>
      <c r="AS26" s="33">
        <v>0.35</v>
      </c>
      <c r="AT26" s="33">
        <v>0.14282911516578378</v>
      </c>
      <c r="AU26" s="33">
        <v>0.12673267326732673</v>
      </c>
      <c r="AV26" s="33">
        <v>0.20257976917854717</v>
      </c>
      <c r="AW26" s="33">
        <v>0.1751283513976041</v>
      </c>
      <c r="AX26" s="33">
        <v>0.11740866909432632</v>
      </c>
      <c r="AY26" s="33">
        <v>0.13916030534351145</v>
      </c>
      <c r="AZ26" s="33">
        <v>7.3640264409138345E-2</v>
      </c>
      <c r="BA26" s="33">
        <v>7.1814030718140312E-2</v>
      </c>
      <c r="BB26" s="33">
        <v>3.0796304443466784E-2</v>
      </c>
      <c r="BC26" s="33">
        <v>4.7789725209080045E-3</v>
      </c>
      <c r="BD26" s="33">
        <v>0.20240963855421687</v>
      </c>
      <c r="BE26" s="33">
        <v>0.13082437275985664</v>
      </c>
      <c r="BF26" s="33">
        <v>6.41025641025641E-3</v>
      </c>
      <c r="BG26" s="33">
        <v>0.11189046544536659</v>
      </c>
    </row>
    <row r="27" spans="1:59" x14ac:dyDescent="0.3">
      <c r="AE27" s="29" t="s">
        <v>3</v>
      </c>
      <c r="AF27" s="33">
        <v>0</v>
      </c>
      <c r="AG27" s="33">
        <v>0</v>
      </c>
      <c r="AH27" s="33">
        <v>0</v>
      </c>
      <c r="AI27" s="33">
        <v>0.21863799283154123</v>
      </c>
      <c r="AJ27" s="33">
        <v>0.22414471097129374</v>
      </c>
      <c r="AK27" s="33">
        <v>0.23524305555555555</v>
      </c>
      <c r="AL27" s="33">
        <v>5.3584764749813295E-2</v>
      </c>
      <c r="AM27" s="33">
        <v>5.9480251430715829E-2</v>
      </c>
      <c r="AN27" s="33">
        <v>8.2722022787576094E-2</v>
      </c>
      <c r="AO27" s="33">
        <v>5.1546391752577317E-2</v>
      </c>
      <c r="AP27" s="33">
        <v>3.3161385408990419E-2</v>
      </c>
      <c r="AQ27" s="33">
        <v>8.8888888888888892E-2</v>
      </c>
      <c r="AR27" s="33">
        <v>5.7142857142857141E-2</v>
      </c>
      <c r="AS27" s="33">
        <v>0</v>
      </c>
      <c r="AT27" s="33">
        <v>0.17049244653717874</v>
      </c>
      <c r="AU27" s="33">
        <v>0.24444444444444444</v>
      </c>
      <c r="AV27" s="33">
        <v>0.31785471826205025</v>
      </c>
      <c r="AW27" s="33">
        <v>0.30233884768967484</v>
      </c>
      <c r="AX27" s="33">
        <v>0.23469987078585691</v>
      </c>
      <c r="AY27" s="33">
        <v>0.18694656488549619</v>
      </c>
      <c r="AZ27" s="33">
        <v>0.17696857242259076</v>
      </c>
      <c r="BA27" s="33">
        <v>0.13242009132420091</v>
      </c>
      <c r="BB27" s="33">
        <v>8.2270127584689837E-2</v>
      </c>
      <c r="BC27" s="33">
        <v>2.2700119474313024E-2</v>
      </c>
      <c r="BD27" s="33">
        <v>3.3734939759036145E-2</v>
      </c>
      <c r="BE27" s="33">
        <v>1.4336917562724014E-2</v>
      </c>
      <c r="BF27" s="33">
        <v>3.2051282051282048E-2</v>
      </c>
      <c r="BG27" s="33">
        <v>0.18649175813668872</v>
      </c>
    </row>
    <row r="28" spans="1:59" ht="16.2" x14ac:dyDescent="0.35">
      <c r="AE28" s="31" t="s">
        <v>8</v>
      </c>
      <c r="AF28" s="33">
        <v>0</v>
      </c>
      <c r="AG28" s="33">
        <v>1</v>
      </c>
      <c r="AH28" s="33">
        <v>1</v>
      </c>
      <c r="AI28" s="33">
        <v>0.77956989247311825</v>
      </c>
      <c r="AJ28" s="33">
        <v>0.74832874557609119</v>
      </c>
      <c r="AK28" s="33">
        <v>0.75260416666666663</v>
      </c>
      <c r="AL28" s="33">
        <v>0.92111650485436891</v>
      </c>
      <c r="AM28" s="33">
        <v>0.92541514213340836</v>
      </c>
      <c r="AN28" s="33">
        <v>0.83689714374902446</v>
      </c>
      <c r="AO28" s="33">
        <v>0.7010309278350515</v>
      </c>
      <c r="AP28" s="33">
        <v>0.57700810611643327</v>
      </c>
      <c r="AQ28" s="33">
        <v>0.73333333333333328</v>
      </c>
      <c r="AR28" s="33">
        <v>0.21904761904761905</v>
      </c>
      <c r="AS28" s="33">
        <v>0.45</v>
      </c>
      <c r="AT28" s="33">
        <v>0.59387875220718067</v>
      </c>
      <c r="AU28" s="33">
        <v>0.52299229922992296</v>
      </c>
      <c r="AV28" s="33">
        <v>0.38513238289205703</v>
      </c>
      <c r="AW28" s="33">
        <v>0.45198706978513026</v>
      </c>
      <c r="AX28" s="33">
        <v>0.60924468460002346</v>
      </c>
      <c r="AY28" s="33">
        <v>0.63435114503816792</v>
      </c>
      <c r="AZ28" s="33">
        <v>0.70010437202829645</v>
      </c>
      <c r="BA28" s="33">
        <v>0.75923619759236194</v>
      </c>
      <c r="BB28" s="33">
        <v>0.83721953365596125</v>
      </c>
      <c r="BC28" s="33">
        <v>0.91875746714456397</v>
      </c>
      <c r="BD28" s="33">
        <v>0.73975903614457827</v>
      </c>
      <c r="BE28" s="33">
        <v>0.83512544802867383</v>
      </c>
      <c r="BF28" s="33">
        <v>0.9358974358974359</v>
      </c>
      <c r="BG28" s="33">
        <v>0.65004015757065825</v>
      </c>
    </row>
    <row r="29" spans="1:59" ht="15.6" customHeight="1" x14ac:dyDescent="0.3">
      <c r="AE29" s="28" t="s">
        <v>21</v>
      </c>
      <c r="AF29" s="2">
        <v>2</v>
      </c>
      <c r="AG29" s="2">
        <v>4</v>
      </c>
      <c r="AH29" s="2">
        <v>15</v>
      </c>
      <c r="AI29" s="2">
        <v>558</v>
      </c>
      <c r="AJ29" s="2">
        <v>2543</v>
      </c>
      <c r="AK29" s="2">
        <v>1152</v>
      </c>
      <c r="AL29" s="2">
        <v>10712</v>
      </c>
      <c r="AM29" s="2">
        <v>10659</v>
      </c>
      <c r="AN29" s="2">
        <v>6407</v>
      </c>
      <c r="AO29" s="2">
        <v>4656</v>
      </c>
      <c r="AP29" s="2">
        <v>1357</v>
      </c>
      <c r="AQ29" s="2">
        <v>45</v>
      </c>
      <c r="AR29" s="2">
        <v>105</v>
      </c>
      <c r="AS29" s="2">
        <v>20</v>
      </c>
      <c r="AT29" s="2">
        <v>5097</v>
      </c>
      <c r="AU29" s="2">
        <v>9090</v>
      </c>
      <c r="AV29" s="2">
        <v>14730</v>
      </c>
      <c r="AW29" s="2">
        <v>15777</v>
      </c>
      <c r="AX29" s="2">
        <v>17026</v>
      </c>
      <c r="AY29" s="2">
        <v>13100</v>
      </c>
      <c r="AZ29" s="2">
        <v>8623</v>
      </c>
      <c r="BA29" s="2">
        <v>4818</v>
      </c>
      <c r="BB29" s="2">
        <v>2273</v>
      </c>
      <c r="BC29" s="2">
        <v>837</v>
      </c>
      <c r="BD29" s="2">
        <v>415</v>
      </c>
      <c r="BE29" s="2">
        <v>558</v>
      </c>
      <c r="BF29" s="2">
        <v>156</v>
      </c>
      <c r="BG29" s="2"/>
    </row>
    <row r="66" spans="31:46" ht="20.399999999999999" x14ac:dyDescent="0.3">
      <c r="AF66" s="32" t="s">
        <v>100</v>
      </c>
      <c r="AG66" s="32" t="s">
        <v>101</v>
      </c>
      <c r="AH66" s="32" t="s">
        <v>102</v>
      </c>
      <c r="AI66" s="32" t="s">
        <v>103</v>
      </c>
      <c r="AJ66" s="32" t="s">
        <v>104</v>
      </c>
      <c r="AK66" s="32" t="s">
        <v>105</v>
      </c>
      <c r="AL66" s="32" t="s">
        <v>106</v>
      </c>
      <c r="AM66" s="32" t="s">
        <v>107</v>
      </c>
      <c r="AN66" s="32" t="s">
        <v>108</v>
      </c>
      <c r="AO66" s="32" t="s">
        <v>109</v>
      </c>
      <c r="AP66" s="32" t="s">
        <v>110</v>
      </c>
      <c r="AQ66" s="32" t="s">
        <v>111</v>
      </c>
    </row>
    <row r="67" spans="31:46" x14ac:dyDescent="0.3">
      <c r="AE67">
        <v>2024</v>
      </c>
      <c r="AF67" s="2">
        <v>2</v>
      </c>
      <c r="AG67" s="2">
        <v>4</v>
      </c>
      <c r="AH67" s="2">
        <v>15</v>
      </c>
      <c r="AI67" s="2">
        <v>558</v>
      </c>
      <c r="AJ67" s="2">
        <v>2543</v>
      </c>
      <c r="AK67" s="2">
        <v>1152</v>
      </c>
      <c r="AL67" s="2">
        <v>10712</v>
      </c>
      <c r="AM67" s="2">
        <v>10659</v>
      </c>
      <c r="AN67" s="2">
        <v>6407</v>
      </c>
      <c r="AO67" s="2">
        <v>4656</v>
      </c>
      <c r="AP67" s="2">
        <v>1357</v>
      </c>
      <c r="AQ67" s="2">
        <v>45</v>
      </c>
    </row>
    <row r="68" spans="31:46" x14ac:dyDescent="0.3">
      <c r="AE68">
        <v>2025</v>
      </c>
      <c r="AF68" s="2">
        <v>105</v>
      </c>
      <c r="AG68" s="2">
        <v>20</v>
      </c>
      <c r="AH68" s="2">
        <v>5097</v>
      </c>
      <c r="AI68" s="2">
        <v>9090</v>
      </c>
      <c r="AJ68" s="2">
        <v>14730</v>
      </c>
      <c r="AK68" s="2">
        <v>15777</v>
      </c>
      <c r="AL68" s="2">
        <v>17026</v>
      </c>
      <c r="AM68" s="2">
        <v>13100</v>
      </c>
      <c r="AN68" s="2">
        <v>8623</v>
      </c>
      <c r="AO68" s="2">
        <v>4818</v>
      </c>
      <c r="AP68" s="2">
        <v>2273</v>
      </c>
      <c r="AQ68" s="2">
        <v>837</v>
      </c>
      <c r="AR68" s="2"/>
      <c r="AS68" s="2"/>
      <c r="AT68" s="2"/>
    </row>
    <row r="69" spans="31:46" x14ac:dyDescent="0.3">
      <c r="AE69">
        <v>2026</v>
      </c>
      <c r="AF69" s="2">
        <v>415</v>
      </c>
      <c r="AG69" s="2">
        <v>558</v>
      </c>
      <c r="AH69" s="2">
        <v>156</v>
      </c>
    </row>
  </sheetData>
  <sortState xmlns:xlrd2="http://schemas.microsoft.com/office/spreadsheetml/2017/richdata2" ref="AE2:BG13">
    <sortCondition ref="BG13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8BB9-D087-434E-AFBD-4C1997B34B9E}">
  <dimension ref="A1:K71"/>
  <sheetViews>
    <sheetView tabSelected="1" zoomScale="70" zoomScaleNormal="70" workbookViewId="0">
      <selection activeCell="J26" sqref="J26:K26"/>
    </sheetView>
  </sheetViews>
  <sheetFormatPr defaultRowHeight="15.6" x14ac:dyDescent="0.3"/>
  <cols>
    <col min="1" max="1" width="49.59765625" customWidth="1"/>
    <col min="2" max="2" width="47.59765625" style="9" customWidth="1"/>
    <col min="3" max="3" width="44.296875" style="9" customWidth="1"/>
    <col min="4" max="4" width="73.3984375" style="9" customWidth="1"/>
    <col min="5" max="5" width="23.09765625" customWidth="1"/>
    <col min="6" max="6" width="11.69921875" customWidth="1"/>
    <col min="8" max="8" width="17.69921875" bestFit="1" customWidth="1"/>
    <col min="9" max="9" width="28.19921875" bestFit="1" customWidth="1"/>
    <col min="10" max="10" width="26" bestFit="1" customWidth="1"/>
    <col min="11" max="11" width="37.09765625" bestFit="1" customWidth="1"/>
  </cols>
  <sheetData>
    <row r="1" spans="1:6" s="4" customFormat="1" ht="46.2" customHeight="1" x14ac:dyDescent="0.3">
      <c r="A1" s="37" t="s">
        <v>92</v>
      </c>
      <c r="B1" s="5" t="s">
        <v>93</v>
      </c>
      <c r="C1" s="6" t="s">
        <v>94</v>
      </c>
      <c r="D1" s="6" t="s">
        <v>95</v>
      </c>
      <c r="E1" s="35" t="s">
        <v>112</v>
      </c>
      <c r="F1" s="4" t="s">
        <v>115</v>
      </c>
    </row>
    <row r="2" spans="1:6" x14ac:dyDescent="0.3">
      <c r="A2" s="38" t="s">
        <v>73</v>
      </c>
      <c r="B2" s="7">
        <v>39871</v>
      </c>
      <c r="C2" s="34">
        <v>2.8</v>
      </c>
      <c r="D2" s="8">
        <v>39284</v>
      </c>
      <c r="E2" s="36">
        <f t="shared" ref="E2:E33" si="0">C2*B2/60</f>
        <v>1860.6466666666665</v>
      </c>
      <c r="F2" t="s">
        <v>113</v>
      </c>
    </row>
    <row r="3" spans="1:6" x14ac:dyDescent="0.3">
      <c r="A3" s="38" t="s">
        <v>25</v>
      </c>
      <c r="B3" s="7">
        <v>41839</v>
      </c>
      <c r="C3" s="34">
        <v>1.4</v>
      </c>
      <c r="D3" s="8">
        <v>38029</v>
      </c>
      <c r="E3" s="36">
        <f t="shared" si="0"/>
        <v>976.24333333333334</v>
      </c>
      <c r="F3" t="s">
        <v>114</v>
      </c>
    </row>
    <row r="4" spans="1:6" x14ac:dyDescent="0.3">
      <c r="A4" s="38" t="s">
        <v>28</v>
      </c>
      <c r="B4" s="7">
        <v>33820</v>
      </c>
      <c r="C4" s="34">
        <v>1.6</v>
      </c>
      <c r="D4" s="8">
        <v>33459</v>
      </c>
      <c r="E4" s="36">
        <f t="shared" si="0"/>
        <v>901.86666666666667</v>
      </c>
      <c r="F4" t="s">
        <v>114</v>
      </c>
    </row>
    <row r="5" spans="1:6" x14ac:dyDescent="0.3">
      <c r="A5" s="38" t="s">
        <v>24</v>
      </c>
      <c r="B5" s="7">
        <v>22834</v>
      </c>
      <c r="C5" s="34">
        <v>2.1</v>
      </c>
      <c r="D5" s="8">
        <v>21832</v>
      </c>
      <c r="E5" s="36">
        <f t="shared" si="0"/>
        <v>799.19</v>
      </c>
      <c r="F5" t="s">
        <v>113</v>
      </c>
    </row>
    <row r="6" spans="1:6" x14ac:dyDescent="0.3">
      <c r="A6" s="38" t="s">
        <v>23</v>
      </c>
      <c r="B6" s="7">
        <v>17389</v>
      </c>
      <c r="C6" s="34">
        <v>2.4</v>
      </c>
      <c r="D6" s="8">
        <v>16830</v>
      </c>
      <c r="E6" s="36">
        <f t="shared" si="0"/>
        <v>695.56</v>
      </c>
      <c r="F6" t="s">
        <v>113</v>
      </c>
    </row>
    <row r="7" spans="1:6" x14ac:dyDescent="0.3">
      <c r="A7" s="38" t="s">
        <v>22</v>
      </c>
      <c r="B7" s="7">
        <v>32739</v>
      </c>
      <c r="C7" s="34">
        <v>1.2</v>
      </c>
      <c r="D7" s="8">
        <v>30828</v>
      </c>
      <c r="E7" s="36">
        <f t="shared" si="0"/>
        <v>654.78</v>
      </c>
      <c r="F7" t="s">
        <v>114</v>
      </c>
    </row>
    <row r="8" spans="1:6" x14ac:dyDescent="0.3">
      <c r="A8" s="38" t="s">
        <v>26</v>
      </c>
      <c r="B8" s="7">
        <v>13940</v>
      </c>
      <c r="C8" s="34">
        <v>1.8</v>
      </c>
      <c r="D8" s="8">
        <v>10383</v>
      </c>
      <c r="E8" s="36">
        <f t="shared" si="0"/>
        <v>418.2</v>
      </c>
      <c r="F8" t="s">
        <v>114</v>
      </c>
    </row>
    <row r="9" spans="1:6" x14ac:dyDescent="0.3">
      <c r="A9" s="38" t="s">
        <v>27</v>
      </c>
      <c r="B9" s="7">
        <v>7536</v>
      </c>
      <c r="C9" s="34">
        <v>2.1</v>
      </c>
      <c r="D9" s="8">
        <v>6373</v>
      </c>
      <c r="E9" s="36">
        <f t="shared" si="0"/>
        <v>263.76</v>
      </c>
      <c r="F9" t="s">
        <v>113</v>
      </c>
    </row>
    <row r="10" spans="1:6" x14ac:dyDescent="0.3">
      <c r="A10" s="38" t="s">
        <v>31</v>
      </c>
      <c r="B10" s="7">
        <v>2709</v>
      </c>
      <c r="C10" s="34">
        <v>2.6</v>
      </c>
      <c r="D10" s="8">
        <v>2703</v>
      </c>
      <c r="E10" s="36">
        <f t="shared" si="0"/>
        <v>117.39000000000001</v>
      </c>
      <c r="F10" t="s">
        <v>113</v>
      </c>
    </row>
    <row r="11" spans="1:6" x14ac:dyDescent="0.3">
      <c r="A11" s="38" t="s">
        <v>30</v>
      </c>
      <c r="B11" s="7">
        <v>3128</v>
      </c>
      <c r="C11" s="34">
        <v>2.2000000000000002</v>
      </c>
      <c r="D11" s="8">
        <v>3112</v>
      </c>
      <c r="E11" s="36">
        <f t="shared" si="0"/>
        <v>114.69333333333334</v>
      </c>
      <c r="F11" t="s">
        <v>113</v>
      </c>
    </row>
    <row r="12" spans="1:6" x14ac:dyDescent="0.3">
      <c r="A12" s="38" t="s">
        <v>29</v>
      </c>
      <c r="B12" s="7">
        <v>4901</v>
      </c>
      <c r="C12" s="34">
        <v>1.3</v>
      </c>
      <c r="D12" s="8">
        <v>4598</v>
      </c>
      <c r="E12" s="36">
        <f t="shared" si="0"/>
        <v>106.18833333333333</v>
      </c>
      <c r="F12" t="s">
        <v>114</v>
      </c>
    </row>
    <row r="13" spans="1:6" x14ac:dyDescent="0.3">
      <c r="A13" s="38" t="s">
        <v>49</v>
      </c>
      <c r="B13" s="7">
        <v>1872</v>
      </c>
      <c r="C13" s="34">
        <v>2.4</v>
      </c>
      <c r="D13" s="8">
        <v>1832</v>
      </c>
      <c r="E13" s="36">
        <f t="shared" si="0"/>
        <v>74.88000000000001</v>
      </c>
      <c r="F13" t="s">
        <v>113</v>
      </c>
    </row>
    <row r="14" spans="1:6" x14ac:dyDescent="0.3">
      <c r="A14" s="38" t="s">
        <v>36</v>
      </c>
      <c r="B14" s="7">
        <v>1472</v>
      </c>
      <c r="C14" s="34">
        <v>1.5</v>
      </c>
      <c r="D14" s="8">
        <v>1374</v>
      </c>
      <c r="E14" s="36">
        <f t="shared" si="0"/>
        <v>36.799999999999997</v>
      </c>
      <c r="F14" t="s">
        <v>114</v>
      </c>
    </row>
    <row r="15" spans="1:6" x14ac:dyDescent="0.3">
      <c r="A15" s="38" t="s">
        <v>34</v>
      </c>
      <c r="B15" s="7">
        <v>782</v>
      </c>
      <c r="C15" s="34">
        <v>1.9</v>
      </c>
      <c r="D15" s="8">
        <v>738</v>
      </c>
      <c r="E15" s="36">
        <f t="shared" si="0"/>
        <v>24.763333333333332</v>
      </c>
      <c r="F15" t="s">
        <v>114</v>
      </c>
    </row>
    <row r="16" spans="1:6" x14ac:dyDescent="0.3">
      <c r="A16" s="38" t="s">
        <v>32</v>
      </c>
      <c r="B16" s="7">
        <v>443</v>
      </c>
      <c r="C16" s="34">
        <v>3</v>
      </c>
      <c r="D16" s="8">
        <v>384</v>
      </c>
      <c r="E16" s="36">
        <f t="shared" si="0"/>
        <v>22.15</v>
      </c>
      <c r="F16" t="s">
        <v>113</v>
      </c>
    </row>
    <row r="17" spans="1:11" x14ac:dyDescent="0.3">
      <c r="A17" s="38" t="s">
        <v>51</v>
      </c>
      <c r="B17" s="7">
        <v>197</v>
      </c>
      <c r="C17" s="34">
        <v>2.2000000000000002</v>
      </c>
      <c r="D17" s="8">
        <v>197</v>
      </c>
      <c r="E17" s="36">
        <f t="shared" si="0"/>
        <v>7.2233333333333336</v>
      </c>
      <c r="F17" t="s">
        <v>113</v>
      </c>
    </row>
    <row r="18" spans="1:11" x14ac:dyDescent="0.3">
      <c r="A18" s="38" t="s">
        <v>33</v>
      </c>
      <c r="B18" s="7">
        <v>135</v>
      </c>
      <c r="C18" s="34">
        <v>2.9</v>
      </c>
      <c r="D18" s="8">
        <v>98</v>
      </c>
      <c r="E18" s="36">
        <f t="shared" si="0"/>
        <v>6.5250000000000004</v>
      </c>
      <c r="F18" t="s">
        <v>113</v>
      </c>
    </row>
    <row r="19" spans="1:11" x14ac:dyDescent="0.3">
      <c r="A19" s="38" t="s">
        <v>37</v>
      </c>
      <c r="B19" s="7">
        <v>273</v>
      </c>
      <c r="C19" s="34">
        <v>1.3</v>
      </c>
      <c r="D19" s="8">
        <v>267</v>
      </c>
      <c r="E19" s="36">
        <f t="shared" si="0"/>
        <v>5.9150000000000009</v>
      </c>
      <c r="F19" t="s">
        <v>114</v>
      </c>
      <c r="H19" s="39" t="s">
        <v>116</v>
      </c>
      <c r="I19" t="s">
        <v>119</v>
      </c>
      <c r="J19" t="s">
        <v>118</v>
      </c>
      <c r="K19" t="s">
        <v>120</v>
      </c>
    </row>
    <row r="20" spans="1:11" ht="31.2" x14ac:dyDescent="0.3">
      <c r="A20" s="38" t="s">
        <v>38</v>
      </c>
      <c r="B20" s="7">
        <v>158</v>
      </c>
      <c r="C20" s="34">
        <v>2</v>
      </c>
      <c r="D20" s="8">
        <v>148</v>
      </c>
      <c r="E20" s="36">
        <f t="shared" si="0"/>
        <v>5.2666666666666666</v>
      </c>
      <c r="F20" t="s">
        <v>114</v>
      </c>
      <c r="H20" s="40" t="s">
        <v>114</v>
      </c>
      <c r="I20" s="42">
        <v>41</v>
      </c>
      <c r="J20" s="41">
        <v>130579</v>
      </c>
      <c r="K20" s="43">
        <v>3146.3466666666673</v>
      </c>
    </row>
    <row r="21" spans="1:11" x14ac:dyDescent="0.3">
      <c r="A21" s="38" t="s">
        <v>35</v>
      </c>
      <c r="B21" s="7">
        <v>199</v>
      </c>
      <c r="C21" s="34">
        <v>1.2</v>
      </c>
      <c r="D21" s="8">
        <v>183</v>
      </c>
      <c r="E21" s="36">
        <f t="shared" si="0"/>
        <v>3.9799999999999995</v>
      </c>
      <c r="F21" t="s">
        <v>114</v>
      </c>
      <c r="H21" s="40" t="s">
        <v>113</v>
      </c>
      <c r="I21" s="42">
        <v>29</v>
      </c>
      <c r="J21" s="41">
        <v>96325</v>
      </c>
      <c r="K21" s="43">
        <v>3970.0833333333339</v>
      </c>
    </row>
    <row r="22" spans="1:11" x14ac:dyDescent="0.3">
      <c r="A22" s="38" t="s">
        <v>43</v>
      </c>
      <c r="B22" s="7">
        <v>112</v>
      </c>
      <c r="C22" s="34">
        <v>1.8</v>
      </c>
      <c r="D22" s="8">
        <v>111</v>
      </c>
      <c r="E22" s="36">
        <f t="shared" si="0"/>
        <v>3.36</v>
      </c>
      <c r="F22" t="s">
        <v>114</v>
      </c>
      <c r="H22" s="40" t="s">
        <v>117</v>
      </c>
      <c r="I22" s="42">
        <v>70</v>
      </c>
      <c r="J22" s="41">
        <v>226904</v>
      </c>
      <c r="K22" s="43">
        <v>7116.4300000000021</v>
      </c>
    </row>
    <row r="23" spans="1:11" x14ac:dyDescent="0.3">
      <c r="A23" s="38" t="s">
        <v>45</v>
      </c>
      <c r="B23" s="7">
        <v>86</v>
      </c>
      <c r="C23" s="34">
        <v>2.1</v>
      </c>
      <c r="D23" s="8">
        <v>83</v>
      </c>
      <c r="E23" s="36">
        <f t="shared" si="0"/>
        <v>3.01</v>
      </c>
      <c r="F23" t="s">
        <v>113</v>
      </c>
    </row>
    <row r="24" spans="1:11" x14ac:dyDescent="0.3">
      <c r="A24" s="38" t="s">
        <v>54</v>
      </c>
      <c r="B24" s="7">
        <v>66</v>
      </c>
      <c r="C24" s="34">
        <v>2.2999999999999998</v>
      </c>
      <c r="D24" s="8">
        <v>65</v>
      </c>
      <c r="E24" s="36">
        <f t="shared" si="0"/>
        <v>2.5299999999999998</v>
      </c>
      <c r="F24" t="s">
        <v>113</v>
      </c>
    </row>
    <row r="25" spans="1:11" x14ac:dyDescent="0.3">
      <c r="A25" s="38" t="s">
        <v>58</v>
      </c>
      <c r="B25" s="7">
        <v>49</v>
      </c>
      <c r="C25" s="34">
        <v>2</v>
      </c>
      <c r="D25" s="8">
        <v>49</v>
      </c>
      <c r="E25" s="36">
        <f t="shared" si="0"/>
        <v>1.6333333333333333</v>
      </c>
      <c r="F25" t="s">
        <v>114</v>
      </c>
      <c r="J25">
        <f>GETPIVOTDATA("Сумма по полю Обращения",$H$19,"Сложность","Простое")/GETPIVOTDATA("Сумма по полю Обращения",$H$19)</f>
        <v>0.57548126079751794</v>
      </c>
      <c r="K25">
        <f>GETPIVOTDATA("Сумма по полю Времени затрачено, час",$H$19,"Сложность","Простое")/GETPIVOTDATA("Сумма по полю Времени затрачено, час",$H$19)</f>
        <v>0.44212430483636689</v>
      </c>
    </row>
    <row r="26" spans="1:11" x14ac:dyDescent="0.3">
      <c r="A26" s="38" t="s">
        <v>46</v>
      </c>
      <c r="B26" s="7">
        <v>34</v>
      </c>
      <c r="C26" s="34">
        <v>2.5</v>
      </c>
      <c r="D26" s="8">
        <v>30</v>
      </c>
      <c r="E26" s="36">
        <f t="shared" si="0"/>
        <v>1.4166666666666667</v>
      </c>
      <c r="F26" t="s">
        <v>113</v>
      </c>
      <c r="J26">
        <f>1-J25</f>
        <v>0.42451873920248206</v>
      </c>
      <c r="K26">
        <f>1-K25</f>
        <v>0.55787569516363311</v>
      </c>
    </row>
    <row r="27" spans="1:11" x14ac:dyDescent="0.3">
      <c r="A27" s="38" t="s">
        <v>52</v>
      </c>
      <c r="B27" s="7">
        <v>51</v>
      </c>
      <c r="C27" s="34">
        <v>1.6</v>
      </c>
      <c r="D27" s="8">
        <v>30</v>
      </c>
      <c r="E27" s="36">
        <f t="shared" si="0"/>
        <v>1.36</v>
      </c>
      <c r="F27" t="s">
        <v>114</v>
      </c>
    </row>
    <row r="28" spans="1:11" ht="31.2" x14ac:dyDescent="0.3">
      <c r="A28" s="38" t="s">
        <v>41</v>
      </c>
      <c r="B28" s="7">
        <v>39</v>
      </c>
      <c r="C28" s="34">
        <v>1.7</v>
      </c>
      <c r="D28" s="8">
        <v>33</v>
      </c>
      <c r="E28" s="36">
        <f t="shared" si="0"/>
        <v>1.105</v>
      </c>
      <c r="F28" t="s">
        <v>114</v>
      </c>
    </row>
    <row r="29" spans="1:11" x14ac:dyDescent="0.3">
      <c r="A29" s="38" t="s">
        <v>44</v>
      </c>
      <c r="B29" s="7">
        <v>55</v>
      </c>
      <c r="C29" s="34">
        <v>1.2</v>
      </c>
      <c r="D29" s="8">
        <v>52</v>
      </c>
      <c r="E29" s="36">
        <f t="shared" si="0"/>
        <v>1.1000000000000001</v>
      </c>
      <c r="F29" t="s">
        <v>114</v>
      </c>
    </row>
    <row r="30" spans="1:11" ht="31.2" x14ac:dyDescent="0.3">
      <c r="A30" s="38" t="s">
        <v>63</v>
      </c>
      <c r="B30" s="7">
        <v>11</v>
      </c>
      <c r="C30" s="34">
        <v>3</v>
      </c>
      <c r="D30" s="8">
        <v>10</v>
      </c>
      <c r="E30" s="36">
        <f t="shared" si="0"/>
        <v>0.55000000000000004</v>
      </c>
      <c r="F30" t="s">
        <v>113</v>
      </c>
    </row>
    <row r="31" spans="1:11" x14ac:dyDescent="0.3">
      <c r="A31" s="38" t="s">
        <v>39</v>
      </c>
      <c r="B31" s="7">
        <v>29</v>
      </c>
      <c r="C31" s="34">
        <v>1.1000000000000001</v>
      </c>
      <c r="D31" s="8">
        <v>29</v>
      </c>
      <c r="E31" s="36">
        <f t="shared" si="0"/>
        <v>0.53166666666666673</v>
      </c>
      <c r="F31" t="s">
        <v>114</v>
      </c>
    </row>
    <row r="32" spans="1:11" ht="31.2" x14ac:dyDescent="0.3">
      <c r="A32" s="38" t="s">
        <v>48</v>
      </c>
      <c r="B32" s="7">
        <v>14</v>
      </c>
      <c r="C32" s="34">
        <v>1.9</v>
      </c>
      <c r="D32" s="8">
        <v>11</v>
      </c>
      <c r="E32" s="36">
        <f t="shared" si="0"/>
        <v>0.4433333333333333</v>
      </c>
      <c r="F32" t="s">
        <v>114</v>
      </c>
    </row>
    <row r="33" spans="1:6" x14ac:dyDescent="0.3">
      <c r="A33" s="38" t="s">
        <v>77</v>
      </c>
      <c r="B33" s="7">
        <v>11</v>
      </c>
      <c r="C33" s="34">
        <v>1.9</v>
      </c>
      <c r="D33" s="8">
        <v>10</v>
      </c>
      <c r="E33" s="36">
        <f t="shared" si="0"/>
        <v>0.34833333333333333</v>
      </c>
      <c r="F33" t="s">
        <v>114</v>
      </c>
    </row>
    <row r="34" spans="1:6" ht="31.2" x14ac:dyDescent="0.3">
      <c r="A34" s="38" t="s">
        <v>60</v>
      </c>
      <c r="B34" s="7">
        <v>13</v>
      </c>
      <c r="C34" s="34">
        <v>1.5</v>
      </c>
      <c r="D34" s="8">
        <v>8</v>
      </c>
      <c r="E34" s="36">
        <f t="shared" ref="E34:E65" si="1">C34*B34/60</f>
        <v>0.32500000000000001</v>
      </c>
      <c r="F34" t="s">
        <v>114</v>
      </c>
    </row>
    <row r="35" spans="1:6" x14ac:dyDescent="0.3">
      <c r="A35" s="38" t="s">
        <v>42</v>
      </c>
      <c r="B35" s="7">
        <v>13</v>
      </c>
      <c r="C35" s="34">
        <v>1.4</v>
      </c>
      <c r="D35" s="8">
        <v>12</v>
      </c>
      <c r="E35" s="36">
        <f t="shared" si="1"/>
        <v>0.30333333333333334</v>
      </c>
      <c r="F35" t="s">
        <v>114</v>
      </c>
    </row>
    <row r="36" spans="1:6" x14ac:dyDescent="0.3">
      <c r="A36" s="38" t="s">
        <v>62</v>
      </c>
      <c r="B36" s="7">
        <v>9</v>
      </c>
      <c r="C36" s="34">
        <v>1.9</v>
      </c>
      <c r="D36" s="8">
        <v>8</v>
      </c>
      <c r="E36" s="36">
        <f t="shared" si="1"/>
        <v>0.28499999999999998</v>
      </c>
      <c r="F36" t="s">
        <v>114</v>
      </c>
    </row>
    <row r="37" spans="1:6" x14ac:dyDescent="0.3">
      <c r="A37" s="38" t="s">
        <v>57</v>
      </c>
      <c r="B37" s="7">
        <v>9</v>
      </c>
      <c r="C37" s="34">
        <v>1.8</v>
      </c>
      <c r="D37" s="8">
        <v>9</v>
      </c>
      <c r="E37" s="36">
        <f t="shared" si="1"/>
        <v>0.26999999999999996</v>
      </c>
      <c r="F37" t="s">
        <v>114</v>
      </c>
    </row>
    <row r="38" spans="1:6" x14ac:dyDescent="0.3">
      <c r="A38" s="38" t="s">
        <v>40</v>
      </c>
      <c r="B38" s="7">
        <v>7</v>
      </c>
      <c r="C38" s="34">
        <v>2.2999999999999998</v>
      </c>
      <c r="D38" s="8">
        <v>7</v>
      </c>
      <c r="E38" s="36">
        <f t="shared" si="1"/>
        <v>0.26833333333333331</v>
      </c>
      <c r="F38" t="s">
        <v>113</v>
      </c>
    </row>
    <row r="39" spans="1:6" x14ac:dyDescent="0.3">
      <c r="A39" s="38" t="s">
        <v>59</v>
      </c>
      <c r="B39" s="7">
        <v>10</v>
      </c>
      <c r="C39" s="34">
        <v>1.6</v>
      </c>
      <c r="D39" s="8">
        <v>9</v>
      </c>
      <c r="E39" s="36">
        <f t="shared" si="1"/>
        <v>0.26666666666666666</v>
      </c>
      <c r="F39" t="s">
        <v>114</v>
      </c>
    </row>
    <row r="40" spans="1:6" x14ac:dyDescent="0.3">
      <c r="A40" s="38" t="s">
        <v>55</v>
      </c>
      <c r="B40" s="7">
        <v>11</v>
      </c>
      <c r="C40" s="34">
        <v>1.4</v>
      </c>
      <c r="D40" s="8">
        <v>10</v>
      </c>
      <c r="E40" s="36">
        <f t="shared" si="1"/>
        <v>0.25666666666666665</v>
      </c>
      <c r="F40" t="s">
        <v>114</v>
      </c>
    </row>
    <row r="41" spans="1:6" x14ac:dyDescent="0.3">
      <c r="A41" s="38" t="s">
        <v>50</v>
      </c>
      <c r="B41" s="7">
        <v>8</v>
      </c>
      <c r="C41" s="34">
        <v>1.3</v>
      </c>
      <c r="D41" s="8">
        <v>8</v>
      </c>
      <c r="E41" s="36">
        <f t="shared" si="1"/>
        <v>0.17333333333333334</v>
      </c>
      <c r="F41" t="s">
        <v>114</v>
      </c>
    </row>
    <row r="42" spans="1:6" x14ac:dyDescent="0.3">
      <c r="A42" s="38" t="s">
        <v>69</v>
      </c>
      <c r="B42" s="7">
        <v>7</v>
      </c>
      <c r="C42" s="34">
        <v>1.2</v>
      </c>
      <c r="D42" s="8">
        <v>6</v>
      </c>
      <c r="E42" s="36">
        <f t="shared" si="1"/>
        <v>0.14000000000000001</v>
      </c>
      <c r="F42" t="s">
        <v>114</v>
      </c>
    </row>
    <row r="43" spans="1:6" x14ac:dyDescent="0.3">
      <c r="A43" s="38" t="s">
        <v>65</v>
      </c>
      <c r="B43" s="7">
        <v>4</v>
      </c>
      <c r="C43" s="34">
        <v>1.4</v>
      </c>
      <c r="D43" s="8">
        <v>4</v>
      </c>
      <c r="E43" s="36">
        <f t="shared" si="1"/>
        <v>9.3333333333333324E-2</v>
      </c>
      <c r="F43" t="s">
        <v>114</v>
      </c>
    </row>
    <row r="44" spans="1:6" x14ac:dyDescent="0.3">
      <c r="A44" s="38" t="s">
        <v>56</v>
      </c>
      <c r="B44" s="7">
        <v>2</v>
      </c>
      <c r="C44" s="34">
        <v>2.7</v>
      </c>
      <c r="D44" s="8">
        <v>1</v>
      </c>
      <c r="E44" s="36">
        <f t="shared" si="1"/>
        <v>9.0000000000000011E-2</v>
      </c>
      <c r="F44" t="s">
        <v>113</v>
      </c>
    </row>
    <row r="45" spans="1:6" x14ac:dyDescent="0.3">
      <c r="A45" s="38" t="s">
        <v>64</v>
      </c>
      <c r="B45" s="7">
        <v>3</v>
      </c>
      <c r="C45" s="34">
        <v>1.8</v>
      </c>
      <c r="D45" s="8">
        <v>3</v>
      </c>
      <c r="E45" s="36">
        <f t="shared" si="1"/>
        <v>9.0000000000000011E-2</v>
      </c>
      <c r="F45" t="s">
        <v>114</v>
      </c>
    </row>
    <row r="46" spans="1:6" x14ac:dyDescent="0.3">
      <c r="A46" s="38" t="s">
        <v>67</v>
      </c>
      <c r="B46" s="7">
        <v>2</v>
      </c>
      <c r="C46" s="34">
        <v>2.6</v>
      </c>
      <c r="D46" s="8">
        <v>1</v>
      </c>
      <c r="E46" s="36">
        <f t="shared" si="1"/>
        <v>8.666666666666667E-2</v>
      </c>
      <c r="F46" t="s">
        <v>113</v>
      </c>
    </row>
    <row r="47" spans="1:6" x14ac:dyDescent="0.3">
      <c r="A47" s="38" t="s">
        <v>47</v>
      </c>
      <c r="B47" s="7">
        <v>2</v>
      </c>
      <c r="C47" s="34">
        <v>1.7</v>
      </c>
      <c r="D47" s="8">
        <v>1</v>
      </c>
      <c r="E47" s="36">
        <f t="shared" si="1"/>
        <v>5.6666666666666664E-2</v>
      </c>
      <c r="F47" t="s">
        <v>114</v>
      </c>
    </row>
    <row r="48" spans="1:6" ht="31.2" x14ac:dyDescent="0.3">
      <c r="A48" s="38" t="s">
        <v>71</v>
      </c>
      <c r="B48" s="7">
        <v>2</v>
      </c>
      <c r="C48" s="34">
        <v>1.5</v>
      </c>
      <c r="D48" s="8">
        <v>1</v>
      </c>
      <c r="E48" s="36">
        <f t="shared" si="1"/>
        <v>0.05</v>
      </c>
      <c r="F48" t="s">
        <v>114</v>
      </c>
    </row>
    <row r="49" spans="1:6" x14ac:dyDescent="0.3">
      <c r="A49" s="38" t="s">
        <v>75</v>
      </c>
      <c r="B49" s="7">
        <v>1</v>
      </c>
      <c r="C49" s="34">
        <v>2.5</v>
      </c>
      <c r="D49" s="8">
        <v>1</v>
      </c>
      <c r="E49" s="36">
        <f t="shared" si="1"/>
        <v>4.1666666666666664E-2</v>
      </c>
      <c r="F49" t="s">
        <v>113</v>
      </c>
    </row>
    <row r="50" spans="1:6" x14ac:dyDescent="0.3">
      <c r="A50" s="38" t="s">
        <v>72</v>
      </c>
      <c r="B50" s="7">
        <v>1</v>
      </c>
      <c r="C50" s="34">
        <v>2.2000000000000002</v>
      </c>
      <c r="D50" s="8">
        <v>1</v>
      </c>
      <c r="E50" s="36">
        <f t="shared" si="1"/>
        <v>3.6666666666666667E-2</v>
      </c>
      <c r="F50" t="s">
        <v>113</v>
      </c>
    </row>
    <row r="51" spans="1:6" ht="31.2" x14ac:dyDescent="0.3">
      <c r="A51" s="38" t="s">
        <v>66</v>
      </c>
      <c r="B51" s="7">
        <v>1</v>
      </c>
      <c r="C51" s="34">
        <v>2.1</v>
      </c>
      <c r="D51" s="8">
        <v>1</v>
      </c>
      <c r="E51" s="36">
        <f t="shared" si="1"/>
        <v>3.5000000000000003E-2</v>
      </c>
      <c r="F51" t="s">
        <v>113</v>
      </c>
    </row>
    <row r="52" spans="1:6" x14ac:dyDescent="0.3">
      <c r="A52" s="38" t="s">
        <v>82</v>
      </c>
      <c r="B52" s="7">
        <v>1</v>
      </c>
      <c r="C52" s="34">
        <v>2</v>
      </c>
      <c r="D52" s="8">
        <v>1</v>
      </c>
      <c r="E52" s="36">
        <f t="shared" si="1"/>
        <v>3.3333333333333333E-2</v>
      </c>
      <c r="F52" t="s">
        <v>114</v>
      </c>
    </row>
    <row r="53" spans="1:6" ht="31.2" x14ac:dyDescent="0.3">
      <c r="A53" s="38" t="s">
        <v>91</v>
      </c>
      <c r="B53" s="7">
        <v>1</v>
      </c>
      <c r="C53" s="34">
        <v>1.9</v>
      </c>
      <c r="D53" s="8">
        <v>1</v>
      </c>
      <c r="E53" s="36">
        <f t="shared" si="1"/>
        <v>3.1666666666666662E-2</v>
      </c>
      <c r="F53" t="s">
        <v>114</v>
      </c>
    </row>
    <row r="54" spans="1:6" x14ac:dyDescent="0.3">
      <c r="A54" s="38" t="s">
        <v>78</v>
      </c>
      <c r="B54" s="7">
        <v>1</v>
      </c>
      <c r="C54" s="34">
        <v>1.8</v>
      </c>
      <c r="D54" s="8">
        <v>1</v>
      </c>
      <c r="E54" s="36">
        <f t="shared" si="1"/>
        <v>3.0000000000000002E-2</v>
      </c>
      <c r="F54" t="s">
        <v>114</v>
      </c>
    </row>
    <row r="55" spans="1:6" x14ac:dyDescent="0.3">
      <c r="A55" s="38" t="s">
        <v>61</v>
      </c>
      <c r="B55" s="7">
        <v>1</v>
      </c>
      <c r="C55" s="34">
        <v>1.7</v>
      </c>
      <c r="D55" s="8">
        <v>1</v>
      </c>
      <c r="E55" s="36">
        <f t="shared" si="1"/>
        <v>2.8333333333333332E-2</v>
      </c>
      <c r="F55" t="s">
        <v>114</v>
      </c>
    </row>
    <row r="56" spans="1:6" ht="31.2" x14ac:dyDescent="0.3">
      <c r="A56" s="38" t="s">
        <v>86</v>
      </c>
      <c r="B56" s="7">
        <v>1</v>
      </c>
      <c r="C56" s="34">
        <v>1.7</v>
      </c>
      <c r="D56" s="8">
        <v>1</v>
      </c>
      <c r="E56" s="36">
        <f t="shared" si="1"/>
        <v>2.8333333333333332E-2</v>
      </c>
      <c r="F56" t="s">
        <v>114</v>
      </c>
    </row>
    <row r="57" spans="1:6" x14ac:dyDescent="0.3">
      <c r="A57" s="38" t="s">
        <v>53</v>
      </c>
      <c r="B57" s="7">
        <v>0</v>
      </c>
      <c r="C57" s="34">
        <v>1.5</v>
      </c>
      <c r="D57" s="8">
        <v>0</v>
      </c>
      <c r="E57" s="36">
        <f t="shared" si="1"/>
        <v>0</v>
      </c>
      <c r="F57" t="s">
        <v>114</v>
      </c>
    </row>
    <row r="58" spans="1:6" x14ac:dyDescent="0.3">
      <c r="A58" s="38" t="s">
        <v>68</v>
      </c>
      <c r="B58" s="7">
        <v>0</v>
      </c>
      <c r="C58" s="34">
        <v>2.2999999999999998</v>
      </c>
      <c r="D58" s="8">
        <v>0</v>
      </c>
      <c r="E58" s="36">
        <f t="shared" si="1"/>
        <v>0</v>
      </c>
      <c r="F58" t="s">
        <v>113</v>
      </c>
    </row>
    <row r="59" spans="1:6" x14ac:dyDescent="0.3">
      <c r="A59" s="38" t="s">
        <v>70</v>
      </c>
      <c r="B59" s="7">
        <v>0</v>
      </c>
      <c r="C59" s="34">
        <v>2.4</v>
      </c>
      <c r="D59" s="8">
        <v>0</v>
      </c>
      <c r="E59" s="36">
        <f t="shared" si="1"/>
        <v>0</v>
      </c>
      <c r="F59" t="s">
        <v>113</v>
      </c>
    </row>
    <row r="60" spans="1:6" x14ac:dyDescent="0.3">
      <c r="A60" s="38" t="s">
        <v>74</v>
      </c>
      <c r="B60" s="7">
        <v>0</v>
      </c>
      <c r="C60" s="34">
        <v>1.7</v>
      </c>
      <c r="D60" s="8">
        <v>0</v>
      </c>
      <c r="E60" s="36">
        <f t="shared" si="1"/>
        <v>0</v>
      </c>
      <c r="F60" t="s">
        <v>114</v>
      </c>
    </row>
    <row r="61" spans="1:6" x14ac:dyDescent="0.3">
      <c r="A61" s="38" t="s">
        <v>76</v>
      </c>
      <c r="B61" s="7">
        <v>0</v>
      </c>
      <c r="C61" s="34">
        <v>2.4</v>
      </c>
      <c r="D61" s="8">
        <v>0</v>
      </c>
      <c r="E61" s="36">
        <f t="shared" si="1"/>
        <v>0</v>
      </c>
      <c r="F61" t="s">
        <v>113</v>
      </c>
    </row>
    <row r="62" spans="1:6" x14ac:dyDescent="0.3">
      <c r="A62" s="38" t="s">
        <v>79</v>
      </c>
      <c r="B62" s="7">
        <v>0</v>
      </c>
      <c r="C62" s="34">
        <v>2.6</v>
      </c>
      <c r="D62" s="8">
        <v>0</v>
      </c>
      <c r="E62" s="36">
        <f t="shared" si="1"/>
        <v>0</v>
      </c>
      <c r="F62" t="s">
        <v>113</v>
      </c>
    </row>
    <row r="63" spans="1:6" x14ac:dyDescent="0.3">
      <c r="A63" s="38" t="s">
        <v>80</v>
      </c>
      <c r="B63" s="7">
        <v>0</v>
      </c>
      <c r="C63" s="34">
        <v>2.5</v>
      </c>
      <c r="D63" s="8">
        <v>0</v>
      </c>
      <c r="E63" s="36">
        <f t="shared" si="1"/>
        <v>0</v>
      </c>
      <c r="F63" t="s">
        <v>113</v>
      </c>
    </row>
    <row r="64" spans="1:6" x14ac:dyDescent="0.3">
      <c r="A64" s="38" t="s">
        <v>81</v>
      </c>
      <c r="B64" s="7">
        <v>0</v>
      </c>
      <c r="C64" s="34">
        <v>1.6</v>
      </c>
      <c r="D64" s="8">
        <v>0</v>
      </c>
      <c r="E64" s="36">
        <f t="shared" si="1"/>
        <v>0</v>
      </c>
      <c r="F64" t="s">
        <v>114</v>
      </c>
    </row>
    <row r="65" spans="1:6" x14ac:dyDescent="0.3">
      <c r="A65" s="38" t="s">
        <v>83</v>
      </c>
      <c r="B65" s="7">
        <v>0</v>
      </c>
      <c r="C65" s="34">
        <v>1.3</v>
      </c>
      <c r="D65" s="8">
        <v>0</v>
      </c>
      <c r="E65" s="36">
        <f t="shared" si="1"/>
        <v>0</v>
      </c>
      <c r="F65" t="s">
        <v>114</v>
      </c>
    </row>
    <row r="66" spans="1:6" x14ac:dyDescent="0.3">
      <c r="A66" s="38" t="s">
        <v>84</v>
      </c>
      <c r="B66" s="7">
        <v>0</v>
      </c>
      <c r="C66" s="34">
        <v>2.1</v>
      </c>
      <c r="D66" s="8">
        <v>0</v>
      </c>
      <c r="E66" s="36">
        <f t="shared" ref="E66:E71" si="2">C66*B66/60</f>
        <v>0</v>
      </c>
      <c r="F66" t="s">
        <v>113</v>
      </c>
    </row>
    <row r="67" spans="1:6" x14ac:dyDescent="0.3">
      <c r="A67" s="38" t="s">
        <v>85</v>
      </c>
      <c r="B67" s="7">
        <v>0</v>
      </c>
      <c r="C67" s="34">
        <v>2.2000000000000002</v>
      </c>
      <c r="D67" s="8">
        <v>0</v>
      </c>
      <c r="E67" s="36">
        <f t="shared" si="2"/>
        <v>0</v>
      </c>
      <c r="F67" t="s">
        <v>113</v>
      </c>
    </row>
    <row r="68" spans="1:6" ht="31.2" x14ac:dyDescent="0.3">
      <c r="A68" s="38" t="s">
        <v>87</v>
      </c>
      <c r="B68" s="7">
        <v>0</v>
      </c>
      <c r="C68" s="34">
        <v>2.9</v>
      </c>
      <c r="D68" s="8">
        <v>0</v>
      </c>
      <c r="E68" s="36">
        <f t="shared" si="2"/>
        <v>0</v>
      </c>
      <c r="F68" t="s">
        <v>113</v>
      </c>
    </row>
    <row r="69" spans="1:6" x14ac:dyDescent="0.3">
      <c r="A69" s="38" t="s">
        <v>88</v>
      </c>
      <c r="B69" s="7">
        <v>0</v>
      </c>
      <c r="C69" s="34">
        <v>1.8</v>
      </c>
      <c r="D69" s="8">
        <v>0</v>
      </c>
      <c r="E69" s="36">
        <f t="shared" si="2"/>
        <v>0</v>
      </c>
      <c r="F69" t="s">
        <v>114</v>
      </c>
    </row>
    <row r="70" spans="1:6" x14ac:dyDescent="0.3">
      <c r="A70" s="38" t="s">
        <v>89</v>
      </c>
      <c r="B70" s="7">
        <v>0</v>
      </c>
      <c r="C70" s="34">
        <v>1.6</v>
      </c>
      <c r="D70" s="8">
        <v>0</v>
      </c>
      <c r="E70" s="36">
        <f t="shared" si="2"/>
        <v>0</v>
      </c>
      <c r="F70" t="s">
        <v>114</v>
      </c>
    </row>
    <row r="71" spans="1:6" x14ac:dyDescent="0.3">
      <c r="A71" s="38" t="s">
        <v>90</v>
      </c>
      <c r="B71" s="7">
        <v>0</v>
      </c>
      <c r="C71" s="34">
        <v>2.2999999999999998</v>
      </c>
      <c r="D71" s="8">
        <v>0</v>
      </c>
      <c r="E71" s="36">
        <f t="shared" si="2"/>
        <v>0</v>
      </c>
      <c r="F71" t="s">
        <v>113</v>
      </c>
    </row>
  </sheetData>
  <sortState xmlns:xlrd2="http://schemas.microsoft.com/office/spreadsheetml/2017/richdata2" ref="A2:E71">
    <sortCondition descending="1" ref="E71"/>
  </sortState>
  <conditionalFormatting sqref="A1:A1048576">
    <cfRule type="duplicateValues" dxfId="8" priority="2"/>
  </conditionalFormatting>
  <conditionalFormatting sqref="A2:A71">
    <cfRule type="duplicateValues" dxfId="7" priority="3"/>
  </conditionalFormatting>
  <conditionalFormatting sqref="A1:B1048576">
    <cfRule type="duplicateValues" dxfId="6" priority="7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Chart data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Немченко</cp:lastModifiedBy>
  <dcterms:modified xsi:type="dcterms:W3CDTF">2026-05-12T15:53:58Z</dcterms:modified>
</cp:coreProperties>
</file>