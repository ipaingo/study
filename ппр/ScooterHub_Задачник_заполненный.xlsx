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Диапазон" sheetId="1" state="hidden" r:id="rId1"/>
    <sheet xmlns:r="http://schemas.openxmlformats.org/officeDocument/2006/relationships" name="Sales PnL(архив)" sheetId="2" state="hidden" r:id="rId2"/>
    <sheet xmlns:r="http://schemas.openxmlformats.org/officeDocument/2006/relationships" name="Воронка новогодние" sheetId="3" state="hidden" r:id="rId3"/>
    <sheet xmlns:r="http://schemas.openxmlformats.org/officeDocument/2006/relationships" name="Marketing сравнительно" sheetId="4" state="hidden" r:id="rId4"/>
    <sheet xmlns:r="http://schemas.openxmlformats.org/officeDocument/2006/relationships" name="Воронка по когортам" sheetId="5" state="hidden" r:id="rId5"/>
    <sheet xmlns:r="http://schemas.openxmlformats.org/officeDocument/2006/relationships" name="Клиенты оплаты" sheetId="6" state="hidden" r:id="rId6"/>
    <sheet xmlns:r="http://schemas.openxmlformats.org/officeDocument/2006/relationships" name="Дашборд" sheetId="7" state="hidden" r:id="rId7"/>
    <sheet xmlns:r="http://schemas.openxmlformats.org/officeDocument/2006/relationships" name="Задачи" sheetId="8" state="visible" r:id="rId8"/>
    <sheet xmlns:r="http://schemas.openxmlformats.org/officeDocument/2006/relationships" name="Порядок работы" sheetId="9" state="visible" r:id="rId9"/>
    <sheet xmlns:r="http://schemas.openxmlformats.org/officeDocument/2006/relationships" name="Вычисления" sheetId="10" state="hidden" r:id="rId10"/>
    <sheet xmlns:r="http://schemas.openxmlformats.org/officeDocument/2006/relationships" name="Синки_и_зависимости" sheetId="11" state="visible" r:id="rId11"/>
    <sheet xmlns:r="http://schemas.openxmlformats.org/officeDocument/2006/relationships" name="Чекпоинты" sheetId="12" state="visible" r:id="rId12"/>
    <sheet xmlns:r="http://schemas.openxmlformats.org/officeDocument/2006/relationships" name="Приоритеты" sheetId="13" state="visible" r:id="rId13"/>
  </sheets>
  <definedNames>
    <definedName name="_xlnm._FilterDatabase" localSheetId="5" hidden="1">'Клиенты оплаты'!$A$1:$H$11</definedName>
    <definedName name="_xlnm._FilterDatabase" localSheetId="7" hidden="1">'Задачи'!$A$1:$J$39</definedName>
    <definedName name="_xlnm._FilterDatabase" localSheetId="10" hidden="1">'Синки_и_зависимости'!$A$1:$E$13</definedName>
    <definedName name="_xlnm._FilterDatabase" localSheetId="11" hidden="1">'Чекпоинты'!$A$1:$D$5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dd.mm.yyyy"/>
    <numFmt numFmtId="165" formatCode="mm-yyyy"/>
    <numFmt numFmtId="166" formatCode="d.m"/>
    <numFmt numFmtId="167" formatCode="0.0%"/>
    <numFmt numFmtId="168" formatCode="[$р.-419]#,##0.00"/>
    <numFmt numFmtId="169" formatCode="#,##0[$ ₽]"/>
    <numFmt numFmtId="170" formatCode="[$р.-419]#,##0"/>
    <numFmt numFmtId="171" formatCode="#,##0.00[$ ₽]"/>
    <numFmt numFmtId="172" formatCode="dd.mm"/>
  </numFmts>
  <fonts count="29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</font>
    <font>
      <name val="Arial"/>
      <color theme="1"/>
    </font>
    <font>
      <name val="Arial"/>
      <color theme="1"/>
      <sz val="8"/>
    </font>
    <font>
      <name val="Arial"/>
      <i val="1"/>
      <color theme="1"/>
    </font>
    <font>
      <name val="Arial"/>
      <color theme="1"/>
      <sz val="10"/>
    </font>
    <font>
      <name val="Arial"/>
      <b val="1"/>
      <color theme="1"/>
      <sz val="11"/>
    </font>
    <font>
      <name val="Arial"/>
      <b val="1"/>
      <color theme="1"/>
      <scheme val="minor"/>
    </font>
    <font>
      <name val="Arial"/>
      <b val="1"/>
      <color rgb="FF0000FF"/>
      <u val="single"/>
    </font>
    <font>
      <name val="Arial"/>
      <color rgb="FF000000"/>
    </font>
    <font/>
    <font>
      <name val="Arial"/>
      <color rgb="FF1155CC"/>
      <u val="single"/>
    </font>
    <font>
      <color rgb="FF0000FF"/>
      <u val="single"/>
    </font>
    <font>
      <name val="Arial"/>
      <color rgb="FF1155CC"/>
      <u val="single"/>
    </font>
    <font>
      <name val="Arial"/>
      <color theme="0"/>
      <scheme val="minor"/>
    </font>
    <font>
      <name val="Arial"/>
      <b val="1"/>
      <color theme="0"/>
      <sz val="12"/>
      <scheme val="minor"/>
    </font>
    <font>
      <name val="Arial"/>
      <b val="1"/>
      <color rgb="FFFFFFFF"/>
      <sz val="12"/>
      <scheme val="minor"/>
    </font>
    <font>
      <color rgb="FF0000FF"/>
      <sz val="13"/>
      <u val="single"/>
    </font>
    <font>
      <name val="Arial"/>
      <color theme="1"/>
      <sz val="12"/>
      <scheme val="minor"/>
    </font>
    <font>
      <name val="Arial"/>
      <b val="1"/>
      <color rgb="FF4A86E8"/>
      <sz val="13"/>
      <scheme val="minor"/>
    </font>
    <font>
      <name val="Arial"/>
      <color rgb="FF000000"/>
      <sz val="12"/>
      <scheme val="minor"/>
    </font>
    <font>
      <name val="Arial"/>
      <b val="1"/>
      <color rgb="FF000000"/>
      <sz val="11"/>
    </font>
    <font>
      <name val="Roboto"/>
      <color rgb="FF000000"/>
      <sz val="12"/>
    </font>
    <font>
      <name val="Roboto"/>
      <b val="1"/>
      <color rgb="FF000000"/>
      <sz val="12"/>
    </font>
    <font>
      <name val="&quot;Google Sans Mono&quot;"/>
      <color rgb="FFA61D4C"/>
      <sz val="9"/>
    </font>
    <font>
      <name val="&quot;Google Sans Mono&quot;"/>
      <color rgb="FF000000"/>
      <sz val="9"/>
    </font>
    <font>
      <b val="1"/>
    </font>
    <font>
      <b val="1"/>
      <color rgb="00FFFFFF"/>
    </font>
  </fonts>
  <fills count="22">
    <fill>
      <patternFill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1155CC"/>
        <bgColor rgb="FF1155CC"/>
      </patternFill>
    </fill>
    <fill>
      <patternFill patternType="solid">
        <fgColor rgb="FF674EA7"/>
        <bgColor rgb="FF674EA7"/>
      </patternFill>
    </fill>
    <fill>
      <patternFill patternType="solid">
        <fgColor rgb="FFD9D2E9"/>
        <bgColor rgb="FFD9D2E9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AD3"/>
      </patternFill>
    </fill>
    <fill>
      <patternFill patternType="solid">
        <fgColor rgb="001F4E78"/>
      </patternFill>
    </fill>
  </fills>
  <borders count="16">
    <border/>
    <border>
      <bottom style="thin">
        <color rgb="FF000000"/>
      </bottom>
    </border>
    <border>
      <bottom style="thin">
        <color rgb="FF999999"/>
      </bottom>
    </border>
    <border>
      <right style="double">
        <color rgb="FF000000"/>
      </right>
    </border>
    <border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bottom style="thin">
        <color rgb="00D9D9D9"/>
      </bottom>
    </border>
  </borders>
  <cellStyleXfs count="1">
    <xf numFmtId="0" fontId="0" fillId="0" borderId="0"/>
  </cellStyleXfs>
  <cellXfs count="22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165" fontId="2" fillId="2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165" fontId="2" fillId="2" borderId="0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bottom"/>
    </xf>
    <xf numFmtId="0" fontId="3" fillId="0" borderId="0" applyAlignment="1" pivotButton="0" quotePrefix="0" xfId="0">
      <alignment vertical="bottom"/>
    </xf>
    <xf numFmtId="166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9" fontId="4" fillId="0" borderId="0" applyAlignment="1" pivotButton="0" quotePrefix="0" xfId="0">
      <alignment horizontal="right" vertical="bottom"/>
    </xf>
    <xf numFmtId="3" fontId="3" fillId="2" borderId="0" applyAlignment="1" pivotButton="0" quotePrefix="0" xfId="0">
      <alignment vertical="bottom"/>
    </xf>
    <xf numFmtId="3" fontId="3" fillId="3" borderId="0" applyAlignment="1" pivotButton="0" quotePrefix="0" xfId="0">
      <alignment horizontal="right" vertical="bottom"/>
    </xf>
    <xf numFmtId="4" fontId="3" fillId="3" borderId="0" applyAlignment="1" pivotButton="0" quotePrefix="0" xfId="0">
      <alignment horizontal="right" vertical="bottom"/>
    </xf>
    <xf numFmtId="10" fontId="3" fillId="3" borderId="0" applyAlignment="1" pivotButton="0" quotePrefix="0" xfId="0">
      <alignment vertical="bottom"/>
    </xf>
    <xf numFmtId="3" fontId="3" fillId="4" borderId="0" applyAlignment="1" pivotButton="0" quotePrefix="0" xfId="0">
      <alignment vertical="bottom"/>
    </xf>
    <xf numFmtId="3" fontId="3" fillId="4" borderId="0" applyAlignment="1" pivotButton="0" quotePrefix="0" xfId="0">
      <alignment horizontal="right" vertical="bottom"/>
    </xf>
    <xf numFmtId="3" fontId="3" fillId="2" borderId="0" applyAlignment="1" pivotButton="0" quotePrefix="0" xfId="0">
      <alignment horizontal="right" vertical="bottom"/>
    </xf>
    <xf numFmtId="4" fontId="3" fillId="4" borderId="0" applyAlignment="1" pivotButton="0" quotePrefix="0" xfId="0">
      <alignment horizontal="right" vertical="bottom"/>
    </xf>
    <xf numFmtId="3" fontId="3" fillId="2" borderId="0" applyAlignment="1" pivotButton="0" quotePrefix="0" xfId="0">
      <alignment horizontal="right" vertical="bottom"/>
    </xf>
    <xf numFmtId="0" fontId="5" fillId="5" borderId="2" applyAlignment="1" pivotButton="0" quotePrefix="0" xfId="0">
      <alignment horizontal="right" vertical="bottom"/>
    </xf>
    <xf numFmtId="10" fontId="3" fillId="5" borderId="2" applyAlignment="1" pivotButton="0" quotePrefix="0" xfId="0">
      <alignment horizontal="right" vertical="bottom"/>
    </xf>
    <xf numFmtId="9" fontId="3" fillId="5" borderId="2" applyAlignment="1" pivotButton="0" quotePrefix="0" xfId="0">
      <alignment horizontal="right" vertical="bottom"/>
    </xf>
    <xf numFmtId="9" fontId="4" fillId="5" borderId="2" applyAlignment="1" pivotButton="0" quotePrefix="0" xfId="0">
      <alignment horizontal="right" vertical="bottom"/>
    </xf>
    <xf numFmtId="9" fontId="3" fillId="5" borderId="2" applyAlignment="1" pivotButton="0" quotePrefix="0" xfId="0">
      <alignment horizontal="right" vertical="bottom"/>
    </xf>
    <xf numFmtId="167" fontId="3" fillId="5" borderId="2" applyAlignment="1" pivotButton="0" quotePrefix="0" xfId="0">
      <alignment horizontal="right" vertical="bottom"/>
    </xf>
    <xf numFmtId="10" fontId="3" fillId="5" borderId="2" applyAlignment="1" pivotButton="0" quotePrefix="0" xfId="0">
      <alignment vertical="bottom"/>
    </xf>
    <xf numFmtId="0" fontId="1" fillId="5" borderId="2" pivotButton="0" quotePrefix="0" xfId="0"/>
    <xf numFmtId="3" fontId="3" fillId="4" borderId="0" applyAlignment="1" pivotButton="0" quotePrefix="0" xfId="0">
      <alignment horizontal="right" vertical="bottom"/>
    </xf>
    <xf numFmtId="1" fontId="3" fillId="2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10" fontId="3" fillId="2" borderId="0" applyAlignment="1" pivotButton="0" quotePrefix="0" xfId="0">
      <alignment horizontal="right" vertical="bottom"/>
    </xf>
    <xf numFmtId="9" fontId="3" fillId="2" borderId="0" applyAlignment="1" pivotButton="0" quotePrefix="0" xfId="0">
      <alignment horizontal="right" vertical="bottom"/>
    </xf>
    <xf numFmtId="9" fontId="3" fillId="2" borderId="0" applyAlignment="1" pivotButton="0" quotePrefix="0" xfId="0">
      <alignment horizontal="right" vertical="bottom"/>
    </xf>
    <xf numFmtId="167" fontId="3" fillId="2" borderId="0" applyAlignment="1" pivotButton="0" quotePrefix="0" xfId="0">
      <alignment horizontal="right" vertical="bottom"/>
    </xf>
    <xf numFmtId="4" fontId="3" fillId="2" borderId="0" applyAlignment="1" pivotButton="0" quotePrefix="0" xfId="0">
      <alignment horizontal="right" vertical="bottom"/>
    </xf>
    <xf numFmtId="167" fontId="3" fillId="6" borderId="0" applyAlignment="1" pivotButton="0" quotePrefix="0" xfId="0">
      <alignment horizontal="right" vertical="bottom"/>
    </xf>
    <xf numFmtId="0" fontId="3" fillId="7" borderId="0" applyAlignment="1" pivotButton="0" quotePrefix="0" xfId="0">
      <alignment horizontal="right" vertical="bottom"/>
    </xf>
    <xf numFmtId="10" fontId="3" fillId="2" borderId="0" applyAlignment="1" pivotButton="0" quotePrefix="0" xfId="0">
      <alignment horizontal="center" vertical="bottom"/>
    </xf>
    <xf numFmtId="10" fontId="3" fillId="2" borderId="0" applyAlignment="1" pivotButton="0" quotePrefix="0" xfId="0">
      <alignment horizontal="right" vertical="bottom"/>
    </xf>
    <xf numFmtId="168" fontId="3" fillId="2" borderId="0" applyAlignment="1" pivotButton="0" quotePrefix="0" xfId="0">
      <alignment horizontal="right" vertical="bottom"/>
    </xf>
    <xf numFmtId="9" fontId="1" fillId="8" borderId="0" pivotButton="0" quotePrefix="0" xfId="0"/>
    <xf numFmtId="9" fontId="1" fillId="0" borderId="0" pivotButton="0" quotePrefix="0" xfId="0"/>
    <xf numFmtId="10" fontId="1" fillId="0" borderId="0" pivotButton="0" quotePrefix="0" xfId="0"/>
    <xf numFmtId="3" fontId="6" fillId="4" borderId="0" applyAlignment="1" pivotButton="0" quotePrefix="0" xfId="0">
      <alignment horizontal="right" vertical="bottom"/>
    </xf>
    <xf numFmtId="3" fontId="2" fillId="0" borderId="0" applyAlignment="1" pivotButton="0" quotePrefix="0" xfId="0">
      <alignment vertical="bottom"/>
    </xf>
    <xf numFmtId="169" fontId="3" fillId="2" borderId="0" applyAlignment="1" pivotButton="0" quotePrefix="0" xfId="0">
      <alignment horizontal="right" vertical="bottom"/>
    </xf>
    <xf numFmtId="3" fontId="3" fillId="9" borderId="0" applyAlignment="1" pivotButton="0" quotePrefix="0" xfId="0">
      <alignment vertical="bottom"/>
    </xf>
    <xf numFmtId="168" fontId="3" fillId="9" borderId="0" applyAlignment="1" pivotButton="0" quotePrefix="0" xfId="0">
      <alignment horizontal="right" vertical="bottom"/>
    </xf>
    <xf numFmtId="169" fontId="3" fillId="9" borderId="0" applyAlignment="1" pivotButton="0" quotePrefix="0" xfId="0">
      <alignment horizontal="right" vertical="bottom"/>
    </xf>
    <xf numFmtId="169" fontId="3" fillId="9" borderId="0" applyAlignment="1" pivotButton="0" quotePrefix="0" xfId="0">
      <alignment horizontal="right" vertical="bottom"/>
    </xf>
    <xf numFmtId="169" fontId="3" fillId="2" borderId="0" applyAlignment="1" pivotButton="0" quotePrefix="0" xfId="0">
      <alignment horizontal="right" vertical="bottom"/>
    </xf>
    <xf numFmtId="170" fontId="7" fillId="0" borderId="0" applyAlignment="1" pivotButton="0" quotePrefix="0" xfId="0">
      <alignment horizontal="right"/>
    </xf>
    <xf numFmtId="3" fontId="3" fillId="0" borderId="0" applyAlignment="1" pivotButton="0" quotePrefix="0" xfId="0">
      <alignment vertical="bottom"/>
    </xf>
    <xf numFmtId="169" fontId="3" fillId="3" borderId="0" applyAlignment="1" pivotButton="0" quotePrefix="0" xfId="0">
      <alignment horizontal="right" vertical="bottom"/>
    </xf>
    <xf numFmtId="169" fontId="2" fillId="2" borderId="0" applyAlignment="1" pivotButton="0" quotePrefix="0" xfId="0">
      <alignment horizontal="right" vertical="bottom"/>
    </xf>
    <xf numFmtId="0" fontId="1" fillId="0" borderId="0" applyAlignment="1" pivotButton="0" quotePrefix="0" xfId="0">
      <alignment wrapText="1"/>
    </xf>
    <xf numFmtId="3" fontId="1" fillId="0" borderId="0" pivotButton="0" quotePrefix="0" xfId="0"/>
    <xf numFmtId="3" fontId="1" fillId="0" borderId="0" pivotButton="0" quotePrefix="0" xfId="0"/>
    <xf numFmtId="3" fontId="3" fillId="4" borderId="0" applyAlignment="1" pivotButton="0" quotePrefix="0" xfId="0">
      <alignment horizontal="right" vertical="bottom"/>
    </xf>
    <xf numFmtId="9" fontId="1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bottom"/>
    </xf>
    <xf numFmtId="0" fontId="8" fillId="0" borderId="0" pivotButton="0" quotePrefix="0" xfId="0"/>
    <xf numFmtId="0" fontId="3" fillId="2" borderId="1" applyAlignment="1" pivotButton="0" quotePrefix="0" xfId="0">
      <alignment horizontal="center" vertical="bottom"/>
    </xf>
    <xf numFmtId="0" fontId="1" fillId="2" borderId="0" pivotButton="0" quotePrefix="0" xfId="0"/>
    <xf numFmtId="3" fontId="3" fillId="4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167" fontId="3" fillId="2" borderId="0" applyAlignment="1" pivotButton="0" quotePrefix="0" xfId="0">
      <alignment horizontal="right" vertical="bottom"/>
    </xf>
    <xf numFmtId="1" fontId="3" fillId="2" borderId="0" applyAlignment="1" pivotButton="0" quotePrefix="0" xfId="0">
      <alignment horizontal="right" vertical="bottom"/>
    </xf>
    <xf numFmtId="3" fontId="2" fillId="4" borderId="0" applyAlignment="1" pivotButton="0" quotePrefix="0" xfId="0">
      <alignment vertical="bottom"/>
    </xf>
    <xf numFmtId="10" fontId="3" fillId="4" borderId="0" applyAlignment="1" pivotButton="0" quotePrefix="0" xfId="0">
      <alignment horizontal="right" vertical="bottom"/>
    </xf>
    <xf numFmtId="3" fontId="2" fillId="10" borderId="0" applyAlignment="1" pivotButton="0" quotePrefix="0" xfId="0">
      <alignment vertical="bottom"/>
    </xf>
    <xf numFmtId="169" fontId="1" fillId="0" borderId="0" pivotButton="0" quotePrefix="0" xfId="0"/>
    <xf numFmtId="3" fontId="3" fillId="0" borderId="0" applyAlignment="1" pivotButton="0" quotePrefix="0" xfId="0">
      <alignment vertical="bottom"/>
    </xf>
    <xf numFmtId="3" fontId="3" fillId="10" borderId="0" applyAlignment="1" pivotButton="0" quotePrefix="0" xfId="0">
      <alignment vertical="bottom"/>
    </xf>
    <xf numFmtId="0" fontId="1" fillId="2" borderId="0" pivotButton="0" quotePrefix="0" xfId="0"/>
    <xf numFmtId="170" fontId="1" fillId="0" borderId="0" pivotButton="0" quotePrefix="0" xfId="0"/>
    <xf numFmtId="0" fontId="2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vertical="bottom"/>
    </xf>
    <xf numFmtId="0" fontId="1" fillId="0" borderId="0" pivotButton="0" quotePrefix="0" xfId="0"/>
    <xf numFmtId="3" fontId="3" fillId="4" borderId="0" applyAlignment="1" pivotButton="0" quotePrefix="0" xfId="0">
      <alignment vertical="bottom"/>
    </xf>
    <xf numFmtId="0" fontId="3" fillId="4" borderId="0" applyAlignment="1" pivotButton="0" quotePrefix="0" xfId="0">
      <alignment vertical="bottom"/>
    </xf>
    <xf numFmtId="3" fontId="1" fillId="4" borderId="0" pivotButton="0" quotePrefix="0" xfId="0"/>
    <xf numFmtId="3" fontId="1" fillId="4" borderId="0" pivotButton="0" quotePrefix="0" xfId="0"/>
    <xf numFmtId="10" fontId="3" fillId="0" borderId="0" applyAlignment="1" pivotButton="0" quotePrefix="0" xfId="0">
      <alignment vertical="bottom"/>
    </xf>
    <xf numFmtId="167" fontId="3" fillId="0" borderId="0" applyAlignment="1" pivotButton="0" quotePrefix="0" xfId="0">
      <alignment vertical="bottom"/>
    </xf>
    <xf numFmtId="167" fontId="1" fillId="0" borderId="0" pivotButton="0" quotePrefix="0" xfId="0"/>
    <xf numFmtId="9" fontId="3" fillId="0" borderId="0" applyAlignment="1" pivotButton="0" quotePrefix="0" xfId="0">
      <alignment vertical="bottom"/>
    </xf>
    <xf numFmtId="0" fontId="1" fillId="4" borderId="0" pivotButton="0" quotePrefix="0" xfId="0"/>
    <xf numFmtId="0" fontId="1" fillId="4" borderId="0" pivotButton="0" quotePrefix="0" xfId="0"/>
    <xf numFmtId="9" fontId="3" fillId="3" borderId="0" applyAlignment="1" pivotButton="0" quotePrefix="0" xfId="0">
      <alignment horizontal="right" vertical="bottom"/>
    </xf>
    <xf numFmtId="3" fontId="10" fillId="4" borderId="0" applyAlignment="1" pivotButton="0" quotePrefix="0" xfId="0">
      <alignment horizontal="right" vertical="bottom"/>
    </xf>
    <xf numFmtId="9" fontId="3" fillId="0" borderId="0" applyAlignment="1" pivotButton="0" quotePrefix="0" xfId="0">
      <alignment vertical="bottom"/>
    </xf>
    <xf numFmtId="10" fontId="3" fillId="0" borderId="0" applyAlignment="1" pivotButton="0" quotePrefix="0" xfId="0">
      <alignment vertical="bottom"/>
    </xf>
    <xf numFmtId="170" fontId="3" fillId="10" borderId="0" applyAlignment="1" pivotButton="0" quotePrefix="0" xfId="0">
      <alignment vertical="bottom"/>
    </xf>
    <xf numFmtId="0" fontId="3" fillId="10" borderId="0" applyAlignment="1" pivotButton="0" quotePrefix="0" xfId="0">
      <alignment vertical="bottom"/>
    </xf>
    <xf numFmtId="170" fontId="10" fillId="10" borderId="0" applyAlignment="1" pivotButton="0" quotePrefix="0" xfId="0">
      <alignment horizontal="right"/>
    </xf>
    <xf numFmtId="170" fontId="1" fillId="10" borderId="0" pivotButton="0" quotePrefix="0" xfId="0"/>
    <xf numFmtId="170" fontId="1" fillId="10" borderId="0" pivotButton="0" quotePrefix="0" xfId="0"/>
    <xf numFmtId="169" fontId="3" fillId="0" borderId="0" applyAlignment="1" pivotButton="0" quotePrefix="0" xfId="0">
      <alignment vertical="bottom"/>
    </xf>
    <xf numFmtId="170" fontId="3" fillId="0" borderId="0" applyAlignment="1" pivotButton="0" quotePrefix="0" xfId="0">
      <alignment vertical="bottom"/>
    </xf>
    <xf numFmtId="169" fontId="3" fillId="10" borderId="0" applyAlignment="1" pivotButton="0" quotePrefix="0" xfId="0">
      <alignment vertical="bottom"/>
    </xf>
    <xf numFmtId="170" fontId="3" fillId="10" borderId="0" applyAlignment="1" pivotButton="0" quotePrefix="0" xfId="0">
      <alignment vertical="bottom"/>
    </xf>
    <xf numFmtId="169" fontId="3" fillId="10" borderId="0" applyAlignment="1" pivotButton="0" quotePrefix="0" xfId="0">
      <alignment vertical="bottom"/>
    </xf>
    <xf numFmtId="169" fontId="3" fillId="10" borderId="0" applyAlignment="1" pivotButton="0" quotePrefix="0" xfId="0">
      <alignment horizontal="right" vertical="bottom"/>
    </xf>
    <xf numFmtId="169" fontId="3" fillId="0" borderId="0" applyAlignment="1" pivotButton="0" quotePrefix="0" xfId="0">
      <alignment vertical="bottom"/>
    </xf>
    <xf numFmtId="170" fontId="3" fillId="0" borderId="0" applyAlignment="1" pivotButton="0" quotePrefix="0" xfId="0">
      <alignment vertical="bottom"/>
    </xf>
    <xf numFmtId="0" fontId="3" fillId="0" borderId="3" applyAlignment="1" pivotButton="0" quotePrefix="0" xfId="0">
      <alignment vertical="bottom"/>
    </xf>
    <xf numFmtId="166" fontId="4" fillId="0" borderId="4" applyAlignment="1" pivotButton="0" quotePrefix="0" xfId="0">
      <alignment horizontal="center" vertical="bottom"/>
    </xf>
    <xf numFmtId="0" fontId="11" fillId="0" borderId="5" pivotButton="0" quotePrefix="0" xfId="0"/>
    <xf numFmtId="0" fontId="4" fillId="0" borderId="4" applyAlignment="1" pivotButton="0" quotePrefix="0" xfId="0">
      <alignment horizontal="center" vertical="bottom"/>
    </xf>
    <xf numFmtId="0" fontId="3" fillId="0" borderId="6" applyAlignment="1" pivotButton="0" quotePrefix="0" xfId="0">
      <alignment vertical="bottom"/>
    </xf>
    <xf numFmtId="0" fontId="4" fillId="0" borderId="7" applyAlignment="1" pivotButton="0" quotePrefix="0" xfId="0">
      <alignment horizontal="center" vertical="bottom"/>
    </xf>
    <xf numFmtId="0" fontId="4" fillId="0" borderId="6" applyAlignment="1" pivotButton="0" quotePrefix="0" xfId="0">
      <alignment horizontal="center" vertical="bottom"/>
    </xf>
    <xf numFmtId="0" fontId="3" fillId="0" borderId="6" applyAlignment="1" pivotButton="0" quotePrefix="0" xfId="0">
      <alignment horizontal="right" vertical="bottom"/>
    </xf>
    <xf numFmtId="169" fontId="3" fillId="3" borderId="7" applyAlignment="1" pivotButton="0" quotePrefix="0" xfId="0">
      <alignment vertical="bottom"/>
    </xf>
    <xf numFmtId="169" fontId="3" fillId="3" borderId="6" applyAlignment="1" pivotButton="0" quotePrefix="0" xfId="0">
      <alignment vertical="bottom"/>
    </xf>
    <xf numFmtId="0" fontId="3" fillId="0" borderId="3" applyAlignment="1" pivotButton="0" quotePrefix="0" xfId="0">
      <alignment horizontal="right" vertical="bottom"/>
    </xf>
    <xf numFmtId="1" fontId="3" fillId="3" borderId="8" applyAlignment="1" pivotButton="0" quotePrefix="0" xfId="0">
      <alignment vertical="bottom"/>
    </xf>
    <xf numFmtId="1" fontId="3" fillId="3" borderId="3" applyAlignment="1" pivotButton="0" quotePrefix="0" xfId="0">
      <alignment vertical="bottom"/>
    </xf>
    <xf numFmtId="0" fontId="3" fillId="8" borderId="6" applyAlignment="1" pivotButton="0" quotePrefix="0" xfId="0">
      <alignment horizontal="right" vertical="bottom"/>
    </xf>
    <xf numFmtId="171" fontId="3" fillId="8" borderId="7" applyAlignment="1" pivotButton="0" quotePrefix="0" xfId="0">
      <alignment horizontal="center" vertical="bottom"/>
    </xf>
    <xf numFmtId="171" fontId="3" fillId="8" borderId="6" applyAlignment="1" pivotButton="0" quotePrefix="0" xfId="0">
      <alignment horizontal="center" vertical="bottom"/>
    </xf>
    <xf numFmtId="1" fontId="3" fillId="0" borderId="8" applyAlignment="1" pivotButton="0" quotePrefix="0" xfId="0">
      <alignment vertical="bottom"/>
    </xf>
    <xf numFmtId="1" fontId="3" fillId="0" borderId="3" applyAlignment="1" pivotButton="0" quotePrefix="0" xfId="0">
      <alignment vertical="bottom"/>
    </xf>
    <xf numFmtId="0" fontId="3" fillId="8" borderId="3" applyAlignment="1" pivotButton="0" quotePrefix="0" xfId="0">
      <alignment horizontal="right" vertical="bottom"/>
    </xf>
    <xf numFmtId="169" fontId="3" fillId="8" borderId="8" applyAlignment="1" pivotButton="0" quotePrefix="0" xfId="0">
      <alignment horizontal="center" vertical="bottom"/>
    </xf>
    <xf numFmtId="169" fontId="3" fillId="8" borderId="3" applyAlignment="1" pivotButton="0" quotePrefix="0" xfId="0">
      <alignment horizontal="center" vertical="bottom"/>
    </xf>
    <xf numFmtId="9" fontId="3" fillId="8" borderId="7" applyAlignment="1" pivotButton="0" quotePrefix="0" xfId="0">
      <alignment horizontal="center" vertical="bottom"/>
    </xf>
    <xf numFmtId="9" fontId="3" fillId="8" borderId="6" applyAlignment="1" pivotButton="0" quotePrefix="0" xfId="0">
      <alignment horizontal="center" vertical="bottom"/>
    </xf>
    <xf numFmtId="3" fontId="3" fillId="0" borderId="8" applyAlignment="1" pivotButton="0" quotePrefix="0" xfId="0">
      <alignment vertical="bottom"/>
    </xf>
    <xf numFmtId="3" fontId="3" fillId="0" borderId="3" applyAlignment="1" pivotButton="0" quotePrefix="0" xfId="0">
      <alignment vertical="bottom"/>
    </xf>
    <xf numFmtId="0" fontId="3" fillId="8" borderId="8" applyAlignment="1" pivotButton="0" quotePrefix="0" xfId="0">
      <alignment horizontal="center" vertical="bottom"/>
    </xf>
    <xf numFmtId="0" fontId="3" fillId="8" borderId="3" applyAlignment="1" pivotButton="0" quotePrefix="0" xfId="0">
      <alignment horizontal="center" vertical="bottom"/>
    </xf>
    <xf numFmtId="2" fontId="3" fillId="0" borderId="8" applyAlignment="1" pivotButton="0" quotePrefix="0" xfId="0">
      <alignment vertical="bottom"/>
    </xf>
    <xf numFmtId="2" fontId="3" fillId="0" borderId="3" applyAlignment="1" pivotButton="0" quotePrefix="0" xfId="0">
      <alignment vertical="bottom"/>
    </xf>
    <xf numFmtId="9" fontId="3" fillId="8" borderId="8" applyAlignment="1" pivotButton="0" quotePrefix="0" xfId="0">
      <alignment horizontal="center" vertical="bottom"/>
    </xf>
    <xf numFmtId="9" fontId="3" fillId="8" borderId="3" applyAlignment="1" pivotButton="0" quotePrefix="0" xfId="0">
      <alignment horizontal="center" vertical="bottom"/>
    </xf>
    <xf numFmtId="169" fontId="3" fillId="8" borderId="7" applyAlignment="1" pivotButton="0" quotePrefix="0" xfId="0">
      <alignment horizontal="center" vertical="bottom"/>
    </xf>
    <xf numFmtId="169" fontId="3" fillId="8" borderId="6" applyAlignment="1" pivotButton="0" quotePrefix="0" xfId="0">
      <alignment horizontal="center" vertical="bottom"/>
    </xf>
    <xf numFmtId="0" fontId="3" fillId="3" borderId="8" applyAlignment="1" pivotButton="0" quotePrefix="0" xfId="0">
      <alignment vertical="bottom"/>
    </xf>
    <xf numFmtId="0" fontId="3" fillId="3" borderId="3" applyAlignment="1" pivotButton="0" quotePrefix="0" xfId="0">
      <alignment vertical="bottom"/>
    </xf>
    <xf numFmtId="10" fontId="3" fillId="8" borderId="7" applyAlignment="1" pivotButton="0" quotePrefix="0" xfId="0">
      <alignment horizontal="center" vertical="bottom"/>
    </xf>
    <xf numFmtId="10" fontId="3" fillId="8" borderId="6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172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172" fontId="1" fillId="0" borderId="0" pivotButton="0" quotePrefix="0" xfId="0"/>
    <xf numFmtId="0" fontId="13" fillId="0" borderId="0" pivotButton="0" quotePrefix="0" xfId="0"/>
    <xf numFmtId="0" fontId="3" fillId="0" borderId="0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1" fillId="0" borderId="0" pivotButton="0" quotePrefix="0" xfId="0"/>
    <xf numFmtId="0" fontId="15" fillId="11" borderId="0" pivotButton="0" quotePrefix="0" xfId="0"/>
    <xf numFmtId="0" fontId="15" fillId="12" borderId="0" pivotButton="0" quotePrefix="0" xfId="0"/>
    <xf numFmtId="0" fontId="16" fillId="11" borderId="0" applyAlignment="1" pivotButton="0" quotePrefix="0" xfId="0">
      <alignment horizontal="left"/>
    </xf>
    <xf numFmtId="0" fontId="17" fillId="11" borderId="0" applyAlignment="1" pivotButton="0" quotePrefix="0" xfId="0">
      <alignment horizontal="left"/>
    </xf>
    <xf numFmtId="0" fontId="18" fillId="3" borderId="0" pivotButton="0" quotePrefix="0" xfId="0"/>
    <xf numFmtId="0" fontId="15" fillId="3" borderId="0" pivotButton="0" quotePrefix="0" xfId="0"/>
    <xf numFmtId="0" fontId="17" fillId="12" borderId="0" pivotButton="0" quotePrefix="0" xfId="0"/>
    <xf numFmtId="0" fontId="1" fillId="7" borderId="0" pivotButton="0" quotePrefix="0" xfId="0"/>
    <xf numFmtId="0" fontId="1" fillId="13" borderId="0" pivotButton="0" quotePrefix="0" xfId="0"/>
    <xf numFmtId="0" fontId="19" fillId="3" borderId="0" applyAlignment="1" pivotButton="0" quotePrefix="0" xfId="0">
      <alignment horizontal="right"/>
    </xf>
    <xf numFmtId="0" fontId="19" fillId="3" borderId="0" applyAlignment="1" pivotButton="0" quotePrefix="0" xfId="0">
      <alignment horizontal="center"/>
    </xf>
    <xf numFmtId="0" fontId="19" fillId="3" borderId="0" applyAlignment="1" pivotButton="0" quotePrefix="0" xfId="0">
      <alignment horizontal="left"/>
    </xf>
    <xf numFmtId="0" fontId="19" fillId="3" borderId="0" applyAlignment="1" pivotButton="0" quotePrefix="0" xfId="0">
      <alignment horizontal="left"/>
    </xf>
    <xf numFmtId="3" fontId="19" fillId="3" borderId="0" applyAlignment="1" pivotButton="0" quotePrefix="0" xfId="0">
      <alignment horizontal="right"/>
    </xf>
    <xf numFmtId="0" fontId="20" fillId="3" borderId="0" applyAlignment="1" pivotButton="0" quotePrefix="0" xfId="0">
      <alignment horizontal="center"/>
    </xf>
    <xf numFmtId="3" fontId="21" fillId="3" borderId="0" applyAlignment="1" pivotButton="0" quotePrefix="0" xfId="0">
      <alignment horizontal="right"/>
    </xf>
    <xf numFmtId="9" fontId="19" fillId="6" borderId="0" applyAlignment="1" pivotButton="0" quotePrefix="0" xfId="0">
      <alignment horizontal="left"/>
    </xf>
    <xf numFmtId="3" fontId="19" fillId="3" borderId="0" applyAlignment="1" pivotButton="0" quotePrefix="0" xfId="0">
      <alignment horizontal="left"/>
    </xf>
    <xf numFmtId="9" fontId="19" fillId="10" borderId="0" applyAlignment="1" pivotButton="0" quotePrefix="0" xfId="0">
      <alignment horizontal="left"/>
    </xf>
    <xf numFmtId="0" fontId="1" fillId="7" borderId="0" pivotButton="0" quotePrefix="0" xfId="0"/>
    <xf numFmtId="0" fontId="1" fillId="7" borderId="0" applyAlignment="1" pivotButton="0" quotePrefix="0" xfId="0">
      <alignment horizontal="right"/>
    </xf>
    <xf numFmtId="0" fontId="19" fillId="3" borderId="0" applyAlignment="1" pivotButton="0" quotePrefix="0" xfId="0">
      <alignment horizontal="left" wrapText="1"/>
    </xf>
    <xf numFmtId="9" fontId="19" fillId="3" borderId="0" applyAlignment="1" pivotButton="0" quotePrefix="0" xfId="0">
      <alignment horizontal="left"/>
    </xf>
    <xf numFmtId="9" fontId="19" fillId="3" borderId="0" applyAlignment="1" pivotButton="0" quotePrefix="0" xfId="0">
      <alignment horizontal="left"/>
    </xf>
    <xf numFmtId="167" fontId="19" fillId="10" borderId="0" applyAlignment="1" pivotButton="0" quotePrefix="0" xfId="0">
      <alignment horizontal="left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2" fillId="0" borderId="9" pivotButton="0" quotePrefix="0" xfId="0"/>
    <xf numFmtId="0" fontId="22" fillId="0" borderId="10" pivotButton="0" quotePrefix="0" xfId="0"/>
    <xf numFmtId="0" fontId="23" fillId="3" borderId="10" pivotButton="0" quotePrefix="0" xfId="0"/>
    <xf numFmtId="0" fontId="23" fillId="3" borderId="10" pivotButton="0" quotePrefix="0" xfId="0"/>
    <xf numFmtId="0" fontId="24" fillId="3" borderId="10" pivotButton="0" quotePrefix="0" xfId="0"/>
    <xf numFmtId="0" fontId="23" fillId="3" borderId="11" pivotButton="0" quotePrefix="0" xfId="0"/>
    <xf numFmtId="0" fontId="1" fillId="7" borderId="0" applyAlignment="1" pivotButton="0" quotePrefix="0" xfId="0">
      <alignment wrapText="1"/>
    </xf>
    <xf numFmtId="170" fontId="1" fillId="0" borderId="0" pivotButton="0" quotePrefix="0" xfId="0"/>
    <xf numFmtId="0" fontId="25" fillId="3" borderId="0" applyAlignment="1" pivotButton="0" quotePrefix="0" xfId="0">
      <alignment horizontal="left"/>
    </xf>
    <xf numFmtId="170" fontId="1" fillId="0" borderId="0" pivotButton="0" quotePrefix="0" xfId="0"/>
    <xf numFmtId="0" fontId="26" fillId="3" borderId="0" pivotButton="0" quotePrefix="0" xfId="0"/>
    <xf numFmtId="0" fontId="1" fillId="7" borderId="12" pivotButton="0" quotePrefix="0" xfId="0"/>
    <xf numFmtId="0" fontId="1" fillId="7" borderId="12" applyAlignment="1" pivotButton="0" quotePrefix="0" xfId="0">
      <alignment wrapText="1"/>
    </xf>
    <xf numFmtId="3" fontId="1" fillId="0" borderId="12" pivotButton="0" quotePrefix="0" xfId="0"/>
    <xf numFmtId="9" fontId="1" fillId="0" borderId="0" pivotButton="0" quotePrefix="0" xfId="0"/>
    <xf numFmtId="9" fontId="1" fillId="0" borderId="12" pivotButton="0" quotePrefix="0" xfId="0"/>
    <xf numFmtId="1" fontId="1" fillId="0" borderId="12" pivotButton="0" quotePrefix="0" xfId="0"/>
    <xf numFmtId="3" fontId="1" fillId="0" borderId="12" pivotButton="0" quotePrefix="0" xfId="0"/>
    <xf numFmtId="167" fontId="1" fillId="0" borderId="12" pivotButton="0" quotePrefix="0" xfId="0"/>
    <xf numFmtId="0" fontId="0" fillId="0" borderId="0" pivotButton="0" quotePrefix="0" xfId="0"/>
    <xf numFmtId="166" fontId="4" fillId="0" borderId="5" applyAlignment="1" pivotButton="0" quotePrefix="0" xfId="0">
      <alignment horizontal="center" vertical="bottom"/>
    </xf>
    <xf numFmtId="0" fontId="0" fillId="0" borderId="5" pivotButton="0" quotePrefix="0" xfId="0"/>
    <xf numFmtId="0" fontId="4" fillId="0" borderId="5" applyAlignment="1" pivotButton="0" quotePrefix="0" xfId="0">
      <alignment horizontal="center" vertical="bottom"/>
    </xf>
    <xf numFmtId="0" fontId="28" fillId="21" borderId="15" applyAlignment="1" pivotButton="0" quotePrefix="0" xfId="0">
      <alignment horizontal="center" vertical="center" wrapText="1"/>
    </xf>
    <xf numFmtId="0" fontId="0" fillId="14" borderId="15" applyAlignment="1" pivotButton="0" quotePrefix="0" xfId="0">
      <alignment vertical="top" wrapText="1"/>
    </xf>
    <xf numFmtId="0" fontId="0" fillId="15" borderId="15" applyAlignment="1" pivotButton="0" quotePrefix="0" xfId="0">
      <alignment vertical="top" wrapText="1"/>
    </xf>
    <xf numFmtId="0" fontId="0" fillId="16" borderId="15" applyAlignment="1" pivotButton="0" quotePrefix="0" xfId="0">
      <alignment vertical="top" wrapText="1"/>
    </xf>
    <xf numFmtId="0" fontId="0" fillId="17" borderId="15" applyAlignment="1" pivotButton="0" quotePrefix="0" xfId="0">
      <alignment vertical="top" wrapText="1"/>
    </xf>
    <xf numFmtId="0" fontId="0" fillId="18" borderId="15" applyAlignment="1" pivotButton="0" quotePrefix="0" xfId="0">
      <alignment vertical="top" wrapText="1"/>
    </xf>
    <xf numFmtId="0" fontId="0" fillId="19" borderId="15" applyAlignment="1" pivotButton="0" quotePrefix="0" xfId="0">
      <alignment vertical="top" wrapText="1"/>
    </xf>
    <xf numFmtId="0" fontId="0" fillId="20" borderId="15" applyAlignment="1" pivotButton="0" quotePrefix="0" xfId="0">
      <alignment vertical="top" wrapText="1"/>
    </xf>
    <xf numFmtId="0" fontId="28" fillId="21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8" fillId="21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0">
                <a:solidFill>
                  <a:srgbClr val="000000"/>
                </a:solidFill>
                <a:latin typeface="+mn-lt"/>
              </a:defRPr>
            </a:pPr>
            <a:r>
              <a:rPr sz="1800" b="0">
                <a:solidFill>
                  <a:srgbClr val="000000"/>
                </a:solidFill>
                <a:latin typeface="+mn-lt"/>
              </a:rPr>
              <a:t>Выручка по менеджерам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strRef>
              <f>'Вычисления'!$B$52:$B$54</f>
            </strRef>
          </cat>
          <val>
            <numRef>
              <f>'Вычисления'!$K$52:$K$54</f>
              <numCache/>
            </numRef>
          </val>
        </ser>
        <gapWidth val="150"/>
        <axId val="1184719877"/>
        <axId val="892489124"/>
      </barChart>
      <catAx>
        <axId val="1184719877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892489124"/>
        <lblOffset val="100"/>
      </catAx>
      <valAx>
        <axId val="892489124"/>
        <scaling>
          <orientation val="minMax"/>
        </scaling>
        <delete val="0"/>
        <axPos val="b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crossAx val="1184719877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38100</colOff>
      <row>52</row>
      <rowOff>142875</rowOff>
    </from>
    <ext cx="5381625" cy="19907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hyperlink" Target="https://amoprofilum.amocrm.ru/events/list/?filter_date_switch=created&amp;filter%5Bdate_preset%5D=previous_week&amp;filter%5Bevent_type%5D%5B0%5D=14&amp;filter%5Bvalue_after%5D%5Bstatus_lead%5D%5B0%5D=6894150%3A142&amp;filter%5Bvalue_after%5D%5Bstatuses%5D%5B0%5D%5Bpipe_id%5D=6894150&amp;filter%5Bvalue_after%5D%5Bstatuses%5D%5B0%5D%5Bstatus_id%5D=142&amp;sel=87936146&amp;preset=y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amoprofilum.amocrm.ru/leads/detail/25818791?tab_id=leads_31761678193899" TargetMode="External" Id="rId1"/><Relationship Type="http://schemas.openxmlformats.org/officeDocument/2006/relationships/hyperlink" Target="https://amoprofilum.amocrm.ru/leads/detail/25842857" TargetMode="External" Id="rId2"/><Relationship Type="http://schemas.openxmlformats.org/officeDocument/2006/relationships/hyperlink" Target="https://amoprofilum.amocrm.ru/leads/detail/25845601?tab_id=leads_31761678193899" TargetMode="External" Id="rId3"/><Relationship Type="http://schemas.openxmlformats.org/officeDocument/2006/relationships/hyperlink" Target="https://amoprofilum.amocrm.ru/leads/detail/25826989?tab_id=leads_31761678193899" TargetMode="External" Id="rId4"/><Relationship Type="http://schemas.openxmlformats.org/officeDocument/2006/relationships/hyperlink" Target="https://amoprofilum.amocrm.ru/leads/detail/25850133" TargetMode="External" Id="rId5"/><Relationship Type="http://schemas.openxmlformats.org/officeDocument/2006/relationships/hyperlink" Target="https://amoprofilum.amocrm.ru/leads/detail/25850609" TargetMode="External" Id="rId6"/></Relationships>
</file>

<file path=xl/worksheets/_rels/sheet7.xml.rels><Relationships xmlns="http://schemas.openxmlformats.org/package/2006/relationships"><Relationship Type="http://schemas.openxmlformats.org/officeDocument/2006/relationships/hyperlink" Target="https://docs.google.com/spreadsheets/d/16MuE0hRb5orWLmZHK5gurd9xw42OvFYgCnGjIvZHArw/edit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5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0" t="inlineStr">
        <is>
          <t>Сентряборь</t>
        </is>
      </c>
      <c r="C1" s="160" t="inlineStr">
        <is>
          <t>Сентябрь</t>
        </is>
      </c>
      <c r="D1" s="160" t="n">
        <v>9</v>
      </c>
      <c r="F1" s="160" t="inlineStr">
        <is>
          <t>Тип оплаты</t>
        </is>
      </c>
    </row>
    <row r="2">
      <c r="A2" s="2" t="n">
        <v>45170</v>
      </c>
      <c r="C2" s="160" t="inlineStr">
        <is>
          <t>Октябрь</t>
        </is>
      </c>
      <c r="D2" s="160" t="n">
        <v>10</v>
      </c>
      <c r="F2" s="160" t="inlineStr">
        <is>
          <t>A</t>
        </is>
      </c>
      <c r="G2" s="160" t="inlineStr">
        <is>
          <t>полная оплата</t>
        </is>
      </c>
    </row>
    <row r="3">
      <c r="A3" s="2" t="n">
        <v>45171</v>
      </c>
      <c r="C3" s="160" t="inlineStr">
        <is>
          <t>Ноябрь</t>
        </is>
      </c>
      <c r="D3" s="160" t="n">
        <v>11</v>
      </c>
      <c r="F3" s="160" t="inlineStr">
        <is>
          <t>B</t>
        </is>
      </c>
      <c r="G3" s="160" t="inlineStr">
        <is>
          <t>оплата по внутренней рассрочке</t>
        </is>
      </c>
    </row>
    <row r="4">
      <c r="A4" s="2" t="n">
        <v>45172</v>
      </c>
      <c r="C4" s="160" t="inlineStr">
        <is>
          <t>Декабрь</t>
        </is>
      </c>
      <c r="D4" s="160" t="n">
        <v>12</v>
      </c>
      <c r="F4" s="160" t="inlineStr">
        <is>
          <t>C</t>
        </is>
      </c>
      <c r="G4" s="160" t="inlineStr">
        <is>
          <t>оплата по рассрочке от Сбера</t>
        </is>
      </c>
    </row>
    <row r="5">
      <c r="A5" s="2" t="n">
        <v>45173</v>
      </c>
    </row>
    <row r="6">
      <c r="A6" s="2" t="n">
        <v>45174</v>
      </c>
    </row>
    <row r="7">
      <c r="A7" s="2" t="n">
        <v>45175</v>
      </c>
    </row>
    <row r="8">
      <c r="A8" s="2" t="n">
        <v>45176</v>
      </c>
    </row>
    <row r="9">
      <c r="A9" s="2" t="n">
        <v>45177</v>
      </c>
    </row>
    <row r="10">
      <c r="A10" s="2" t="n">
        <v>45178</v>
      </c>
    </row>
    <row r="11">
      <c r="A11" s="2" t="n">
        <v>45179</v>
      </c>
    </row>
    <row r="12">
      <c r="A12" s="2" t="n">
        <v>45180</v>
      </c>
    </row>
    <row r="13">
      <c r="A13" s="2" t="n">
        <v>45181</v>
      </c>
    </row>
    <row r="14">
      <c r="A14" s="2" t="n">
        <v>45182</v>
      </c>
    </row>
    <row r="15">
      <c r="A15" s="2" t="n">
        <v>45183</v>
      </c>
    </row>
    <row r="16">
      <c r="A16" s="2" t="n">
        <v>45184</v>
      </c>
    </row>
    <row r="17">
      <c r="A17" s="2" t="n">
        <v>45185</v>
      </c>
    </row>
    <row r="18">
      <c r="A18" s="2" t="n">
        <v>45186</v>
      </c>
    </row>
    <row r="19">
      <c r="A19" s="2" t="n">
        <v>45187</v>
      </c>
    </row>
    <row r="20">
      <c r="A20" s="2" t="n">
        <v>45188</v>
      </c>
    </row>
    <row r="21">
      <c r="A21" s="2" t="n">
        <v>45189</v>
      </c>
    </row>
    <row r="22">
      <c r="A22" s="2" t="n">
        <v>45190</v>
      </c>
    </row>
    <row r="23">
      <c r="A23" s="2" t="n">
        <v>45191</v>
      </c>
    </row>
    <row r="24">
      <c r="A24" s="2" t="n">
        <v>45192</v>
      </c>
    </row>
    <row r="25">
      <c r="A25" s="2" t="n">
        <v>45193</v>
      </c>
    </row>
    <row r="26">
      <c r="A26" s="2" t="n">
        <v>45194</v>
      </c>
    </row>
    <row r="27">
      <c r="A27" s="2" t="n">
        <v>45195</v>
      </c>
    </row>
    <row r="28">
      <c r="A28" s="2" t="n">
        <v>45196</v>
      </c>
    </row>
    <row r="29">
      <c r="A29" s="2" t="n">
        <v>45197</v>
      </c>
    </row>
    <row r="30">
      <c r="A30" s="2" t="n">
        <v>45198</v>
      </c>
    </row>
    <row r="31">
      <c r="A31" s="2" t="n">
        <v>45199</v>
      </c>
    </row>
    <row r="32">
      <c r="A32" s="2" t="n">
        <v>45200</v>
      </c>
    </row>
    <row r="33">
      <c r="A33" s="2" t="n">
        <v>45201</v>
      </c>
    </row>
    <row r="34">
      <c r="A34" s="2" t="n">
        <v>45202</v>
      </c>
    </row>
    <row r="35">
      <c r="A35" s="2" t="n">
        <v>45203</v>
      </c>
    </row>
    <row r="36">
      <c r="A36" s="2" t="n">
        <v>45204</v>
      </c>
    </row>
    <row r="37">
      <c r="A37" s="2" t="n">
        <v>45205</v>
      </c>
    </row>
    <row r="38">
      <c r="A38" s="2" t="n">
        <v>45206</v>
      </c>
    </row>
    <row r="39">
      <c r="A39" s="2" t="n">
        <v>45207</v>
      </c>
    </row>
    <row r="40">
      <c r="A40" s="2" t="n">
        <v>45208</v>
      </c>
    </row>
    <row r="41">
      <c r="A41" s="2" t="n">
        <v>45209</v>
      </c>
    </row>
    <row r="42">
      <c r="A42" s="2" t="n">
        <v>45210</v>
      </c>
    </row>
    <row r="43">
      <c r="A43" s="2" t="n">
        <v>45211</v>
      </c>
    </row>
    <row r="44">
      <c r="A44" s="2" t="n">
        <v>45212</v>
      </c>
    </row>
    <row r="45">
      <c r="A45" s="2" t="n">
        <v>45213</v>
      </c>
    </row>
    <row r="46">
      <c r="A46" s="2" t="n">
        <v>45214</v>
      </c>
    </row>
    <row r="47">
      <c r="A47" s="2" t="n">
        <v>45215</v>
      </c>
    </row>
    <row r="48">
      <c r="A48" s="2" t="n">
        <v>45216</v>
      </c>
    </row>
    <row r="49">
      <c r="A49" s="2" t="n">
        <v>45217</v>
      </c>
    </row>
    <row r="50">
      <c r="A50" s="2" t="n">
        <v>45218</v>
      </c>
    </row>
    <row r="51">
      <c r="A51" s="2" t="n">
        <v>45219</v>
      </c>
    </row>
    <row r="52">
      <c r="A52" s="2" t="n">
        <v>45220</v>
      </c>
    </row>
    <row r="53">
      <c r="A53" s="2" t="n">
        <v>45221</v>
      </c>
    </row>
    <row r="54">
      <c r="A54" s="2" t="n">
        <v>45222</v>
      </c>
    </row>
    <row r="55">
      <c r="A55" s="2" t="n">
        <v>45223</v>
      </c>
    </row>
    <row r="56">
      <c r="A56" s="2" t="n">
        <v>45224</v>
      </c>
    </row>
    <row r="57">
      <c r="A57" s="2" t="n">
        <v>45225</v>
      </c>
    </row>
    <row r="58">
      <c r="A58" s="2" t="n">
        <v>45226</v>
      </c>
    </row>
    <row r="59">
      <c r="A59" s="2" t="n">
        <v>45227</v>
      </c>
    </row>
    <row r="60">
      <c r="A60" s="2" t="n">
        <v>45228</v>
      </c>
    </row>
    <row r="61">
      <c r="A61" s="2" t="n">
        <v>45229</v>
      </c>
    </row>
    <row r="62">
      <c r="A62" s="2" t="n">
        <v>45230</v>
      </c>
    </row>
    <row r="63">
      <c r="A63" s="2" t="n">
        <v>45231</v>
      </c>
    </row>
    <row r="64">
      <c r="A64" s="2" t="n">
        <v>45232</v>
      </c>
    </row>
    <row r="65">
      <c r="A65" s="2" t="n">
        <v>45233</v>
      </c>
    </row>
    <row r="66">
      <c r="A66" s="2" t="n">
        <v>45234</v>
      </c>
    </row>
    <row r="67">
      <c r="A67" s="2" t="n">
        <v>45235</v>
      </c>
    </row>
    <row r="68">
      <c r="A68" s="2" t="n">
        <v>45236</v>
      </c>
    </row>
    <row r="69">
      <c r="A69" s="2" t="n">
        <v>45237</v>
      </c>
    </row>
    <row r="70">
      <c r="A70" s="2" t="n">
        <v>45238</v>
      </c>
    </row>
    <row r="71">
      <c r="A71" s="2" t="n">
        <v>45239</v>
      </c>
    </row>
    <row r="72">
      <c r="A72" s="2" t="n">
        <v>45240</v>
      </c>
    </row>
    <row r="73">
      <c r="A73" s="2" t="n">
        <v>45241</v>
      </c>
    </row>
    <row r="74">
      <c r="A74" s="2" t="n">
        <v>45242</v>
      </c>
    </row>
    <row r="75">
      <c r="A75" s="2" t="n">
        <v>45243</v>
      </c>
    </row>
    <row r="76">
      <c r="A76" s="2" t="n">
        <v>45244</v>
      </c>
    </row>
    <row r="77">
      <c r="A77" s="2" t="n">
        <v>45245</v>
      </c>
    </row>
    <row r="78">
      <c r="A78" s="2" t="n">
        <v>45246</v>
      </c>
    </row>
    <row r="79">
      <c r="A79" s="2" t="n">
        <v>45247</v>
      </c>
    </row>
    <row r="80">
      <c r="A80" s="2" t="n">
        <v>45248</v>
      </c>
    </row>
    <row r="81">
      <c r="A81" s="2" t="n">
        <v>45249</v>
      </c>
    </row>
    <row r="82">
      <c r="A82" s="2" t="n">
        <v>45250</v>
      </c>
    </row>
    <row r="83">
      <c r="A83" s="2" t="n">
        <v>45251</v>
      </c>
    </row>
    <row r="84">
      <c r="A84" s="2" t="n">
        <v>45252</v>
      </c>
    </row>
    <row r="85">
      <c r="A85" s="2" t="n">
        <v>45253</v>
      </c>
    </row>
    <row r="86">
      <c r="A86" s="2" t="n">
        <v>45254</v>
      </c>
    </row>
    <row r="87">
      <c r="A87" s="2" t="n">
        <v>45255</v>
      </c>
    </row>
    <row r="88">
      <c r="A88" s="2" t="n">
        <v>45256</v>
      </c>
    </row>
    <row r="89">
      <c r="A89" s="2" t="n">
        <v>45257</v>
      </c>
    </row>
    <row r="90">
      <c r="A90" s="2" t="n">
        <v>45258</v>
      </c>
    </row>
    <row r="91">
      <c r="A91" s="2" t="n">
        <v>45259</v>
      </c>
    </row>
    <row r="92">
      <c r="A92" s="2" t="n">
        <v>45260</v>
      </c>
    </row>
    <row r="93">
      <c r="A93" s="2" t="n">
        <v>45261</v>
      </c>
    </row>
    <row r="94">
      <c r="A94" s="2" t="n">
        <v>45262</v>
      </c>
    </row>
    <row r="95">
      <c r="A95" s="2" t="n">
        <v>45263</v>
      </c>
    </row>
    <row r="96">
      <c r="A96" s="2" t="n">
        <v>45264</v>
      </c>
    </row>
    <row r="97">
      <c r="A97" s="2" t="n">
        <v>45265</v>
      </c>
    </row>
    <row r="98">
      <c r="A98" s="2" t="n">
        <v>45266</v>
      </c>
    </row>
    <row r="99">
      <c r="A99" s="2" t="n">
        <v>45267</v>
      </c>
    </row>
    <row r="100">
      <c r="A100" s="2" t="n">
        <v>45268</v>
      </c>
    </row>
    <row r="101">
      <c r="A101" s="2" t="n">
        <v>45269</v>
      </c>
    </row>
    <row r="102">
      <c r="A102" s="2" t="n">
        <v>45270</v>
      </c>
    </row>
    <row r="103">
      <c r="A103" s="2" t="n">
        <v>45271</v>
      </c>
    </row>
    <row r="104">
      <c r="A104" s="2" t="n">
        <v>45272</v>
      </c>
    </row>
    <row r="105">
      <c r="A105" s="2" t="n">
        <v>45273</v>
      </c>
    </row>
    <row r="106">
      <c r="A106" s="2" t="n">
        <v>45274</v>
      </c>
    </row>
    <row r="107">
      <c r="A107" s="2" t="n">
        <v>45275</v>
      </c>
    </row>
    <row r="108">
      <c r="A108" s="2" t="n">
        <v>45276</v>
      </c>
    </row>
    <row r="109">
      <c r="A109" s="2" t="n">
        <v>45277</v>
      </c>
    </row>
    <row r="110">
      <c r="A110" s="2" t="n">
        <v>45278</v>
      </c>
    </row>
    <row r="111">
      <c r="A111" s="2" t="n">
        <v>45279</v>
      </c>
    </row>
    <row r="112">
      <c r="A112" s="2" t="n">
        <v>45280</v>
      </c>
    </row>
    <row r="113">
      <c r="A113" s="2" t="n">
        <v>45281</v>
      </c>
    </row>
    <row r="114">
      <c r="A114" s="2" t="n">
        <v>45282</v>
      </c>
    </row>
    <row r="115">
      <c r="A115" s="2" t="n">
        <v>45283</v>
      </c>
    </row>
    <row r="116">
      <c r="A116" s="2" t="n">
        <v>45284</v>
      </c>
    </row>
    <row r="117">
      <c r="A117" s="2" t="n">
        <v>45285</v>
      </c>
    </row>
    <row r="118">
      <c r="A118" s="2" t="n">
        <v>45286</v>
      </c>
    </row>
    <row r="119">
      <c r="A119" s="2" t="n">
        <v>45287</v>
      </c>
    </row>
    <row r="120">
      <c r="A120" s="2" t="n">
        <v>45288</v>
      </c>
    </row>
    <row r="121">
      <c r="A121" s="2" t="n">
        <v>45289</v>
      </c>
    </row>
    <row r="122">
      <c r="A122" s="2" t="n">
        <v>45290</v>
      </c>
    </row>
    <row r="123">
      <c r="A123" s="2" t="n">
        <v>45291</v>
      </c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FF00"/>
    <outlinePr summaryBelow="0" summaryRight="0"/>
    <pageSetUpPr/>
  </sheetPr>
  <dimension ref="A1:AK67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collapsed="1" width="27" customWidth="1" style="207" min="1" max="1"/>
    <col hidden="1" outlineLevel="1" width="12.63" customWidth="1" style="207" min="2" max="2"/>
    <col collapsed="1" width="12.63" customWidth="1" style="207" min="3" max="3"/>
    <col hidden="1" outlineLevel="2" width="12.63" customWidth="1" style="207" min="4" max="9"/>
    <col hidden="1" outlineLevel="1" width="12.63" customWidth="1" style="207" min="10" max="10"/>
    <col collapsed="1" width="12.63" customWidth="1" style="207" min="11" max="11"/>
    <col hidden="1" outlineLevel="2" width="12.63" customWidth="1" style="207" min="12" max="18"/>
    <col hidden="1" outlineLevel="1" width="12.63" customWidth="1" style="207" min="19" max="19"/>
    <col collapsed="1" width="12.63" customWidth="1" style="207" min="20" max="20"/>
    <col hidden="1" outlineLevel="2" width="12.63" customWidth="1" style="207" min="21" max="26"/>
    <col hidden="1" outlineLevel="1" width="12.63" customWidth="1" style="207" min="27" max="27"/>
  </cols>
  <sheetData>
    <row r="1">
      <c r="A1" s="160" t="inlineStr">
        <is>
          <t>Воронка ВУ</t>
        </is>
      </c>
      <c r="C1" s="6" t="n"/>
      <c r="D1" s="4" t="n"/>
      <c r="E1" s="4" t="n"/>
      <c r="F1" s="4" t="n"/>
      <c r="G1" s="4" t="n"/>
      <c r="H1" s="4" t="inlineStr">
        <is>
          <t>пересобрать тк -1день</t>
        </is>
      </c>
      <c r="I1" s="5" t="n"/>
      <c r="J1" s="6" t="n"/>
      <c r="K1" s="6" t="n"/>
      <c r="L1" s="4" t="n"/>
      <c r="M1" s="4" t="n"/>
      <c r="N1" s="4" t="n"/>
      <c r="O1" s="4" t="n"/>
      <c r="P1" s="4" t="n"/>
      <c r="Q1" s="4" t="n"/>
      <c r="R1" s="5" t="n"/>
      <c r="S1" s="6" t="n"/>
    </row>
    <row r="2">
      <c r="B2" s="4" t="inlineStr">
        <is>
          <t>W35</t>
        </is>
      </c>
      <c r="C2" s="6" t="n">
        <v>45170</v>
      </c>
      <c r="D2" s="4" t="inlineStr">
        <is>
          <t>W35</t>
        </is>
      </c>
      <c r="E2" s="4" t="inlineStr">
        <is>
          <t>W36</t>
        </is>
      </c>
      <c r="F2" s="4" t="inlineStr">
        <is>
          <t>W37</t>
        </is>
      </c>
      <c r="G2" s="4" t="inlineStr">
        <is>
          <t>W38</t>
        </is>
      </c>
      <c r="H2" s="4" t="inlineStr">
        <is>
          <t>W39</t>
        </is>
      </c>
      <c r="I2" s="7" t="inlineStr">
        <is>
          <t>PtoF</t>
        </is>
      </c>
      <c r="J2" s="6" t="n">
        <v>45170</v>
      </c>
      <c r="K2" s="6" t="n">
        <v>45200</v>
      </c>
      <c r="L2" s="4" t="inlineStr">
        <is>
          <t>W39</t>
        </is>
      </c>
      <c r="M2" s="4" t="inlineStr">
        <is>
          <t>W40</t>
        </is>
      </c>
      <c r="N2" s="4" t="inlineStr">
        <is>
          <t>W41</t>
        </is>
      </c>
      <c r="O2" s="4" t="inlineStr">
        <is>
          <t>W42</t>
        </is>
      </c>
      <c r="P2" s="4" t="inlineStr">
        <is>
          <t>W43</t>
        </is>
      </c>
      <c r="Q2" s="4" t="inlineStr">
        <is>
          <t>W44</t>
        </is>
      </c>
      <c r="R2" s="7" t="inlineStr">
        <is>
          <t>PtoF</t>
        </is>
      </c>
      <c r="S2" s="6" t="n">
        <v>45200</v>
      </c>
      <c r="T2" s="6" t="n">
        <v>45231</v>
      </c>
      <c r="U2" s="4" t="inlineStr">
        <is>
          <t>W44</t>
        </is>
      </c>
      <c r="V2" s="4" t="inlineStr">
        <is>
          <t>W45</t>
        </is>
      </c>
      <c r="W2" s="4" t="inlineStr">
        <is>
          <t>W46</t>
        </is>
      </c>
      <c r="X2" s="4" t="inlineStr">
        <is>
          <t>W47</t>
        </is>
      </c>
      <c r="Y2" s="4" t="inlineStr">
        <is>
          <t>W48</t>
        </is>
      </c>
      <c r="Z2" s="7" t="inlineStr">
        <is>
          <t>PtoF</t>
        </is>
      </c>
      <c r="AA2" s="6" t="n">
        <v>45231</v>
      </c>
      <c r="AB2" s="6" t="n">
        <v>45261</v>
      </c>
      <c r="AC2" s="4" t="inlineStr">
        <is>
          <t>W48</t>
        </is>
      </c>
      <c r="AD2" s="4" t="inlineStr">
        <is>
          <t>W49</t>
        </is>
      </c>
      <c r="AE2" s="4" t="inlineStr">
        <is>
          <t>W50</t>
        </is>
      </c>
      <c r="AF2" s="4" t="inlineStr">
        <is>
          <t>W51</t>
        </is>
      </c>
      <c r="AG2" s="4" t="inlineStr">
        <is>
          <t>W52</t>
        </is>
      </c>
      <c r="AH2" s="7" t="inlineStr">
        <is>
          <t>PtoF</t>
        </is>
      </c>
      <c r="AI2" s="6" t="n">
        <v>45261</v>
      </c>
    </row>
    <row r="3">
      <c r="B3" s="4" t="inlineStr">
        <is>
          <t>28.08-03.09</t>
        </is>
      </c>
      <c r="C3" s="8" t="inlineStr">
        <is>
          <t>Факт</t>
        </is>
      </c>
      <c r="D3" s="4" t="inlineStr">
        <is>
          <t>01.09-03.09</t>
        </is>
      </c>
      <c r="E3" s="4" t="inlineStr">
        <is>
          <t>04.09-10.09</t>
        </is>
      </c>
      <c r="F3" s="4" t="inlineStr">
        <is>
          <t>11.09-17.09</t>
        </is>
      </c>
      <c r="G3" s="4" t="inlineStr">
        <is>
          <t>18.09-24.09</t>
        </is>
      </c>
      <c r="H3" s="4" t="inlineStr">
        <is>
          <t>25.09-30.09</t>
        </is>
      </c>
      <c r="I3" s="158" t="n"/>
      <c r="J3" s="8" t="inlineStr">
        <is>
          <t>План</t>
        </is>
      </c>
      <c r="K3" s="8" t="inlineStr">
        <is>
          <t>Факт</t>
        </is>
      </c>
      <c r="L3" s="10" t="n">
        <v>45200</v>
      </c>
      <c r="M3" s="11" t="inlineStr">
        <is>
          <t>2.10-8.10</t>
        </is>
      </c>
      <c r="N3" s="11" t="inlineStr">
        <is>
          <t>09.10-15.10</t>
        </is>
      </c>
      <c r="O3" s="11" t="inlineStr">
        <is>
          <t>16.10-22.10</t>
        </is>
      </c>
      <c r="P3" s="160" t="inlineStr">
        <is>
          <t>23.10-29.10</t>
        </is>
      </c>
      <c r="Q3" s="11" t="inlineStr">
        <is>
          <t>30.10-31.10</t>
        </is>
      </c>
      <c r="S3" s="8" t="inlineStr">
        <is>
          <t>План</t>
        </is>
      </c>
      <c r="T3" s="8" t="inlineStr">
        <is>
          <t>Факт</t>
        </is>
      </c>
      <c r="U3" s="11" t="inlineStr">
        <is>
          <t>1.11-5.11</t>
        </is>
      </c>
      <c r="V3" s="11" t="inlineStr">
        <is>
          <t>6.11-12.11</t>
        </is>
      </c>
      <c r="W3" s="11" t="inlineStr">
        <is>
          <t>13.11-19.11</t>
        </is>
      </c>
      <c r="X3" s="11" t="inlineStr">
        <is>
          <t>20.11-26.11</t>
        </is>
      </c>
      <c r="Y3" s="160" t="inlineStr">
        <is>
          <t>27.11-30.11</t>
        </is>
      </c>
      <c r="AA3" s="8" t="inlineStr">
        <is>
          <t>План</t>
        </is>
      </c>
      <c r="AB3" s="8" t="inlineStr">
        <is>
          <t>Факт</t>
        </is>
      </c>
      <c r="AC3" s="11" t="inlineStr">
        <is>
          <t>1.12-3.12</t>
        </is>
      </c>
      <c r="AD3" s="11" t="inlineStr">
        <is>
          <t>4.12-10.12</t>
        </is>
      </c>
      <c r="AE3" s="11" t="n"/>
      <c r="AF3" s="11" t="n"/>
      <c r="AI3" s="8" t="inlineStr">
        <is>
          <t>План</t>
        </is>
      </c>
    </row>
    <row r="4">
      <c r="A4" s="151" t="inlineStr">
        <is>
          <t xml:space="preserve">N, Total </t>
        </is>
      </c>
      <c r="B4" s="158" t="n"/>
      <c r="C4" s="13" t="n">
        <v>0</v>
      </c>
      <c r="D4" s="158" t="n"/>
      <c r="E4" s="158" t="n"/>
      <c r="F4" s="158" t="n"/>
      <c r="G4" s="158" t="n"/>
      <c r="H4" s="158" t="n"/>
      <c r="I4" s="14">
        <f>C4/J4</f>
        <v/>
      </c>
      <c r="J4" s="13" t="n">
        <v>36</v>
      </c>
      <c r="K4" s="15">
        <f>SUM(L4:P4)</f>
        <v/>
      </c>
      <c r="L4" s="16" t="n">
        <v>0</v>
      </c>
      <c r="M4" s="16" t="n">
        <v>1</v>
      </c>
      <c r="N4" s="16" t="n">
        <v>0</v>
      </c>
      <c r="O4" s="17" t="n"/>
      <c r="P4" s="17" t="n"/>
      <c r="Q4" s="17" t="n"/>
      <c r="R4" s="18">
        <f>K4/S4</f>
        <v/>
      </c>
      <c r="S4" s="13" t="n">
        <v>45</v>
      </c>
      <c r="T4" s="15">
        <f>SUM(U4:Y4)</f>
        <v/>
      </c>
      <c r="U4" s="16" t="n"/>
      <c r="V4" s="16" t="n"/>
      <c r="W4" s="16" t="n"/>
      <c r="X4" s="17" t="n"/>
      <c r="Y4" s="17" t="n"/>
      <c r="Z4" s="18">
        <f>T4/AA4</f>
        <v/>
      </c>
      <c r="AA4" s="13" t="n">
        <v>29</v>
      </c>
      <c r="AB4" s="15">
        <f>SUM(AC4:AG4)</f>
        <v/>
      </c>
      <c r="AC4" s="16" t="n"/>
      <c r="AD4" s="16" t="n"/>
      <c r="AE4" s="16" t="n"/>
      <c r="AF4" s="17" t="n"/>
      <c r="AG4" s="17" t="n"/>
      <c r="AH4" s="18">
        <f>AA4/AI4</f>
        <v/>
      </c>
      <c r="AI4" s="13" t="n">
        <v>48</v>
      </c>
    </row>
    <row r="5">
      <c r="A5" s="87" t="inlineStr">
        <is>
          <t>Заявки новые</t>
        </is>
      </c>
      <c r="B5" s="63" t="n">
        <v>2</v>
      </c>
      <c r="C5" s="23">
        <f>D5+E5+F5+G5+H5</f>
        <v/>
      </c>
      <c r="D5" s="63" t="n">
        <v>4</v>
      </c>
      <c r="E5" s="63" t="n">
        <v>53</v>
      </c>
      <c r="F5" s="63" t="n">
        <v>25</v>
      </c>
      <c r="G5" s="63" t="n">
        <v>45</v>
      </c>
      <c r="H5" s="63" t="n">
        <v>19</v>
      </c>
      <c r="I5" s="14">
        <f>C5/J5</f>
        <v/>
      </c>
      <c r="J5" s="23">
        <f>'Marketing PnL'!R8</f>
        <v/>
      </c>
      <c r="K5" s="23">
        <f>M5+N5+O5+P5+Q5</f>
        <v/>
      </c>
      <c r="L5" s="22" t="n"/>
      <c r="M5" s="63" t="n">
        <v>29</v>
      </c>
      <c r="N5" s="63" t="n">
        <v>65</v>
      </c>
      <c r="O5" s="63" t="n">
        <v>92</v>
      </c>
      <c r="P5" s="63" t="n">
        <v>153</v>
      </c>
      <c r="Q5" s="63" t="n">
        <v>50</v>
      </c>
      <c r="R5" s="18">
        <f>K5/S5</f>
        <v/>
      </c>
      <c r="S5" s="23">
        <f>'Marketing PnL'!AA8</f>
        <v/>
      </c>
      <c r="T5" s="23">
        <f>SUM(U5:Y5)</f>
        <v/>
      </c>
      <c r="U5" s="63" t="n">
        <v>146</v>
      </c>
      <c r="V5" s="63" t="n">
        <v>162</v>
      </c>
      <c r="W5" s="63" t="n">
        <v>146</v>
      </c>
      <c r="X5" s="63" t="n">
        <v>222</v>
      </c>
      <c r="Y5" s="63" t="n">
        <v>124</v>
      </c>
      <c r="Z5" s="18">
        <f>T5/AA5</f>
        <v/>
      </c>
      <c r="AA5" s="23" t="n">
        <v>495</v>
      </c>
      <c r="AB5" s="23">
        <f>SUM(AC5:AG5)</f>
        <v/>
      </c>
      <c r="AC5" s="63" t="n">
        <v>87</v>
      </c>
      <c r="AD5" s="63" t="n"/>
      <c r="AE5" s="63" t="n"/>
      <c r="AF5" s="63" t="n"/>
      <c r="AG5" s="63" t="n"/>
      <c r="AH5" s="18">
        <f>AA5/AI5</f>
        <v/>
      </c>
      <c r="AI5" s="23" t="n">
        <v>606</v>
      </c>
    </row>
    <row r="6">
      <c r="A6" s="24" t="inlineStr">
        <is>
          <t>CR дозвона</t>
        </is>
      </c>
      <c r="B6" s="25" t="n"/>
      <c r="C6" s="28" t="n"/>
      <c r="D6" s="28" t="n"/>
      <c r="E6" s="28" t="n"/>
      <c r="F6" s="28" t="n"/>
      <c r="G6" s="28" t="n"/>
      <c r="H6" s="28" t="n"/>
      <c r="I6" s="27" t="n"/>
      <c r="J6" s="28" t="n"/>
      <c r="K6" s="29" t="n"/>
      <c r="L6" s="28" t="n"/>
      <c r="M6" s="28" t="n"/>
      <c r="N6" s="28" t="n"/>
      <c r="O6" s="28" t="n"/>
      <c r="P6" s="28" t="n"/>
      <c r="Q6" s="28" t="n"/>
      <c r="R6" s="30" t="n"/>
      <c r="S6" s="28" t="n"/>
      <c r="T6" s="29" t="n"/>
      <c r="U6" s="28" t="n"/>
      <c r="V6" s="28" t="n"/>
      <c r="W6" s="28" t="n"/>
      <c r="X6" s="28" t="n"/>
      <c r="Y6" s="28" t="n"/>
      <c r="Z6" s="30" t="n"/>
      <c r="AA6" s="28" t="n"/>
      <c r="AB6" s="29" t="n"/>
      <c r="AC6" s="28" t="n"/>
      <c r="AD6" s="28" t="n"/>
      <c r="AE6" s="28" t="n"/>
      <c r="AF6" s="28" t="n"/>
      <c r="AG6" s="28" t="n"/>
      <c r="AH6" s="30" t="n"/>
      <c r="AI6" s="28" t="n"/>
      <c r="AJ6" s="31" t="n"/>
      <c r="AK6" s="31" t="n"/>
    </row>
    <row r="7">
      <c r="A7" s="87" t="inlineStr">
        <is>
          <t>Неквал</t>
        </is>
      </c>
      <c r="B7" s="63" t="n"/>
      <c r="C7" s="23">
        <f>D7+E7+F7+G7+H7</f>
        <v/>
      </c>
      <c r="D7" s="63" t="n">
        <v>2</v>
      </c>
      <c r="E7" s="63" t="n">
        <v>44</v>
      </c>
      <c r="F7" s="63" t="n">
        <v>21</v>
      </c>
      <c r="G7" s="63" t="n">
        <v>30</v>
      </c>
      <c r="H7" s="63" t="n">
        <v>9</v>
      </c>
      <c r="I7" s="14">
        <f>C7/J7</f>
        <v/>
      </c>
      <c r="J7" s="72">
        <f>J5*J8</f>
        <v/>
      </c>
      <c r="K7" s="23">
        <f>M7+N7+O7+P7+Q7</f>
        <v/>
      </c>
      <c r="L7" s="22" t="n"/>
      <c r="M7" s="63" t="n">
        <v>19</v>
      </c>
      <c r="N7" s="63" t="n">
        <v>38</v>
      </c>
      <c r="O7" s="63" t="n">
        <v>50</v>
      </c>
      <c r="P7" s="63">
        <f>P5-27</f>
        <v/>
      </c>
      <c r="Q7" s="63">
        <f>Q5-13</f>
        <v/>
      </c>
      <c r="R7" s="18">
        <f>K7/S7</f>
        <v/>
      </c>
      <c r="S7" s="72">
        <f>S5*S8</f>
        <v/>
      </c>
      <c r="T7" s="23">
        <f>SUM(U7:Y7)</f>
        <v/>
      </c>
      <c r="U7" s="63" t="n">
        <v>67</v>
      </c>
      <c r="V7" s="63" t="n">
        <v>73</v>
      </c>
      <c r="W7" s="63" t="n">
        <v>60</v>
      </c>
      <c r="X7" s="63" t="n">
        <v>98</v>
      </c>
      <c r="Y7" s="63" t="n">
        <v>42</v>
      </c>
      <c r="Z7" s="18">
        <f>T7/AA7</f>
        <v/>
      </c>
      <c r="AA7" s="72" t="n">
        <v>371</v>
      </c>
      <c r="AB7" s="23">
        <f>SUM(AC7:AG7)</f>
        <v/>
      </c>
      <c r="AC7" s="63" t="n">
        <v>16</v>
      </c>
      <c r="AD7" s="63" t="n"/>
      <c r="AE7" s="63" t="n"/>
      <c r="AF7" s="63" t="n"/>
      <c r="AG7" s="63" t="n"/>
      <c r="AH7" s="18">
        <f>AC7/AI7</f>
        <v/>
      </c>
      <c r="AI7" s="23">
        <f>AI5*AI8</f>
        <v/>
      </c>
    </row>
    <row r="8">
      <c r="A8" s="70" t="inlineStr">
        <is>
          <t>Количество Неквал</t>
        </is>
      </c>
      <c r="B8" s="43">
        <f>B7/B5</f>
        <v/>
      </c>
      <c r="C8" s="37">
        <f>C7/C5</f>
        <v/>
      </c>
      <c r="D8" s="37">
        <f>D7/D5</f>
        <v/>
      </c>
      <c r="E8" s="37">
        <f>E7/E5</f>
        <v/>
      </c>
      <c r="F8" s="37">
        <f>F7/F5</f>
        <v/>
      </c>
      <c r="G8" s="37">
        <f>G7/G5</f>
        <v/>
      </c>
      <c r="H8" s="37">
        <f>H7/H5</f>
        <v/>
      </c>
      <c r="I8" s="14">
        <f>C8/J8</f>
        <v/>
      </c>
      <c r="J8" s="37" t="n">
        <v>0.75</v>
      </c>
      <c r="K8" s="71">
        <f>K7/K5</f>
        <v/>
      </c>
      <c r="L8" s="39">
        <f>L7/L5</f>
        <v/>
      </c>
      <c r="M8" s="37">
        <f>M7/M5</f>
        <v/>
      </c>
      <c r="N8" s="37">
        <f>N7/N5</f>
        <v/>
      </c>
      <c r="O8" s="37">
        <f>O7/O5</f>
        <v/>
      </c>
      <c r="P8" s="37">
        <f>P7/P5</f>
        <v/>
      </c>
      <c r="Q8" s="37">
        <f>Q7/Q5</f>
        <v/>
      </c>
      <c r="R8" s="18">
        <f>K8/S8</f>
        <v/>
      </c>
      <c r="S8" s="37" t="n">
        <v>0.75</v>
      </c>
      <c r="T8" s="40">
        <f>T7/T5</f>
        <v/>
      </c>
      <c r="U8" s="37">
        <f>U7/U5</f>
        <v/>
      </c>
      <c r="V8" s="37">
        <f>V7/V5</f>
        <v/>
      </c>
      <c r="W8" s="37">
        <f>W7/W5</f>
        <v/>
      </c>
      <c r="X8" s="37">
        <f>X7/X5</f>
        <v/>
      </c>
      <c r="Y8" s="37">
        <f>Y7/Y5</f>
        <v/>
      </c>
      <c r="Z8" s="18">
        <f>T8/AA8</f>
        <v/>
      </c>
      <c r="AA8" s="37" t="n">
        <v>0.75</v>
      </c>
      <c r="AB8" s="40">
        <f>AB7/AB5</f>
        <v/>
      </c>
      <c r="AC8" s="37">
        <f>AC7/AC5</f>
        <v/>
      </c>
      <c r="AD8" s="37">
        <f>AD7/AD5</f>
        <v/>
      </c>
      <c r="AE8" s="37">
        <f>AE7/AE5</f>
        <v/>
      </c>
      <c r="AF8" s="37">
        <f>AF7/AF5</f>
        <v/>
      </c>
      <c r="AG8" s="37">
        <f>AG7/AG5</f>
        <v/>
      </c>
      <c r="AH8" s="18">
        <f>AC8/AI8</f>
        <v/>
      </c>
      <c r="AI8" s="37" t="n">
        <v>0.75</v>
      </c>
    </row>
    <row r="9">
      <c r="A9" s="87" t="inlineStr">
        <is>
          <t>ВУ назначено</t>
        </is>
      </c>
      <c r="B9" s="41" t="n"/>
      <c r="C9" s="23">
        <f>D9+E9+F9+G9+H9</f>
        <v/>
      </c>
      <c r="D9" s="63" t="n">
        <v>1</v>
      </c>
      <c r="E9" s="63" t="n">
        <v>19</v>
      </c>
      <c r="F9" s="63" t="n">
        <v>13</v>
      </c>
      <c r="G9" s="63" t="n">
        <v>13</v>
      </c>
      <c r="H9" s="63" t="n">
        <v>12</v>
      </c>
      <c r="I9" s="14">
        <f>C9/J9</f>
        <v/>
      </c>
      <c r="J9" s="72">
        <f>J7*J10</f>
        <v/>
      </c>
      <c r="K9" s="23">
        <f>M9+N9+O9+P9+Q9</f>
        <v/>
      </c>
      <c r="L9" s="22" t="n"/>
      <c r="M9" s="63" t="n">
        <v>12</v>
      </c>
      <c r="N9" s="63" t="n">
        <v>33</v>
      </c>
      <c r="O9" s="63" t="n">
        <v>42</v>
      </c>
      <c r="P9" s="63" t="n">
        <v>70</v>
      </c>
      <c r="Q9" s="63" t="n">
        <v>13</v>
      </c>
      <c r="R9" s="18">
        <f>K9/S9</f>
        <v/>
      </c>
      <c r="S9" s="72">
        <f>S7*S10</f>
        <v/>
      </c>
      <c r="T9" s="23">
        <f>SUM(U9:Y9)</f>
        <v/>
      </c>
      <c r="U9" s="63" t="n">
        <v>29</v>
      </c>
      <c r="V9" s="63" t="n">
        <v>69</v>
      </c>
      <c r="W9" s="63" t="n">
        <v>43</v>
      </c>
      <c r="X9" s="63" t="n">
        <v>49</v>
      </c>
      <c r="Y9" s="63" t="n">
        <v>38</v>
      </c>
      <c r="Z9" s="18">
        <f>T9/AA9</f>
        <v/>
      </c>
      <c r="AA9" s="72" t="n">
        <v>260</v>
      </c>
      <c r="AB9" s="23">
        <f>SUM(AC9:AG9)</f>
        <v/>
      </c>
      <c r="AC9" s="63" t="n">
        <v>16</v>
      </c>
      <c r="AD9" s="63" t="n"/>
      <c r="AE9" s="63" t="n"/>
      <c r="AF9" s="63" t="n"/>
      <c r="AG9" s="63" t="n"/>
      <c r="AH9" s="18">
        <f>AC9/AI9</f>
        <v/>
      </c>
      <c r="AI9" s="72">
        <f>AI7*AI10</f>
        <v/>
      </c>
    </row>
    <row r="10">
      <c r="A10" s="70" t="inlineStr">
        <is>
          <t>CR лид - ВУ назначено</t>
        </is>
      </c>
      <c r="B10" s="43">
        <f>B9/B7</f>
        <v/>
      </c>
      <c r="C10" s="37">
        <f>C9/C7</f>
        <v/>
      </c>
      <c r="D10" s="37">
        <f>D9/D7</f>
        <v/>
      </c>
      <c r="E10" s="37">
        <f>E9/E7</f>
        <v/>
      </c>
      <c r="F10" s="37">
        <f>F9/F7</f>
        <v/>
      </c>
      <c r="G10" s="37">
        <f>G9/G7</f>
        <v/>
      </c>
      <c r="H10" s="37">
        <f>H9/H7</f>
        <v/>
      </c>
      <c r="I10" s="14">
        <f>C10/J10</f>
        <v/>
      </c>
      <c r="J10" s="37" t="n">
        <v>0.7</v>
      </c>
      <c r="K10" s="71">
        <f>K9/K7</f>
        <v/>
      </c>
      <c r="L10" s="37">
        <f>L9/L7</f>
        <v/>
      </c>
      <c r="M10" s="37">
        <f>M9/M7</f>
        <v/>
      </c>
      <c r="N10" s="37">
        <f>N9/N7</f>
        <v/>
      </c>
      <c r="O10" s="37">
        <f>O9/O7</f>
        <v/>
      </c>
      <c r="P10" s="37">
        <f>P9/P7</f>
        <v/>
      </c>
      <c r="Q10" s="37">
        <f>Q9/Q7</f>
        <v/>
      </c>
      <c r="R10" s="18">
        <f>K10/S10</f>
        <v/>
      </c>
      <c r="S10" s="37" t="n">
        <v>0.7</v>
      </c>
      <c r="T10" s="37">
        <f>T9/(T5-T7)</f>
        <v/>
      </c>
      <c r="U10" s="37">
        <f>U9/(U5-U7)</f>
        <v/>
      </c>
      <c r="V10" s="37">
        <f>V9/(V5-V7)</f>
        <v/>
      </c>
      <c r="W10" s="37">
        <f>W9/(W5-W7)</f>
        <v/>
      </c>
      <c r="X10" s="37">
        <f>X9/(X5-X7)</f>
        <v/>
      </c>
      <c r="Y10" s="37">
        <f>Y9/(Y5-Y7)</f>
        <v/>
      </c>
      <c r="Z10" s="18">
        <f>T10/AA10</f>
        <v/>
      </c>
      <c r="AA10" s="37" t="n">
        <v>0.7</v>
      </c>
      <c r="AB10" s="37">
        <f>AB9/(AB5-AB7)</f>
        <v/>
      </c>
      <c r="AC10" s="37">
        <f>AC9/AC7</f>
        <v/>
      </c>
      <c r="AD10" s="37">
        <f>AD9/AD7</f>
        <v/>
      </c>
      <c r="AE10" s="37">
        <f>AE9/AE7</f>
        <v/>
      </c>
      <c r="AF10" s="37">
        <f>AF9/AF7</f>
        <v/>
      </c>
      <c r="AG10" s="37">
        <f>AG9/AG7</f>
        <v/>
      </c>
      <c r="AH10" s="18">
        <f>AC10/AI10</f>
        <v/>
      </c>
      <c r="AI10" s="37" t="n">
        <v>0.7</v>
      </c>
    </row>
    <row r="11">
      <c r="A11" s="70" t="inlineStr">
        <is>
          <t>Время до ВУ</t>
        </is>
      </c>
      <c r="B11" s="42" t="n"/>
      <c r="C11" s="37" t="n"/>
      <c r="D11" s="37" t="n"/>
      <c r="E11" s="37" t="n"/>
      <c r="F11" s="37" t="n"/>
      <c r="G11" s="37" t="n"/>
      <c r="H11" s="37" t="n"/>
      <c r="I11" s="14" t="n"/>
      <c r="J11" s="37" t="n"/>
      <c r="K11" s="43" t="n"/>
      <c r="L11" s="17" t="n"/>
      <c r="M11" s="37" t="n"/>
      <c r="N11" s="37" t="n"/>
      <c r="O11" s="37" t="n"/>
      <c r="P11" s="37" t="n"/>
      <c r="Q11" s="37" t="n"/>
      <c r="R11" s="18" t="n"/>
      <c r="S11" s="37" t="n"/>
      <c r="T11" s="43" t="n"/>
      <c r="U11" s="37" t="n"/>
      <c r="V11" s="37" t="n"/>
      <c r="W11" s="37" t="n"/>
      <c r="X11" s="17" t="n"/>
      <c r="Y11" s="17" t="n"/>
      <c r="Z11" s="18" t="n"/>
      <c r="AA11" s="37" t="n"/>
      <c r="AB11" s="43" t="n"/>
      <c r="AC11" s="37" t="n"/>
      <c r="AD11" s="37" t="n"/>
      <c r="AE11" s="37" t="n"/>
      <c r="AF11" s="17" t="n"/>
      <c r="AG11" s="17" t="n"/>
      <c r="AH11" s="18">
        <f>AC11/AI11</f>
        <v/>
      </c>
      <c r="AI11" s="37" t="n"/>
    </row>
    <row r="12">
      <c r="A12" s="87" t="inlineStr">
        <is>
          <t>ВУ проведено</t>
        </is>
      </c>
      <c r="B12" s="41" t="n"/>
      <c r="C12" s="23">
        <f>D12+E12+F12+G12+H12</f>
        <v/>
      </c>
      <c r="D12" s="63" t="n">
        <v>0</v>
      </c>
      <c r="E12" s="63" t="n">
        <v>8</v>
      </c>
      <c r="F12" s="63" t="n">
        <v>11</v>
      </c>
      <c r="G12" s="63" t="n">
        <v>1</v>
      </c>
      <c r="H12" s="63" t="n">
        <v>9</v>
      </c>
      <c r="I12" s="14">
        <f>C12/J12</f>
        <v/>
      </c>
      <c r="J12" s="72">
        <f>J9*J13</f>
        <v/>
      </c>
      <c r="K12" s="23">
        <f>M12+N12+O12+P12+Q12</f>
        <v/>
      </c>
      <c r="L12" s="22" t="n"/>
      <c r="M12" s="63" t="n">
        <v>6</v>
      </c>
      <c r="N12" s="63" t="n">
        <v>6</v>
      </c>
      <c r="O12" s="63" t="n">
        <v>21</v>
      </c>
      <c r="P12" s="63" t="n">
        <v>22</v>
      </c>
      <c r="Q12" s="63" t="n">
        <v>4</v>
      </c>
      <c r="R12" s="18">
        <f>K12/S12</f>
        <v/>
      </c>
      <c r="S12" s="72">
        <f>S9*S13</f>
        <v/>
      </c>
      <c r="T12" s="23">
        <f>SUM(U12:Y12)</f>
        <v/>
      </c>
      <c r="U12" s="63" t="n">
        <v>9</v>
      </c>
      <c r="V12" s="63" t="n">
        <v>22</v>
      </c>
      <c r="W12" s="63" t="n">
        <v>16</v>
      </c>
      <c r="X12" s="63" t="n">
        <v>19</v>
      </c>
      <c r="Y12" s="63" t="n">
        <v>12</v>
      </c>
      <c r="Z12" s="18">
        <f>T12/AA12</f>
        <v/>
      </c>
      <c r="AA12" s="72" t="n">
        <v>130</v>
      </c>
      <c r="AB12" s="23">
        <f>SUM(AC12:AG12)</f>
        <v/>
      </c>
      <c r="AC12" s="63" t="n">
        <v>2</v>
      </c>
      <c r="AD12" s="63" t="n"/>
      <c r="AE12" s="63" t="n"/>
      <c r="AF12" s="63" t="n"/>
      <c r="AG12" s="63" t="n"/>
      <c r="AH12" s="18">
        <f>AC12/AI12</f>
        <v/>
      </c>
      <c r="AI12" s="72">
        <f>AI9*AI13</f>
        <v/>
      </c>
    </row>
    <row r="13">
      <c r="A13" s="70" t="inlineStr">
        <is>
          <t>CR ВУ назначено - ВУ проведено</t>
        </is>
      </c>
      <c r="B13" s="43">
        <f>B12/B9</f>
        <v/>
      </c>
      <c r="C13" s="37">
        <f>C12/C9</f>
        <v/>
      </c>
      <c r="D13" s="37">
        <f>D12/D9</f>
        <v/>
      </c>
      <c r="E13" s="37">
        <f>E12/E9</f>
        <v/>
      </c>
      <c r="F13" s="37">
        <f>F12/F9</f>
        <v/>
      </c>
      <c r="G13" s="37">
        <f>G12/G9</f>
        <v/>
      </c>
      <c r="H13" s="37">
        <f>H12/H9</f>
        <v/>
      </c>
      <c r="I13" s="14">
        <f>C13/J13</f>
        <v/>
      </c>
      <c r="J13" s="37" t="n">
        <v>0.4</v>
      </c>
      <c r="K13" s="71">
        <f>K12/K9</f>
        <v/>
      </c>
      <c r="L13" s="37">
        <f>L12/L9</f>
        <v/>
      </c>
      <c r="M13" s="37">
        <f>M12/M9</f>
        <v/>
      </c>
      <c r="N13" s="37">
        <f>N12/N9</f>
        <v/>
      </c>
      <c r="O13" s="37">
        <f>O12/O9</f>
        <v/>
      </c>
      <c r="P13" s="37">
        <f>P12/P9</f>
        <v/>
      </c>
      <c r="Q13" s="37">
        <f>Q12/Q9</f>
        <v/>
      </c>
      <c r="R13" s="18">
        <f>K13/S13</f>
        <v/>
      </c>
      <c r="S13" s="37" t="n">
        <v>0.45</v>
      </c>
      <c r="T13" s="71">
        <f>T12/T9</f>
        <v/>
      </c>
      <c r="U13" s="37">
        <f>U12/U9</f>
        <v/>
      </c>
      <c r="V13" s="37">
        <f>V12/V9</f>
        <v/>
      </c>
      <c r="W13" s="37">
        <f>W12/W9</f>
        <v/>
      </c>
      <c r="X13" s="37">
        <f>X12/X9</f>
        <v/>
      </c>
      <c r="Y13" s="37">
        <f>Y12/Y9</f>
        <v/>
      </c>
      <c r="Z13" s="18">
        <f>T13/AA13</f>
        <v/>
      </c>
      <c r="AA13" s="37" t="n">
        <v>0.5</v>
      </c>
      <c r="AB13" s="71">
        <f>AB12/AB9</f>
        <v/>
      </c>
      <c r="AC13" s="37">
        <f>AC12/AC9</f>
        <v/>
      </c>
      <c r="AD13" s="37">
        <f>AD12/AD9</f>
        <v/>
      </c>
      <c r="AE13" s="37">
        <f>AE12/AE9</f>
        <v/>
      </c>
      <c r="AF13" s="37">
        <f>AF12/AF9</f>
        <v/>
      </c>
      <c r="AG13" s="37">
        <f>AG12/AG9</f>
        <v/>
      </c>
      <c r="AH13" s="18">
        <f>AC13/AI13</f>
        <v/>
      </c>
      <c r="AI13" s="37" t="n">
        <v>0.5</v>
      </c>
    </row>
    <row r="14">
      <c r="A14" s="70" t="inlineStr">
        <is>
          <t>CR заявка- ВУ проведено</t>
        </is>
      </c>
      <c r="B14" s="44" t="n"/>
      <c r="C14" s="45" t="n"/>
      <c r="D14" s="45" t="n"/>
      <c r="E14" s="45" t="n"/>
      <c r="F14" s="45" t="n"/>
      <c r="G14" s="45" t="n"/>
      <c r="H14" s="45" t="n"/>
      <c r="I14" s="14" t="n"/>
      <c r="J14" s="45" t="n"/>
      <c r="K14" s="45">
        <f>K12/K5</f>
        <v/>
      </c>
      <c r="M14" s="45">
        <f>M12/M5</f>
        <v/>
      </c>
      <c r="N14" s="45">
        <f>N12/N5</f>
        <v/>
      </c>
      <c r="O14" s="45">
        <f>O12/O5</f>
        <v/>
      </c>
      <c r="P14" s="45">
        <f>P12/P5</f>
        <v/>
      </c>
      <c r="Q14" s="45">
        <f>Q12/Q5</f>
        <v/>
      </c>
      <c r="S14" s="202">
        <f>S12/S5</f>
        <v/>
      </c>
      <c r="T14" s="45">
        <f>T12/T5</f>
        <v/>
      </c>
      <c r="U14" s="45">
        <f>U12/U5</f>
        <v/>
      </c>
      <c r="V14" s="45">
        <f>V12/V5</f>
        <v/>
      </c>
      <c r="W14" s="45">
        <f>W12/W5</f>
        <v/>
      </c>
      <c r="X14" s="45">
        <f>X12/X5</f>
        <v/>
      </c>
      <c r="Y14" s="45">
        <f>Y12/Y5</f>
        <v/>
      </c>
      <c r="AA14" s="47">
        <f>AA12/AA5</f>
        <v/>
      </c>
      <c r="AB14" s="45">
        <f>AB12/AB5</f>
        <v/>
      </c>
      <c r="AC14" s="45">
        <f>AC12/AC5</f>
        <v/>
      </c>
      <c r="AD14" s="45">
        <f>AD12/AD5</f>
        <v/>
      </c>
      <c r="AE14" s="45">
        <f>AE12/AE5</f>
        <v/>
      </c>
      <c r="AF14" s="45">
        <f>AF12/AF5</f>
        <v/>
      </c>
      <c r="AG14" s="45">
        <f>AG12/AG5</f>
        <v/>
      </c>
      <c r="AH14" s="18">
        <f>AC14/AI14</f>
        <v/>
      </c>
      <c r="AI14" s="47">
        <f>AI12/AI5</f>
        <v/>
      </c>
    </row>
    <row r="15">
      <c r="A15" s="87" t="inlineStr">
        <is>
          <t>Покупок</t>
        </is>
      </c>
      <c r="B15" s="23" t="n"/>
      <c r="C15" s="23">
        <f>D15+E15+F15+G15+H15</f>
        <v/>
      </c>
      <c r="D15" s="63" t="n">
        <v>0</v>
      </c>
      <c r="E15" s="63" t="n">
        <v>2</v>
      </c>
      <c r="F15" s="63" t="n">
        <v>4</v>
      </c>
      <c r="G15" s="63" t="n">
        <v>0</v>
      </c>
      <c r="H15" s="63" t="n">
        <v>0</v>
      </c>
      <c r="I15" s="14">
        <f>C15/J15</f>
        <v/>
      </c>
      <c r="J15" s="72">
        <f>J12*J16</f>
        <v/>
      </c>
      <c r="K15" s="23">
        <f>M15+N15+O15+P15+Q15</f>
        <v/>
      </c>
      <c r="L15" s="22" t="n"/>
      <c r="M15" s="63" t="n">
        <v>1</v>
      </c>
      <c r="N15" s="63" t="n">
        <v>0</v>
      </c>
      <c r="O15" s="63" t="n">
        <v>1</v>
      </c>
      <c r="P15" s="48" t="n">
        <v>2</v>
      </c>
      <c r="Q15" s="48" t="n"/>
      <c r="R15" s="18">
        <f>K15/S15</f>
        <v/>
      </c>
      <c r="S15" s="72">
        <f>S12*S16</f>
        <v/>
      </c>
      <c r="T15" s="23">
        <f>SUM(U15:Y15)</f>
        <v/>
      </c>
      <c r="U15" s="63" t="n">
        <v>3</v>
      </c>
      <c r="V15" s="63" t="n">
        <v>2</v>
      </c>
      <c r="W15" s="63" t="n">
        <v>0</v>
      </c>
      <c r="X15" s="63" t="n">
        <v>1</v>
      </c>
      <c r="Y15" s="48" t="n">
        <v>0</v>
      </c>
      <c r="Z15" s="18">
        <f>T15/AA15</f>
        <v/>
      </c>
      <c r="AA15" s="72">
        <f>AA12*AA16</f>
        <v/>
      </c>
      <c r="AB15" s="23">
        <f>SUM(AC15:AG15)</f>
        <v/>
      </c>
      <c r="AC15" s="63" t="n"/>
      <c r="AD15" s="63" t="n"/>
      <c r="AE15" s="63" t="n"/>
      <c r="AF15" s="63" t="n"/>
      <c r="AG15" s="48" t="n"/>
      <c r="AH15" s="18">
        <f>AC15/AI15</f>
        <v/>
      </c>
      <c r="AI15" s="72">
        <f>AI12*AI16</f>
        <v/>
      </c>
    </row>
    <row r="16">
      <c r="A16" s="70" t="inlineStr">
        <is>
          <t>CR ВУ - покупка</t>
        </is>
      </c>
      <c r="B16" s="42" t="n"/>
      <c r="C16" s="37">
        <f>C15/C12</f>
        <v/>
      </c>
      <c r="D16" s="37">
        <f>D15/D12</f>
        <v/>
      </c>
      <c r="E16" s="37">
        <f>E15/E12</f>
        <v/>
      </c>
      <c r="F16" s="37">
        <f>F15/F12</f>
        <v/>
      </c>
      <c r="G16" s="37">
        <f>G15/G12</f>
        <v/>
      </c>
      <c r="H16" s="37">
        <f>H15/H12</f>
        <v/>
      </c>
      <c r="I16" s="14">
        <f>C16/J16</f>
        <v/>
      </c>
      <c r="J16" s="37" t="n">
        <v>0.4</v>
      </c>
      <c r="K16" s="71">
        <f>K15/K12</f>
        <v/>
      </c>
      <c r="L16" s="17" t="n"/>
      <c r="M16" s="37">
        <f>M15/M12</f>
        <v/>
      </c>
      <c r="N16" s="37">
        <f>N15/N12</f>
        <v/>
      </c>
      <c r="O16" s="37">
        <f>O15/O12</f>
        <v/>
      </c>
      <c r="P16" s="37">
        <f>P15/P12</f>
        <v/>
      </c>
      <c r="Q16" s="37">
        <f>Q15/Q12</f>
        <v/>
      </c>
      <c r="R16" s="18">
        <f>K16/S16</f>
        <v/>
      </c>
      <c r="S16" s="37" t="n">
        <v>0.4</v>
      </c>
      <c r="T16" s="71">
        <f>T15/T12</f>
        <v/>
      </c>
      <c r="U16" s="37">
        <f>U15/U12</f>
        <v/>
      </c>
      <c r="V16" s="37">
        <f>V15/V12</f>
        <v/>
      </c>
      <c r="W16" s="37">
        <f>W15/W12</f>
        <v/>
      </c>
      <c r="X16" s="37">
        <f>X15/X12</f>
        <v/>
      </c>
      <c r="Y16" s="37">
        <f>Y15/Y12</f>
        <v/>
      </c>
      <c r="Z16" s="18">
        <f>T16/AA16</f>
        <v/>
      </c>
      <c r="AA16" s="37" t="n">
        <v>0.3</v>
      </c>
      <c r="AB16" s="71">
        <f>AB15/AB12</f>
        <v/>
      </c>
      <c r="AC16" s="37">
        <f>AC15/AC12</f>
        <v/>
      </c>
      <c r="AD16" s="37">
        <f>AD15/AD12</f>
        <v/>
      </c>
      <c r="AE16" s="37">
        <f>AE15/AE12</f>
        <v/>
      </c>
      <c r="AF16" s="37">
        <f>AF15/AF12</f>
        <v/>
      </c>
      <c r="AG16" s="37">
        <f>AG15/AG12</f>
        <v/>
      </c>
      <c r="AH16" s="18">
        <f>AC16/AI16</f>
        <v/>
      </c>
      <c r="AI16" s="37" t="n">
        <v>0.3</v>
      </c>
    </row>
    <row r="17">
      <c r="A17" s="70" t="inlineStr">
        <is>
          <t>ВУ - Оплата (окно 3 дня)</t>
        </is>
      </c>
      <c r="B17" s="42" t="n"/>
      <c r="C17" s="37" t="n"/>
      <c r="D17" s="37" t="n"/>
      <c r="E17" s="37" t="n"/>
      <c r="F17" s="37" t="n"/>
      <c r="G17" s="37" t="n"/>
      <c r="H17" s="37" t="n"/>
      <c r="I17" s="14" t="n"/>
      <c r="J17" s="37" t="n"/>
      <c r="K17" s="43" t="n"/>
      <c r="L17" s="17" t="n"/>
      <c r="M17" s="17" t="n"/>
      <c r="N17" s="17" t="n"/>
      <c r="O17" s="17" t="n"/>
      <c r="P17" s="17" t="n"/>
      <c r="Q17" s="17" t="n"/>
      <c r="R17" s="18" t="n"/>
      <c r="S17" s="37" t="n"/>
      <c r="T17" s="43" t="n"/>
      <c r="U17" s="43" t="n"/>
      <c r="V17" s="43" t="n"/>
      <c r="W17" s="43" t="n"/>
      <c r="X17" s="43" t="n"/>
      <c r="Y17" s="43" t="n"/>
      <c r="Z17" s="18" t="n"/>
      <c r="AA17" s="37" t="n"/>
      <c r="AB17" s="43" t="n"/>
      <c r="AC17" s="43" t="n"/>
      <c r="AD17" s="43" t="n"/>
      <c r="AE17" s="43" t="n"/>
      <c r="AF17" s="43" t="n"/>
      <c r="AG17" s="43" t="n"/>
      <c r="AH17" s="18">
        <f>AC17/AI17</f>
        <v/>
      </c>
      <c r="AI17" s="37" t="n"/>
    </row>
    <row r="18">
      <c r="A18" s="70" t="inlineStr">
        <is>
          <t>CR заявка - оплата</t>
        </is>
      </c>
      <c r="B18" s="44" t="n"/>
      <c r="C18" s="37">
        <f>C15/C5</f>
        <v/>
      </c>
      <c r="D18" s="37" t="n"/>
      <c r="E18" s="37">
        <f>E15/E5</f>
        <v/>
      </c>
      <c r="F18" s="37">
        <f>F15/F5</f>
        <v/>
      </c>
      <c r="G18" s="37">
        <f>G15/G5</f>
        <v/>
      </c>
      <c r="H18" s="37">
        <f>H15/H5</f>
        <v/>
      </c>
      <c r="I18" s="14">
        <f>C18/J18</f>
        <v/>
      </c>
      <c r="J18" s="37" t="n">
        <v>0.21</v>
      </c>
      <c r="K18" s="71">
        <f>K15/K5</f>
        <v/>
      </c>
      <c r="L18" s="17" t="n"/>
      <c r="M18" s="37">
        <f>M15/M5</f>
        <v/>
      </c>
      <c r="N18" s="37">
        <f>N15/N5</f>
        <v/>
      </c>
      <c r="O18" s="37">
        <f>O15/O5</f>
        <v/>
      </c>
      <c r="P18" s="37">
        <f>P15/P5</f>
        <v/>
      </c>
      <c r="Q18" s="37">
        <f>Q15/Q5</f>
        <v/>
      </c>
      <c r="R18" s="18">
        <f>K18/S18</f>
        <v/>
      </c>
      <c r="S18" s="43">
        <f>S15/S5</f>
        <v/>
      </c>
      <c r="T18" s="71">
        <f>T15/T5</f>
        <v/>
      </c>
      <c r="U18" s="37">
        <f>U15/U5</f>
        <v/>
      </c>
      <c r="V18" s="37">
        <f>V15/V5</f>
        <v/>
      </c>
      <c r="W18" s="37">
        <f>W15/W5</f>
        <v/>
      </c>
      <c r="X18" s="71">
        <f>X15/X5</f>
        <v/>
      </c>
      <c r="Y18" s="37">
        <f>Y15/Y5</f>
        <v/>
      </c>
      <c r="Z18" s="18">
        <f>T18/AA18</f>
        <v/>
      </c>
      <c r="AA18" s="43">
        <f>AA15/AA5</f>
        <v/>
      </c>
      <c r="AB18" s="71">
        <f>AB15/AB5</f>
        <v/>
      </c>
      <c r="AC18" s="37">
        <f>AC15/AC5</f>
        <v/>
      </c>
      <c r="AD18" s="37">
        <f>AD15/AD5</f>
        <v/>
      </c>
      <c r="AE18" s="37">
        <f>AE15/AE5</f>
        <v/>
      </c>
      <c r="AF18" s="71">
        <f>AF15/AF5</f>
        <v/>
      </c>
      <c r="AG18" s="37">
        <f>AG15/AG5</f>
        <v/>
      </c>
      <c r="AH18" s="18">
        <f>AC18/AI18</f>
        <v/>
      </c>
      <c r="AI18" s="43">
        <f>AI15/AI5</f>
        <v/>
      </c>
    </row>
    <row r="19">
      <c r="A19" s="70" t="inlineStr">
        <is>
          <t>CR квал - проведено</t>
        </is>
      </c>
      <c r="B19" s="44" t="n"/>
      <c r="C19" s="45">
        <f>C12/C7</f>
        <v/>
      </c>
      <c r="D19" s="45">
        <f>D12/D7</f>
        <v/>
      </c>
      <c r="E19" s="45">
        <f>E12/E7</f>
        <v/>
      </c>
      <c r="F19" s="45">
        <f>F12/F7</f>
        <v/>
      </c>
      <c r="G19" s="45">
        <f>G12/G7</f>
        <v/>
      </c>
      <c r="H19" s="45">
        <f>H12/H7</f>
        <v/>
      </c>
      <c r="I19" s="14">
        <f>C19/J19</f>
        <v/>
      </c>
      <c r="J19" s="45">
        <f>J12/J7</f>
        <v/>
      </c>
      <c r="K19" s="45">
        <f>K12/K7</f>
        <v/>
      </c>
      <c r="M19" s="45">
        <f>M12/M7</f>
        <v/>
      </c>
      <c r="N19" s="45">
        <f>N12/N7</f>
        <v/>
      </c>
      <c r="O19" s="45">
        <f>O12/O7</f>
        <v/>
      </c>
      <c r="P19" s="45">
        <f>P12/P7</f>
        <v/>
      </c>
      <c r="Q19" s="45">
        <f>Q12/Q7</f>
        <v/>
      </c>
      <c r="R19" s="45">
        <f>R12/R7</f>
        <v/>
      </c>
      <c r="S19" s="45">
        <f>S12/S7</f>
        <v/>
      </c>
      <c r="T19" s="45">
        <f>T12/T7</f>
        <v/>
      </c>
      <c r="U19" s="45">
        <f>U12/U7</f>
        <v/>
      </c>
      <c r="V19" s="45">
        <f>V12/V7</f>
        <v/>
      </c>
      <c r="W19" s="45">
        <f>W12/W7</f>
        <v/>
      </c>
      <c r="X19" s="45">
        <f>X12/X7</f>
        <v/>
      </c>
      <c r="Y19" s="45">
        <f>Y12/Y7</f>
        <v/>
      </c>
      <c r="Z19" s="45">
        <f>Z12/Z7</f>
        <v/>
      </c>
      <c r="AA19" s="45">
        <f>AA12/AA7</f>
        <v/>
      </c>
      <c r="AB19" s="45">
        <f>AB12/AB7</f>
        <v/>
      </c>
      <c r="AC19" s="45">
        <f>AC12/AC7</f>
        <v/>
      </c>
      <c r="AD19" s="45">
        <f>AD12/AD7</f>
        <v/>
      </c>
      <c r="AE19" s="45">
        <f>AE12/AE7</f>
        <v/>
      </c>
      <c r="AF19" s="45">
        <f>AF12/AF7</f>
        <v/>
      </c>
      <c r="AG19" s="45">
        <f>AG12/AG7</f>
        <v/>
      </c>
      <c r="AH19" s="18">
        <f>AC19/AI19</f>
        <v/>
      </c>
      <c r="AI19" s="45">
        <f>AI12/AI7</f>
        <v/>
      </c>
    </row>
    <row r="20">
      <c r="A20" s="49" t="inlineStr">
        <is>
          <t>Показатели продаж</t>
        </is>
      </c>
      <c r="B20" s="44" t="n"/>
      <c r="C20" s="39" t="n"/>
      <c r="D20" s="17" t="n"/>
      <c r="E20" s="17" t="n"/>
      <c r="F20" s="17" t="n"/>
      <c r="G20" s="17" t="n"/>
      <c r="H20" s="17" t="n"/>
      <c r="I20" s="17" t="n"/>
      <c r="J20" s="55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18" t="n"/>
      <c r="AA20" s="55" t="n"/>
      <c r="AB20" s="39" t="n"/>
      <c r="AC20" s="39" t="n"/>
      <c r="AD20" s="39" t="n"/>
      <c r="AE20" s="39" t="n"/>
      <c r="AF20" s="39" t="n"/>
      <c r="AG20" s="39" t="n"/>
      <c r="AH20" s="18">
        <f>AC20/AI20</f>
        <v/>
      </c>
      <c r="AI20" s="55" t="n"/>
    </row>
    <row r="21">
      <c r="A21" s="51" t="inlineStr">
        <is>
          <t>Выручка</t>
        </is>
      </c>
      <c r="B21" s="52" t="n"/>
      <c r="C21" s="52">
        <f>SUM(E21:H21)</f>
        <v/>
      </c>
      <c r="D21" s="54" t="n"/>
      <c r="E21" s="54" t="n">
        <v>84500</v>
      </c>
      <c r="F21" s="54">
        <f>18500*F15</f>
        <v/>
      </c>
      <c r="G21" s="54" t="n"/>
      <c r="H21" s="54" t="n"/>
      <c r="I21" s="54" t="n"/>
      <c r="J21" s="54" t="n">
        <v>2376000</v>
      </c>
      <c r="K21" s="54">
        <f>L21+M21+N21+O21+P21</f>
        <v/>
      </c>
      <c r="L21" s="54" t="n"/>
      <c r="M21" s="54" t="n">
        <v>18500</v>
      </c>
      <c r="N21" s="54" t="n"/>
      <c r="O21" s="54" t="n">
        <v>74000</v>
      </c>
      <c r="P21" s="54">
        <f>74000+17353</f>
        <v/>
      </c>
      <c r="Q21" s="54" t="n"/>
      <c r="R21" s="18" t="n"/>
      <c r="S21" s="55" t="n">
        <v>1545750</v>
      </c>
      <c r="T21" s="54">
        <f>U21+V21+W21+X21+Y21</f>
        <v/>
      </c>
      <c r="U21" s="54">
        <f>18500+66000+62000</f>
        <v/>
      </c>
      <c r="V21" s="54">
        <f>54000+74000</f>
        <v/>
      </c>
      <c r="W21" s="54" t="n"/>
      <c r="X21" s="54" t="n">
        <v>62000</v>
      </c>
      <c r="Y21" s="54" t="n"/>
      <c r="Z21" s="18" t="n"/>
      <c r="AA21" s="55" t="n">
        <v>1609500</v>
      </c>
      <c r="AB21" s="54">
        <f>AC21+AD21+AE21+AF21+AG21</f>
        <v/>
      </c>
      <c r="AC21" s="54" t="n"/>
      <c r="AD21" s="54" t="n"/>
      <c r="AE21" s="54" t="n"/>
      <c r="AF21" s="54" t="n"/>
      <c r="AG21" s="54" t="n"/>
      <c r="AH21" s="18" t="n"/>
      <c r="AI21" s="56" t="n">
        <v>3008998</v>
      </c>
    </row>
    <row r="22">
      <c r="A22" s="77" t="inlineStr">
        <is>
          <t>Средний чек</t>
        </is>
      </c>
      <c r="B22" s="55" t="n"/>
      <c r="C22" s="55">
        <f>C21/C15</f>
        <v/>
      </c>
      <c r="D22" s="58" t="n"/>
      <c r="E22" s="58">
        <f>E21/E15</f>
        <v/>
      </c>
      <c r="F22" s="58">
        <f>F21/F15</f>
        <v/>
      </c>
      <c r="G22" s="58" t="n"/>
      <c r="H22" s="58" t="n"/>
      <c r="I22" s="58" t="n"/>
      <c r="J22" s="55">
        <f>J21/J15</f>
        <v/>
      </c>
      <c r="K22" s="55" t="n"/>
      <c r="L22" s="58" t="n"/>
      <c r="M22" s="55">
        <f>M21/M15</f>
        <v/>
      </c>
      <c r="N22" s="58" t="n"/>
      <c r="O22" s="55">
        <f>O21/O15</f>
        <v/>
      </c>
      <c r="P22" s="55">
        <f>P21/P15</f>
        <v/>
      </c>
      <c r="Q22" s="58" t="n"/>
      <c r="R22" s="18" t="n"/>
      <c r="S22" s="55">
        <f>S21/S15</f>
        <v/>
      </c>
      <c r="T22" s="55">
        <f>AVERAGE(U22:Y22)</f>
        <v/>
      </c>
      <c r="U22" s="55">
        <f>U21/U15</f>
        <v/>
      </c>
      <c r="V22" s="55">
        <f>V21/V15</f>
        <v/>
      </c>
      <c r="W22" s="58" t="n"/>
      <c r="X22" s="55">
        <f>X21/X15</f>
        <v/>
      </c>
      <c r="Y22" s="55" t="n"/>
      <c r="Z22" s="18" t="n"/>
      <c r="AA22" s="55" t="n">
        <v>62100</v>
      </c>
      <c r="AB22" s="55" t="n"/>
      <c r="AC22" s="55">
        <f>AC21/AC15</f>
        <v/>
      </c>
      <c r="AD22" s="55">
        <f>AD21/AD15</f>
        <v/>
      </c>
      <c r="AE22" s="58" t="n"/>
      <c r="AF22" s="55">
        <f>AF21/AF15</f>
        <v/>
      </c>
      <c r="AG22" s="55">
        <f>AG21/AG15</f>
        <v/>
      </c>
      <c r="AH22" s="18" t="n"/>
      <c r="AI22" s="59" t="n">
        <v>62100</v>
      </c>
    </row>
    <row r="23">
      <c r="A23" s="70" t="inlineStr">
        <is>
          <t>CR заявка-назначено</t>
        </is>
      </c>
      <c r="K23" s="202">
        <f>K9/K5</f>
        <v/>
      </c>
      <c r="L23" s="202">
        <f>L9/L5</f>
        <v/>
      </c>
      <c r="M23" s="202">
        <f>M9/M5</f>
        <v/>
      </c>
      <c r="N23" s="202">
        <f>N9/N5</f>
        <v/>
      </c>
      <c r="O23" s="202">
        <f>O9/O5</f>
        <v/>
      </c>
      <c r="P23" s="202">
        <f>P9/P5</f>
        <v/>
      </c>
      <c r="Q23" s="202" t="n"/>
      <c r="R23" s="202">
        <f>R9/R5</f>
        <v/>
      </c>
      <c r="S23" s="202">
        <f>S9/S5</f>
        <v/>
      </c>
      <c r="T23" s="202">
        <f>T9/T5</f>
        <v/>
      </c>
      <c r="U23" s="202">
        <f>U9/U5</f>
        <v/>
      </c>
      <c r="V23" s="202">
        <f>V9/V5</f>
        <v/>
      </c>
      <c r="W23" s="202">
        <f>W9/W5</f>
        <v/>
      </c>
      <c r="X23" s="202">
        <f>X9/X5</f>
        <v/>
      </c>
      <c r="Y23" s="202">
        <f>Y9/Y5</f>
        <v/>
      </c>
      <c r="Z23" s="202">
        <f>Z9/Z5</f>
        <v/>
      </c>
      <c r="AA23" s="202">
        <f>AA9/AA5</f>
        <v/>
      </c>
      <c r="AB23" s="202">
        <f>AB9/AB5</f>
        <v/>
      </c>
      <c r="AC23" s="202">
        <f>AC9/AC5</f>
        <v/>
      </c>
      <c r="AD23" s="202">
        <f>AD9/AD5</f>
        <v/>
      </c>
      <c r="AE23" s="202">
        <f>AE9/AE5</f>
        <v/>
      </c>
      <c r="AF23" s="202">
        <f>AF9/AF5</f>
        <v/>
      </c>
      <c r="AG23" s="202">
        <f>AG9/AG5</f>
        <v/>
      </c>
      <c r="AH23" s="202">
        <f>AH9/AH5</f>
        <v/>
      </c>
      <c r="AI23" s="202">
        <f>AI9/AI5</f>
        <v/>
      </c>
    </row>
    <row r="24">
      <c r="D24" s="160" t="n"/>
      <c r="E24" s="60" t="n"/>
      <c r="F24" s="60" t="n"/>
    </row>
    <row r="25">
      <c r="B25" s="60" t="n"/>
      <c r="D25" s="160" t="n"/>
      <c r="E25" s="60" t="n"/>
      <c r="F25" s="60" t="n"/>
      <c r="O25" s="60" t="n"/>
      <c r="Q25" s="62">
        <f>Q5+U5</f>
        <v/>
      </c>
    </row>
    <row r="26">
      <c r="B26" s="60" t="n"/>
      <c r="D26" s="160" t="n"/>
      <c r="E26" s="60" t="n"/>
      <c r="F26" s="60" t="n"/>
      <c r="Q26" s="62">
        <f>Q7+U7</f>
        <v/>
      </c>
    </row>
    <row r="27">
      <c r="A27" s="160" t="inlineStr">
        <is>
          <t>Воронка мини-курс</t>
        </is>
      </c>
      <c r="B27" s="60" t="n"/>
      <c r="D27" s="160" t="n"/>
      <c r="E27" s="60" t="n"/>
      <c r="F27" s="60" t="n"/>
      <c r="Q27" s="62">
        <f>Q9+U9+U34</f>
        <v/>
      </c>
      <c r="T27" s="6" t="n">
        <v>45231</v>
      </c>
      <c r="U27" s="4" t="inlineStr">
        <is>
          <t>мини курс</t>
        </is>
      </c>
      <c r="V27" s="4" t="inlineStr">
        <is>
          <t>W45</t>
        </is>
      </c>
      <c r="W27" s="4" t="inlineStr">
        <is>
          <t>W46</t>
        </is>
      </c>
      <c r="X27" s="4" t="inlineStr">
        <is>
          <t>W47</t>
        </is>
      </c>
      <c r="Y27" s="4" t="inlineStr">
        <is>
          <t>W48</t>
        </is>
      </c>
      <c r="Z27" s="7" t="inlineStr">
        <is>
          <t>PtoF</t>
        </is>
      </c>
      <c r="AA27" s="6" t="n">
        <v>45231</v>
      </c>
    </row>
    <row r="28">
      <c r="B28" s="60" t="n"/>
      <c r="D28" s="160" t="n"/>
      <c r="E28" s="60" t="n"/>
      <c r="F28" s="60" t="n"/>
      <c r="Q28" s="202">
        <f>Q27/Q26</f>
        <v/>
      </c>
      <c r="T28" s="8" t="inlineStr">
        <is>
          <t>Факт</t>
        </is>
      </c>
      <c r="U28" s="11" t="inlineStr">
        <is>
          <t>30.10-5.11</t>
        </is>
      </c>
      <c r="V28" s="11" t="inlineStr">
        <is>
          <t>6.11-12.11</t>
        </is>
      </c>
      <c r="W28" s="11" t="inlineStr">
        <is>
          <t>13.11-19.11</t>
        </is>
      </c>
      <c r="X28" s="11" t="inlineStr">
        <is>
          <t>20.11-26.11</t>
        </is>
      </c>
      <c r="Y28" s="160" t="inlineStr">
        <is>
          <t>27.11-30.11</t>
        </is>
      </c>
      <c r="AA28" s="8" t="inlineStr">
        <is>
          <t>План</t>
        </is>
      </c>
    </row>
    <row r="29">
      <c r="A29" s="151" t="inlineStr">
        <is>
          <t xml:space="preserve">N, Total </t>
        </is>
      </c>
      <c r="B29" s="60" t="n"/>
      <c r="D29" s="160" t="n"/>
      <c r="E29" s="60" t="n"/>
      <c r="F29" s="60" t="n"/>
      <c r="P29" s="160" t="inlineStr">
        <is>
          <t>заявка-назначено</t>
        </is>
      </c>
      <c r="Q29" s="202">
        <f>Q27/Q25</f>
        <v/>
      </c>
      <c r="T29" s="15">
        <f>SUM(U29:Y29)</f>
        <v/>
      </c>
      <c r="U29" s="16" t="n"/>
      <c r="V29" s="16" t="n"/>
      <c r="W29" s="16" t="n"/>
      <c r="X29" s="17" t="n"/>
      <c r="Y29" s="17" t="n"/>
      <c r="Z29" s="18">
        <f>T29/AA29</f>
        <v/>
      </c>
      <c r="AA29" s="13" t="n">
        <v>26</v>
      </c>
    </row>
    <row r="30">
      <c r="A30" s="87" t="inlineStr">
        <is>
          <t>Заявки новые</t>
        </is>
      </c>
      <c r="B30" s="60" t="n"/>
      <c r="D30" s="160" t="n"/>
      <c r="E30" s="60" t="n"/>
      <c r="F30" s="60" t="n"/>
      <c r="Q30" s="160" t="n">
        <v>13</v>
      </c>
      <c r="T30" s="23">
        <f>V30+W30+X30</f>
        <v/>
      </c>
      <c r="U30" s="63" t="n">
        <v>94</v>
      </c>
      <c r="V30" s="63" t="n"/>
      <c r="W30" s="63" t="n"/>
      <c r="X30" s="63" t="n"/>
      <c r="Y30" s="63" t="n"/>
      <c r="Z30" s="18">
        <f>T30/AA30</f>
        <v/>
      </c>
      <c r="AA30" s="23">
        <f>'Marketing PnL'!AL34</f>
        <v/>
      </c>
    </row>
    <row r="31">
      <c r="A31" s="24" t="inlineStr">
        <is>
          <t>CR дозвона</t>
        </is>
      </c>
      <c r="B31" s="60" t="n"/>
      <c r="D31" s="160" t="n"/>
      <c r="E31" s="60" t="n"/>
      <c r="F31" s="60" t="n"/>
      <c r="Q31" s="160" t="n">
        <v>3</v>
      </c>
      <c r="T31" s="29" t="n"/>
      <c r="U31" s="28" t="n"/>
      <c r="V31" s="28" t="n"/>
      <c r="W31" s="28" t="n"/>
      <c r="X31" s="28" t="n"/>
      <c r="Y31" s="28" t="n"/>
      <c r="Z31" s="30" t="n"/>
      <c r="AA31" s="28" t="n"/>
    </row>
    <row r="32">
      <c r="A32" s="87" t="inlineStr">
        <is>
          <t>Квалифицирован</t>
        </is>
      </c>
      <c r="B32" s="60" t="n"/>
      <c r="D32" s="160" t="n"/>
      <c r="E32" s="60" t="n"/>
      <c r="F32" s="60" t="n"/>
      <c r="P32" s="160" t="inlineStr">
        <is>
          <t>ВУ- покупка</t>
        </is>
      </c>
      <c r="Q32" s="202">
        <f>Q31/Q30</f>
        <v/>
      </c>
      <c r="T32" s="23">
        <f>V32+W32+X32</f>
        <v/>
      </c>
      <c r="U32" s="63">
        <f>U30-18</f>
        <v/>
      </c>
      <c r="V32" s="63" t="n"/>
      <c r="W32" s="63" t="n"/>
      <c r="X32" s="63" t="n"/>
      <c r="Y32" s="63" t="n"/>
      <c r="Z32" s="18">
        <f>T32/AA32</f>
        <v/>
      </c>
      <c r="AA32" s="72">
        <f>AA30*AA33</f>
        <v/>
      </c>
    </row>
    <row r="33">
      <c r="A33" s="70" t="inlineStr">
        <is>
          <t>CR заявка-квалифицирован</t>
        </is>
      </c>
      <c r="B33" s="60" t="n"/>
      <c r="D33" s="160" t="n"/>
      <c r="E33" s="60" t="n"/>
      <c r="F33" s="60" t="n"/>
      <c r="T33" s="71">
        <f>T32/T30</f>
        <v/>
      </c>
      <c r="U33" s="37">
        <f>U32/U30</f>
        <v/>
      </c>
      <c r="V33" s="37">
        <f>V32/V30</f>
        <v/>
      </c>
      <c r="W33" s="37">
        <f>W32/W30</f>
        <v/>
      </c>
      <c r="X33" s="37">
        <f>X32/X30</f>
        <v/>
      </c>
      <c r="Y33" s="37">
        <f>Y32/Y30</f>
        <v/>
      </c>
      <c r="Z33" s="18">
        <f>T33/AA33</f>
        <v/>
      </c>
      <c r="AA33" s="37" t="n">
        <v>0.75</v>
      </c>
    </row>
    <row r="34">
      <c r="A34" s="87" t="inlineStr">
        <is>
          <t>мини-курс записан</t>
        </is>
      </c>
      <c r="B34" s="60" t="n"/>
      <c r="D34" s="160" t="n"/>
      <c r="E34" s="60" t="n"/>
      <c r="F34" s="60" t="n"/>
      <c r="T34" s="23">
        <f>V34+W34+X34</f>
        <v/>
      </c>
      <c r="U34" s="63" t="n">
        <v>35</v>
      </c>
      <c r="V34" s="63" t="n"/>
      <c r="W34" s="63" t="n"/>
      <c r="X34" s="63" t="n"/>
      <c r="Y34" s="63" t="n"/>
      <c r="Z34" s="18">
        <f>T34/AA34</f>
        <v/>
      </c>
      <c r="AA34" s="72">
        <f>AA32*AA35</f>
        <v/>
      </c>
    </row>
    <row r="35">
      <c r="A35" s="70" t="inlineStr">
        <is>
          <t>CR квал лид - ВУ назначено</t>
        </is>
      </c>
      <c r="B35" s="60" t="n"/>
      <c r="D35" s="160" t="n"/>
      <c r="E35" s="60" t="n"/>
      <c r="F35" s="60" t="n"/>
      <c r="T35" s="71">
        <f>T34/T32</f>
        <v/>
      </c>
      <c r="U35" s="37">
        <f>U34/U32</f>
        <v/>
      </c>
      <c r="V35" s="37">
        <f>V34/V32</f>
        <v/>
      </c>
      <c r="W35" s="37">
        <f>W34/W32</f>
        <v/>
      </c>
      <c r="X35" s="37">
        <f>X34/X32</f>
        <v/>
      </c>
      <c r="Y35" s="37">
        <f>Y34/Y32</f>
        <v/>
      </c>
      <c r="Z35" s="18">
        <f>T35/AA35</f>
        <v/>
      </c>
      <c r="AA35" s="37" t="n">
        <v>0.7</v>
      </c>
    </row>
    <row r="36">
      <c r="A36" s="70" t="inlineStr">
        <is>
          <t>Время до ВУ</t>
        </is>
      </c>
      <c r="B36" s="60" t="n"/>
      <c r="D36" s="160" t="n"/>
      <c r="E36" s="60" t="n"/>
      <c r="F36" s="60" t="n"/>
      <c r="T36" s="43" t="n"/>
      <c r="U36" s="37" t="n"/>
      <c r="V36" s="37" t="n"/>
      <c r="W36" s="37" t="n"/>
      <c r="X36" s="17" t="n"/>
      <c r="Y36" s="17" t="n"/>
      <c r="Z36" s="18" t="n"/>
      <c r="AA36" s="37" t="n"/>
    </row>
    <row r="37">
      <c r="A37" s="87" t="inlineStr">
        <is>
          <t>мини-курс прошли курс</t>
        </is>
      </c>
      <c r="B37" s="60" t="n"/>
      <c r="D37" s="160" t="n"/>
      <c r="E37" s="60" t="n"/>
      <c r="F37" s="60" t="n"/>
      <c r="T37" s="23">
        <f>V37+W37+X37</f>
        <v/>
      </c>
      <c r="U37" s="63" t="n"/>
      <c r="V37" s="63" t="n"/>
      <c r="W37" s="63" t="n"/>
      <c r="X37" s="63" t="n"/>
      <c r="Y37" s="63" t="n"/>
      <c r="Z37" s="18">
        <f>T37/AA37</f>
        <v/>
      </c>
      <c r="AA37" s="72">
        <f>AA34*AA38</f>
        <v/>
      </c>
    </row>
    <row r="38">
      <c r="A38" s="70" t="inlineStr">
        <is>
          <t>CR ВУ назначено - ВУ проведено</t>
        </is>
      </c>
      <c r="B38" s="60" t="n"/>
      <c r="D38" s="160" t="n"/>
      <c r="E38" s="60" t="n"/>
      <c r="F38" s="60" t="n"/>
      <c r="T38" s="71">
        <f>T37/T34</f>
        <v/>
      </c>
      <c r="U38" s="37">
        <f>U37/U34</f>
        <v/>
      </c>
      <c r="V38" s="37">
        <f>V37/V34</f>
        <v/>
      </c>
      <c r="W38" s="37">
        <f>W37/W34</f>
        <v/>
      </c>
      <c r="X38" s="37">
        <f>X37/X34</f>
        <v/>
      </c>
      <c r="Y38" s="37">
        <f>Y37/Y34</f>
        <v/>
      </c>
      <c r="Z38" s="18">
        <f>T38/AA38</f>
        <v/>
      </c>
      <c r="AA38" s="37" t="n">
        <v>0.45</v>
      </c>
    </row>
    <row r="39">
      <c r="A39" s="70" t="inlineStr">
        <is>
          <t>CR заявка- ВУ проведено</t>
        </is>
      </c>
      <c r="E39" s="160" t="inlineStr">
        <is>
          <t>Олег З</t>
        </is>
      </c>
      <c r="F39" s="60" t="n"/>
      <c r="G39" s="160" t="inlineStr">
        <is>
          <t>план</t>
        </is>
      </c>
      <c r="H39" s="160" t="inlineStr">
        <is>
          <t>факт</t>
        </is>
      </c>
      <c r="T39" s="45">
        <f>T37/T30</f>
        <v/>
      </c>
      <c r="U39" s="45">
        <f>U37/U30</f>
        <v/>
      </c>
      <c r="V39" s="45">
        <f>V37/V30</f>
        <v/>
      </c>
      <c r="W39" s="45">
        <f>W37/W30</f>
        <v/>
      </c>
      <c r="X39" s="45">
        <f>X37/X30</f>
        <v/>
      </c>
      <c r="Y39" s="45">
        <f>Y37/Y30</f>
        <v/>
      </c>
      <c r="AA39" s="47">
        <f>AA37/AA30</f>
        <v/>
      </c>
    </row>
    <row r="40">
      <c r="A40" s="87" t="inlineStr">
        <is>
          <t>Покупок</t>
        </is>
      </c>
      <c r="E40" s="160" t="inlineStr">
        <is>
          <t>состоялось ВУ</t>
        </is>
      </c>
      <c r="F40" s="60" t="n">
        <v>28</v>
      </c>
      <c r="T40" s="23">
        <f>V40+W40+X40+Y40</f>
        <v/>
      </c>
      <c r="U40" s="63" t="n"/>
      <c r="V40" s="63" t="n"/>
      <c r="W40" s="63" t="n"/>
      <c r="X40" s="63" t="n"/>
      <c r="Y40" s="48" t="n"/>
      <c r="Z40" s="18">
        <f>T40/AA40</f>
        <v/>
      </c>
      <c r="AA40" s="72">
        <f>AA37*AA41</f>
        <v/>
      </c>
    </row>
    <row r="41">
      <c r="A41" s="70" t="inlineStr">
        <is>
          <t>CR ВУ - покупка</t>
        </is>
      </c>
      <c r="E41" s="160" t="inlineStr">
        <is>
          <t>оплат</t>
        </is>
      </c>
      <c r="F41" s="160" t="n">
        <v>6</v>
      </c>
      <c r="H41" s="202">
        <f>F41/F40</f>
        <v/>
      </c>
      <c r="T41" s="71">
        <f>T40/T37</f>
        <v/>
      </c>
      <c r="U41" s="37">
        <f>U40/U37</f>
        <v/>
      </c>
      <c r="V41" s="37">
        <f>V40/V37</f>
        <v/>
      </c>
      <c r="W41" s="37">
        <f>W40/W37</f>
        <v/>
      </c>
      <c r="X41" s="37">
        <f>X40/X37</f>
        <v/>
      </c>
      <c r="Y41" s="37">
        <f>Y40/Y37</f>
        <v/>
      </c>
      <c r="Z41" s="18">
        <f>T41/AA41</f>
        <v/>
      </c>
      <c r="AA41" s="37" t="n">
        <v>0.4</v>
      </c>
    </row>
    <row r="42">
      <c r="A42" s="70" t="inlineStr">
        <is>
          <t>ВУ - Оплата (окно 3 дня)</t>
        </is>
      </c>
      <c r="T42" s="43" t="n"/>
      <c r="U42" s="17" t="n"/>
      <c r="V42" s="17" t="n"/>
      <c r="W42" s="17" t="n"/>
      <c r="X42" s="17" t="n"/>
      <c r="Y42" s="17" t="n"/>
      <c r="Z42" s="18" t="n"/>
      <c r="AA42" s="37" t="n"/>
    </row>
    <row r="43">
      <c r="A43" s="70" t="inlineStr">
        <is>
          <t>CR заявка - оплата</t>
        </is>
      </c>
      <c r="T43" s="71">
        <f>T40/T30</f>
        <v/>
      </c>
      <c r="U43" s="37">
        <f>U40/U30</f>
        <v/>
      </c>
      <c r="V43" s="37">
        <f>V40/V30</f>
        <v/>
      </c>
      <c r="W43" s="37">
        <f>W40/W30</f>
        <v/>
      </c>
      <c r="X43" s="37">
        <f>X40/X30</f>
        <v/>
      </c>
      <c r="Y43" s="37">
        <f>Y40/Y30</f>
        <v/>
      </c>
      <c r="Z43" s="18">
        <f>T43/AA43</f>
        <v/>
      </c>
      <c r="AA43" s="43">
        <f>AA40/AA30</f>
        <v/>
      </c>
    </row>
    <row r="44">
      <c r="A44" s="70" t="inlineStr">
        <is>
          <t>CR квал - проведено</t>
        </is>
      </c>
      <c r="T44" s="45">
        <f>T37/T32</f>
        <v/>
      </c>
      <c r="U44" s="45">
        <f>U37/U32</f>
        <v/>
      </c>
      <c r="V44" s="45">
        <f>V37/V32</f>
        <v/>
      </c>
      <c r="W44" s="45">
        <f>W37/W32</f>
        <v/>
      </c>
      <c r="X44" s="45">
        <f>X37/X32</f>
        <v/>
      </c>
      <c r="Y44" s="45">
        <f>Y37/Y32</f>
        <v/>
      </c>
      <c r="Z44" s="45">
        <f>Z37/Z32</f>
        <v/>
      </c>
      <c r="AA44" s="45">
        <f>AA37/AA32</f>
        <v/>
      </c>
    </row>
    <row r="45">
      <c r="A45" s="49" t="inlineStr">
        <is>
          <t>Показатели продаж</t>
        </is>
      </c>
      <c r="T45" s="58" t="n"/>
      <c r="U45" s="58" t="n"/>
      <c r="V45" s="58" t="n"/>
      <c r="W45" s="58" t="n"/>
      <c r="X45" s="58" t="n"/>
      <c r="Y45" s="58" t="n"/>
      <c r="Z45" s="18" t="n"/>
      <c r="AA45" s="55" t="n"/>
    </row>
    <row r="46">
      <c r="A46" s="51" t="inlineStr">
        <is>
          <t>Выручка</t>
        </is>
      </c>
      <c r="T46" s="54" t="n"/>
      <c r="U46" s="54">
        <f>18500+66000+62000</f>
        <v/>
      </c>
      <c r="V46" s="54" t="n"/>
      <c r="W46" s="54" t="n"/>
      <c r="X46" s="54" t="n"/>
      <c r="Y46" s="54" t="n"/>
      <c r="Z46" s="18" t="n"/>
      <c r="AA46" s="55" t="n"/>
    </row>
    <row r="47">
      <c r="A47" s="77" t="inlineStr">
        <is>
          <t>Средний чек</t>
        </is>
      </c>
      <c r="T47" s="55" t="n"/>
      <c r="U47" s="55">
        <f>U46/U40</f>
        <v/>
      </c>
      <c r="V47" s="55">
        <f>V46/V40</f>
        <v/>
      </c>
      <c r="W47" s="58" t="n"/>
      <c r="X47" s="55">
        <f>X46/X40</f>
        <v/>
      </c>
      <c r="Y47" s="55">
        <f>Y46/Y40</f>
        <v/>
      </c>
      <c r="Z47" s="18" t="n"/>
      <c r="AA47" s="55">
        <f>AA46/AA40</f>
        <v/>
      </c>
    </row>
    <row r="48">
      <c r="A48" s="70" t="inlineStr">
        <is>
          <t>CR заявка-назначено</t>
        </is>
      </c>
      <c r="T48" s="202">
        <f>T34/T30</f>
        <v/>
      </c>
      <c r="U48" s="202">
        <f>U34/U30</f>
        <v/>
      </c>
      <c r="V48" s="202">
        <f>V34/V30</f>
        <v/>
      </c>
      <c r="W48" s="202">
        <f>W34/W30</f>
        <v/>
      </c>
      <c r="X48" s="202">
        <f>X34/X30</f>
        <v/>
      </c>
      <c r="Y48" s="202">
        <f>Y34/Y30</f>
        <v/>
      </c>
      <c r="Z48" s="202">
        <f>Z34/Z30</f>
        <v/>
      </c>
      <c r="AA48" s="202">
        <f>AA34/AA30</f>
        <v/>
      </c>
    </row>
    <row r="59">
      <c r="A59" s="160" t="inlineStr">
        <is>
          <t>Настя К</t>
        </is>
      </c>
      <c r="B59" s="60" t="inlineStr">
        <is>
          <t>план</t>
        </is>
      </c>
      <c r="C59" s="160" t="inlineStr">
        <is>
          <t>факт</t>
        </is>
      </c>
    </row>
    <row r="60">
      <c r="A60" s="160" t="inlineStr">
        <is>
          <t>CR Квал-Назначено</t>
        </is>
      </c>
      <c r="B60" s="64" t="n">
        <v>0.7</v>
      </c>
      <c r="C60" s="202">
        <f>C66</f>
        <v/>
      </c>
    </row>
    <row r="61">
      <c r="A61" s="160" t="inlineStr">
        <is>
          <t>CR Назначено-проведено</t>
        </is>
      </c>
      <c r="B61" s="64" t="n">
        <v>0.4</v>
      </c>
      <c r="C61" s="202">
        <f>C67</f>
        <v/>
      </c>
    </row>
    <row r="63">
      <c r="C63" s="160" t="inlineStr">
        <is>
          <t>CR из этапа в этап</t>
        </is>
      </c>
    </row>
    <row r="64">
      <c r="A64" s="160" t="inlineStr">
        <is>
          <t>всего сделок</t>
        </is>
      </c>
      <c r="B64" s="160" t="n">
        <v>146</v>
      </c>
    </row>
    <row r="65">
      <c r="A65" s="160" t="inlineStr">
        <is>
          <t>квал</t>
        </is>
      </c>
      <c r="B65" s="160" t="n">
        <v>71</v>
      </c>
      <c r="C65" s="202">
        <f>B65/B64</f>
        <v/>
      </c>
    </row>
    <row r="66">
      <c r="A66" s="160" t="inlineStr">
        <is>
          <t xml:space="preserve">ВУ назначено </t>
        </is>
      </c>
      <c r="B66" s="160" t="n">
        <v>50</v>
      </c>
      <c r="C66" s="202">
        <f>B66/B65</f>
        <v/>
      </c>
    </row>
    <row r="67">
      <c r="A67" s="160" t="inlineStr">
        <is>
          <t>Ву состоялось</t>
        </is>
      </c>
      <c r="B67" s="160" t="n">
        <v>30</v>
      </c>
      <c r="C67" s="202">
        <f>B67/B66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3:E21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207" min="1" max="1"/>
    <col width="15" customWidth="1" style="207" min="3" max="3"/>
  </cols>
  <sheetData>
    <row r="3">
      <c r="B3" s="65" t="inlineStr">
        <is>
          <t>W1 2024</t>
        </is>
      </c>
      <c r="C3" s="65" t="inlineStr">
        <is>
          <t>W1 2024</t>
        </is>
      </c>
      <c r="D3" s="66" t="inlineStr">
        <is>
          <t>W1 2024</t>
        </is>
      </c>
    </row>
    <row r="4">
      <c r="B4" s="67" t="inlineStr">
        <is>
          <t>План</t>
        </is>
      </c>
      <c r="C4" s="79" t="inlineStr">
        <is>
          <t>Реальный план</t>
        </is>
      </c>
      <c r="D4" s="160" t="inlineStr">
        <is>
          <t>Факт</t>
        </is>
      </c>
    </row>
    <row r="5">
      <c r="A5" s="151" t="inlineStr">
        <is>
          <t>Оплаты</t>
        </is>
      </c>
      <c r="B5" s="13" t="n">
        <v>7</v>
      </c>
      <c r="C5" s="13" t="n">
        <v>3</v>
      </c>
      <c r="D5" s="62" t="n">
        <v>1</v>
      </c>
      <c r="E5" s="160" t="inlineStr">
        <is>
          <t xml:space="preserve">(можно считать две)), вторая была 8 января  </t>
        </is>
      </c>
    </row>
    <row r="6">
      <c r="A6" s="87" t="inlineStr">
        <is>
          <t>Показы / Охват</t>
        </is>
      </c>
      <c r="B6" s="23">
        <f>B8/B7</f>
        <v/>
      </c>
      <c r="C6" s="23">
        <f>C8/C7</f>
        <v/>
      </c>
      <c r="D6" s="62" t="n">
        <v>157075</v>
      </c>
    </row>
    <row r="7">
      <c r="A7" s="70" t="inlineStr">
        <is>
          <t>CTR</t>
        </is>
      </c>
      <c r="B7" s="71" t="n">
        <v>0.004</v>
      </c>
      <c r="C7" s="71" t="n">
        <v>0.004</v>
      </c>
      <c r="D7" s="202">
        <f>D8/D6</f>
        <v/>
      </c>
    </row>
    <row r="8">
      <c r="A8" s="87" t="inlineStr">
        <is>
          <t>Клики</t>
        </is>
      </c>
      <c r="B8" s="72">
        <f>B10/B9</f>
        <v/>
      </c>
      <c r="C8" s="72">
        <f>C10/C9</f>
        <v/>
      </c>
      <c r="D8" s="62" t="n">
        <v>869</v>
      </c>
    </row>
    <row r="9">
      <c r="A9" s="70" t="inlineStr">
        <is>
          <t>CR клик-заявка</t>
        </is>
      </c>
      <c r="B9" s="37" t="n">
        <v>0.12</v>
      </c>
      <c r="C9" s="37" t="n">
        <v>0.12</v>
      </c>
      <c r="D9" s="202">
        <f>D10/D8</f>
        <v/>
      </c>
    </row>
    <row r="10">
      <c r="A10" s="73" t="inlineStr">
        <is>
          <t>Заявка</t>
        </is>
      </c>
      <c r="B10" s="72">
        <f>B12/B11</f>
        <v/>
      </c>
      <c r="C10" s="72">
        <f>C12/C11</f>
        <v/>
      </c>
      <c r="D10" s="62" t="n">
        <v>112</v>
      </c>
    </row>
    <row r="11">
      <c r="A11" s="70" t="inlineStr">
        <is>
          <t>CR заявка- ВУ</t>
        </is>
      </c>
      <c r="B11" s="37" t="n">
        <v>0.1</v>
      </c>
      <c r="C11" s="37" t="n">
        <v>0.1</v>
      </c>
      <c r="D11" s="202">
        <f>D12/D10</f>
        <v/>
      </c>
    </row>
    <row r="12">
      <c r="A12" s="87" t="inlineStr">
        <is>
          <t xml:space="preserve">ВУ </t>
        </is>
      </c>
      <c r="B12" s="23">
        <f>B5/B13</f>
        <v/>
      </c>
      <c r="C12" s="23">
        <f>C5/C13</f>
        <v/>
      </c>
      <c r="D12" s="62" t="n">
        <v>9</v>
      </c>
    </row>
    <row r="13">
      <c r="A13" s="70" t="inlineStr">
        <is>
          <t>CR ВУ в оплату</t>
        </is>
      </c>
      <c r="B13" s="43" t="n">
        <v>0.3</v>
      </c>
      <c r="C13" s="43" t="n">
        <v>0.3</v>
      </c>
      <c r="D13" s="202">
        <f>D5/D12</f>
        <v/>
      </c>
    </row>
    <row r="14">
      <c r="A14" s="70" t="inlineStr">
        <is>
          <t>CR в заявку - оплата</t>
        </is>
      </c>
      <c r="B14" s="74" t="n">
        <v>0.02</v>
      </c>
      <c r="C14" s="74" t="n">
        <v>0.02</v>
      </c>
      <c r="D14" s="202">
        <f>D5/D10</f>
        <v/>
      </c>
    </row>
    <row r="15">
      <c r="A15" s="75" t="inlineStr">
        <is>
          <t>Бюджет маркетинга</t>
        </is>
      </c>
      <c r="B15" s="55">
        <f>B8*B16</f>
        <v/>
      </c>
      <c r="C15" s="55">
        <f>C8*C16</f>
        <v/>
      </c>
      <c r="D15" s="76" t="n">
        <v>92340</v>
      </c>
    </row>
    <row r="16">
      <c r="A16" s="77" t="inlineStr">
        <is>
          <t xml:space="preserve">     Цена клика</t>
        </is>
      </c>
      <c r="B16" s="55" t="n">
        <v>80</v>
      </c>
      <c r="C16" s="55" t="n">
        <v>80</v>
      </c>
      <c r="D16" s="55">
        <f>D15/D8</f>
        <v/>
      </c>
    </row>
    <row r="17">
      <c r="A17" s="78" t="inlineStr">
        <is>
          <t xml:space="preserve">     Цена заявки</t>
        </is>
      </c>
      <c r="B17" s="55">
        <f>B15/B10</f>
        <v/>
      </c>
      <c r="C17" s="55">
        <f>C15/C10</f>
        <v/>
      </c>
      <c r="D17" s="76">
        <f>D15/D10</f>
        <v/>
      </c>
    </row>
    <row r="18">
      <c r="A18" s="49" t="n"/>
      <c r="B18" s="55" t="n"/>
      <c r="C18" s="55" t="n"/>
      <c r="D18" s="76" t="n"/>
    </row>
    <row r="19">
      <c r="B19" s="55" t="n"/>
      <c r="C19" s="79" t="n"/>
      <c r="D19" s="76" t="n"/>
    </row>
    <row r="20">
      <c r="B20" s="197" t="n"/>
      <c r="D20" s="76" t="n"/>
    </row>
    <row r="21">
      <c r="C21" s="160" t="inlineStr">
        <is>
          <t>План по продажам: 7 оплат на первой неделе: 3 оплаты с январских заявок W1, 4 добрать с декабрьских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O19"/>
  <sheetViews>
    <sheetView workbookViewId="0">
      <selection activeCell="A1" sqref="A1"/>
    </sheetView>
  </sheetViews>
  <sheetFormatPr baseColWidth="8" defaultColWidth="12.63" defaultRowHeight="15.75" customHeight="1"/>
  <cols>
    <col width="17.63" customWidth="1" style="207" min="1" max="1"/>
    <col hidden="1" width="15.13" customWidth="1" style="207" min="2" max="7"/>
    <col hidden="1" width="12.63" customWidth="1" style="207" min="8" max="9"/>
  </cols>
  <sheetData>
    <row r="1">
      <c r="B1" s="83" t="inlineStr">
        <is>
          <t>W49</t>
        </is>
      </c>
      <c r="F1" s="83" t="inlineStr">
        <is>
          <t>W50</t>
        </is>
      </c>
      <c r="J1" s="82" t="inlineStr">
        <is>
          <t>Спринт (W49-W50)</t>
        </is>
      </c>
    </row>
    <row r="2">
      <c r="B2" s="11" t="inlineStr">
        <is>
          <t>04.12-10.12</t>
        </is>
      </c>
      <c r="F2" s="11" t="inlineStr">
        <is>
          <t>11.12-17.12</t>
        </is>
      </c>
      <c r="J2" s="82" t="inlineStr">
        <is>
          <t>04.12-17.12</t>
        </is>
      </c>
    </row>
    <row r="3">
      <c r="B3" s="82" t="inlineStr">
        <is>
          <t>Яндекс</t>
        </is>
      </c>
      <c r="C3" s="66" t="inlineStr">
        <is>
          <t xml:space="preserve">Телеграм </t>
        </is>
      </c>
      <c r="D3" s="66" t="inlineStr">
        <is>
          <t>Тотал</t>
        </is>
      </c>
      <c r="E3" s="83" t="n"/>
      <c r="F3" s="84" t="inlineStr">
        <is>
          <t>Тотал</t>
        </is>
      </c>
      <c r="G3" s="82" t="inlineStr">
        <is>
          <t>Яндекс</t>
        </is>
      </c>
      <c r="H3" s="66" t="inlineStr">
        <is>
          <t xml:space="preserve">Телеграм </t>
        </is>
      </c>
      <c r="I3" s="160" t="inlineStr">
        <is>
          <t xml:space="preserve">Без меток </t>
        </is>
      </c>
      <c r="J3" s="82" t="inlineStr">
        <is>
          <t>Яндекс</t>
        </is>
      </c>
      <c r="K3" s="66" t="inlineStr">
        <is>
          <t xml:space="preserve">Телеграм </t>
        </is>
      </c>
      <c r="L3" s="66" t="inlineStr">
        <is>
          <t>Тотал</t>
        </is>
      </c>
      <c r="M3" s="160" t="inlineStr">
        <is>
          <t>План</t>
        </is>
      </c>
      <c r="N3" s="160" t="inlineStr">
        <is>
          <t>Факт</t>
        </is>
      </c>
    </row>
    <row r="4">
      <c r="A4" s="151" t="inlineStr">
        <is>
          <t xml:space="preserve">N, Total </t>
        </is>
      </c>
      <c r="B4" s="158" t="n">
        <v>0</v>
      </c>
      <c r="C4" s="158" t="n">
        <v>0</v>
      </c>
      <c r="D4" s="158">
        <f>B4+C4</f>
        <v/>
      </c>
      <c r="E4" s="158" t="n"/>
      <c r="F4" s="158">
        <f>G4+H4</f>
        <v/>
      </c>
      <c r="G4" s="158" t="n">
        <v>2</v>
      </c>
      <c r="H4" s="160" t="n">
        <v>2</v>
      </c>
      <c r="J4" s="160" t="n">
        <v>1</v>
      </c>
      <c r="K4" s="160">
        <f>C4+H4</f>
        <v/>
      </c>
      <c r="L4" s="160">
        <f>J4+K4</f>
        <v/>
      </c>
      <c r="O4" s="160" t="n">
        <v>3</v>
      </c>
    </row>
    <row r="5">
      <c r="A5" s="87" t="inlineStr">
        <is>
          <t>Показы / Охват</t>
        </is>
      </c>
      <c r="B5" s="87" t="n">
        <v>512999</v>
      </c>
      <c r="C5" s="87" t="n">
        <v>2021</v>
      </c>
      <c r="D5" s="87">
        <f>E5+F5</f>
        <v/>
      </c>
      <c r="E5" s="88" t="n"/>
      <c r="F5" s="87">
        <f>G5+H5</f>
        <v/>
      </c>
      <c r="G5" s="63" t="n">
        <v>244516</v>
      </c>
      <c r="H5" s="90" t="n">
        <v>2377</v>
      </c>
      <c r="J5" s="90">
        <f>B5+G5</f>
        <v/>
      </c>
      <c r="K5" s="90">
        <f>C5+H5</f>
        <v/>
      </c>
      <c r="L5" s="90">
        <f>J5+K5</f>
        <v/>
      </c>
      <c r="O5" s="62" t="n">
        <v>128763</v>
      </c>
    </row>
    <row r="6">
      <c r="A6" s="70" t="inlineStr">
        <is>
          <t>CTR</t>
        </is>
      </c>
      <c r="B6" s="100" t="n">
        <v>0.003500981483394704</v>
      </c>
      <c r="C6" s="100" t="n">
        <v>0.08213755566551212</v>
      </c>
      <c r="D6" s="92">
        <f>D7/D5</f>
        <v/>
      </c>
      <c r="E6" s="92" t="n"/>
      <c r="F6" s="92">
        <f>F7/F5</f>
        <v/>
      </c>
      <c r="G6" s="71">
        <f>G7/G5</f>
        <v/>
      </c>
      <c r="H6" s="93" t="n">
        <v>0.08792595708876735</v>
      </c>
      <c r="J6" s="47">
        <f>J7/J5</f>
        <v/>
      </c>
      <c r="K6" s="47">
        <f>K7/K5</f>
        <v/>
      </c>
      <c r="L6" s="47">
        <f>L7/L5</f>
        <v/>
      </c>
      <c r="O6" s="202" t="n">
        <v>0.006601275211046652</v>
      </c>
    </row>
    <row r="7">
      <c r="A7" s="87" t="inlineStr">
        <is>
          <t>Клики</t>
        </is>
      </c>
      <c r="B7" s="87" t="n">
        <v>1796</v>
      </c>
      <c r="C7" s="87" t="n">
        <v>166</v>
      </c>
      <c r="D7" s="87">
        <f>E7+F7</f>
        <v/>
      </c>
      <c r="E7" s="88" t="n"/>
      <c r="F7" s="87">
        <f>G7+H7</f>
        <v/>
      </c>
      <c r="G7" s="63" t="n">
        <v>950</v>
      </c>
      <c r="H7" s="90" t="n">
        <v>209</v>
      </c>
      <c r="J7" s="90">
        <f>B7+G7</f>
        <v/>
      </c>
      <c r="K7" s="90">
        <f>C7+H7</f>
        <v/>
      </c>
      <c r="L7" s="90">
        <f>J7+K7</f>
        <v/>
      </c>
      <c r="O7" s="62" t="n">
        <v>850</v>
      </c>
    </row>
    <row r="8">
      <c r="A8" s="70" t="inlineStr">
        <is>
          <t>CR клик-заявка</t>
        </is>
      </c>
      <c r="B8" s="100" t="n">
        <v>0.04120267260579064</v>
      </c>
      <c r="C8" s="100" t="n">
        <v>0.4156626506024096</v>
      </c>
      <c r="D8" s="99">
        <f>D9/D7</f>
        <v/>
      </c>
      <c r="E8" s="99" t="n"/>
      <c r="F8" s="99">
        <f>F9/F7</f>
        <v/>
      </c>
      <c r="G8" s="37">
        <f>G9/G7</f>
        <v/>
      </c>
      <c r="H8" s="202" t="n">
        <v>0.2870813397129187</v>
      </c>
      <c r="J8" s="47">
        <f>J9/J7</f>
        <v/>
      </c>
      <c r="K8" s="47">
        <f>K9/K7</f>
        <v/>
      </c>
      <c r="L8" s="47">
        <f>L9/L7</f>
        <v/>
      </c>
      <c r="O8" s="202" t="n">
        <v>0.1447058823529412</v>
      </c>
    </row>
    <row r="9">
      <c r="A9" s="73" t="inlineStr">
        <is>
          <t>Заявка</t>
        </is>
      </c>
      <c r="B9" s="87" t="n">
        <v>74</v>
      </c>
      <c r="C9" s="87" t="n">
        <v>69</v>
      </c>
      <c r="D9" s="87">
        <f>B9+C9</f>
        <v/>
      </c>
      <c r="E9" s="88" t="n"/>
      <c r="F9" s="87">
        <f>G9+H9+I9</f>
        <v/>
      </c>
      <c r="G9" s="63" t="n">
        <v>107</v>
      </c>
      <c r="H9" s="90" t="n">
        <v>64</v>
      </c>
      <c r="I9" s="160" t="n">
        <v>1</v>
      </c>
      <c r="J9" s="96" t="n">
        <v>225</v>
      </c>
      <c r="K9" s="96" t="n">
        <v>136</v>
      </c>
      <c r="L9" s="96">
        <f>J9+K9</f>
        <v/>
      </c>
      <c r="O9" s="62" t="n">
        <v>123</v>
      </c>
    </row>
    <row r="10">
      <c r="A10" s="70" t="inlineStr">
        <is>
          <t>CR заявка- ВУ</t>
        </is>
      </c>
      <c r="B10" s="99">
        <f>B11/B9</f>
        <v/>
      </c>
      <c r="C10" s="99">
        <f>C11/C9</f>
        <v/>
      </c>
      <c r="D10" s="99">
        <f>D11/D9</f>
        <v/>
      </c>
      <c r="E10" s="158" t="n"/>
      <c r="F10" s="99">
        <f>G10+H10</f>
        <v/>
      </c>
      <c r="G10" s="97">
        <f>G11/G9</f>
        <v/>
      </c>
      <c r="H10" s="202" t="n">
        <v>0.1166666666666667</v>
      </c>
      <c r="J10" s="202">
        <f>J11/J9</f>
        <v/>
      </c>
      <c r="K10" s="202">
        <f>K11/K9</f>
        <v/>
      </c>
      <c r="L10" s="202">
        <f>L11/L9</f>
        <v/>
      </c>
      <c r="O10" s="202" t="n">
        <v>0.0975609756097561</v>
      </c>
    </row>
    <row r="11">
      <c r="A11" s="87" t="inlineStr">
        <is>
          <t xml:space="preserve">ВУ (вводный урок) </t>
        </is>
      </c>
      <c r="B11" s="87" t="n">
        <v>16</v>
      </c>
      <c r="C11" s="87" t="n">
        <v>13</v>
      </c>
      <c r="D11" s="87">
        <f>B11+C11</f>
        <v/>
      </c>
      <c r="E11" s="88" t="n"/>
      <c r="F11" s="87">
        <f>G11+H11+I11</f>
        <v/>
      </c>
      <c r="G11" s="98" t="n">
        <v>12</v>
      </c>
      <c r="H11" s="90" t="n">
        <v>8</v>
      </c>
      <c r="I11" s="160" t="n">
        <v>1</v>
      </c>
      <c r="J11" s="90">
        <f>B11+G11</f>
        <v/>
      </c>
      <c r="K11" s="90">
        <f>C11+H11</f>
        <v/>
      </c>
      <c r="L11" s="90">
        <f>J11+K11</f>
        <v/>
      </c>
      <c r="O11" s="62" t="n">
        <v>12</v>
      </c>
    </row>
    <row r="12">
      <c r="A12" s="70" t="inlineStr">
        <is>
          <t>CR ВУ в оплату</t>
        </is>
      </c>
      <c r="B12" s="99" t="n">
        <v>0</v>
      </c>
      <c r="C12" s="99" t="n">
        <v>0</v>
      </c>
      <c r="D12" s="99">
        <f>D4/D11</f>
        <v/>
      </c>
      <c r="E12" s="99" t="n"/>
      <c r="F12" s="99">
        <f>F4/F11</f>
        <v/>
      </c>
      <c r="G12" s="97">
        <f>G4/G11</f>
        <v/>
      </c>
      <c r="H12" s="202" t="n">
        <v>0.2857142857142857</v>
      </c>
      <c r="J12" s="47">
        <f>J4/J11</f>
        <v/>
      </c>
      <c r="K12" s="47">
        <f>K4/K11</f>
        <v/>
      </c>
      <c r="L12" s="47">
        <f>L4/L11</f>
        <v/>
      </c>
      <c r="O12" s="202" t="n">
        <v>0.25</v>
      </c>
    </row>
    <row r="13">
      <c r="A13" s="70" t="inlineStr">
        <is>
          <t>CR в заявку - оплата</t>
        </is>
      </c>
      <c r="B13" s="99" t="n">
        <v>0</v>
      </c>
      <c r="C13" s="99" t="n">
        <v>0</v>
      </c>
      <c r="D13" s="100">
        <f>D4/D9</f>
        <v/>
      </c>
      <c r="E13" s="100" t="n"/>
      <c r="F13" s="100">
        <f>F4/F9</f>
        <v/>
      </c>
      <c r="G13" s="97">
        <f>G4/G9</f>
        <v/>
      </c>
      <c r="H13" s="97">
        <f>H4/H9</f>
        <v/>
      </c>
      <c r="J13" s="47">
        <f>J4/J9</f>
        <v/>
      </c>
      <c r="K13" s="47">
        <f>K4/K9</f>
        <v/>
      </c>
      <c r="L13" s="47">
        <f>L4/L9</f>
        <v/>
      </c>
      <c r="O13" s="202" t="n">
        <v>0.02439024390243903</v>
      </c>
    </row>
    <row r="14">
      <c r="A14" s="75" t="inlineStr">
        <is>
          <t>Бюджет маркетинга</t>
        </is>
      </c>
      <c r="B14" s="109" t="n">
        <v>110534</v>
      </c>
      <c r="C14" s="109" t="n">
        <v>28632</v>
      </c>
      <c r="D14" s="109">
        <f>E14+F14</f>
        <v/>
      </c>
      <c r="E14" s="102" t="n"/>
      <c r="F14" s="109">
        <f>G14+H14</f>
        <v/>
      </c>
      <c r="G14" s="103" t="n">
        <v>98492.8</v>
      </c>
      <c r="H14" s="105" t="n">
        <v>26714</v>
      </c>
      <c r="J14" s="105">
        <f>B14+G14</f>
        <v/>
      </c>
      <c r="K14" s="105">
        <f>C14+H14</f>
        <v/>
      </c>
      <c r="L14" s="105">
        <f>J14+K14</f>
        <v/>
      </c>
      <c r="O14" s="76" t="n">
        <v>123289.37</v>
      </c>
    </row>
    <row r="15">
      <c r="A15" s="77" t="inlineStr">
        <is>
          <t xml:space="preserve">     Цена клика</t>
        </is>
      </c>
      <c r="B15" s="112" t="n">
        <v>215.4663069518654</v>
      </c>
      <c r="C15" s="113" t="n">
        <v>14167.24393864423</v>
      </c>
      <c r="D15" s="112">
        <f>E15+F15</f>
        <v/>
      </c>
      <c r="E15" s="158" t="n"/>
      <c r="F15" s="112">
        <f>G15+H15</f>
        <v/>
      </c>
      <c r="G15" s="58">
        <f>G14/G7</f>
        <v/>
      </c>
      <c r="H15" s="197" t="n">
        <v>127.8181818181818</v>
      </c>
      <c r="J15" s="197">
        <f>J14/J7</f>
        <v/>
      </c>
      <c r="K15" s="197">
        <f>K14/K7</f>
        <v/>
      </c>
      <c r="L15" s="197">
        <f>L14/L7</f>
        <v/>
      </c>
      <c r="O15" s="76" t="n">
        <v>3694.777618364419</v>
      </c>
    </row>
    <row r="16">
      <c r="A16" s="78" t="inlineStr">
        <is>
          <t xml:space="preserve">     Цена заявки</t>
        </is>
      </c>
      <c r="B16" s="110" t="n">
        <v>61.5445434298441</v>
      </c>
      <c r="C16" s="109" t="n">
        <v>172.4819277108434</v>
      </c>
      <c r="D16" s="110">
        <f>E16+F16</f>
        <v/>
      </c>
      <c r="E16" s="102" t="n"/>
      <c r="F16" s="110">
        <f>G16+H16</f>
        <v/>
      </c>
      <c r="G16" s="111">
        <f>G14/G9</f>
        <v/>
      </c>
      <c r="H16" s="105" t="n">
        <v>445.2333333333333</v>
      </c>
      <c r="J16" s="105">
        <f>J14/J9</f>
        <v/>
      </c>
      <c r="K16" s="105">
        <f>K14/K9</f>
        <v/>
      </c>
      <c r="L16" s="105">
        <f>L14/L9</f>
        <v/>
      </c>
      <c r="O16" s="76" t="n">
        <v>145.0463176470588</v>
      </c>
    </row>
    <row r="17">
      <c r="A17" s="49" t="inlineStr">
        <is>
          <t xml:space="preserve">   СMC  (Цена привлечения)</t>
        </is>
      </c>
      <c r="B17" s="112" t="n">
        <v>1493.702702702703</v>
      </c>
      <c r="C17" s="113" t="n">
        <v>414.9565217391304</v>
      </c>
      <c r="D17" s="158" t="n"/>
      <c r="E17" s="158" t="n"/>
      <c r="F17" s="158" t="n"/>
      <c r="G17" s="58">
        <f>G14/G4</f>
        <v/>
      </c>
      <c r="H17" s="197" t="n">
        <v>13357</v>
      </c>
      <c r="J17" s="197">
        <f>J14/J4</f>
        <v/>
      </c>
      <c r="K17" s="197">
        <f>K14/K4</f>
        <v/>
      </c>
      <c r="L17" s="197">
        <f>L14/L4</f>
        <v/>
      </c>
      <c r="O17" s="76" t="n">
        <v>1002.352601626016</v>
      </c>
    </row>
    <row r="18">
      <c r="A18" s="160" t="inlineStr">
        <is>
          <t>Стоимость ВУ</t>
        </is>
      </c>
      <c r="B18" s="113" t="n">
        <v>6908.375</v>
      </c>
      <c r="C18" s="158" t="n"/>
      <c r="D18" s="113">
        <f>D14/D11</f>
        <v/>
      </c>
      <c r="E18" s="158" t="n"/>
      <c r="F18" s="113">
        <f>F14/F11</f>
        <v/>
      </c>
      <c r="G18" s="197">
        <f>G14/G11</f>
        <v/>
      </c>
      <c r="H18" s="197">
        <f>H14/H11</f>
        <v/>
      </c>
      <c r="J18" s="197">
        <f>J14/J11</f>
        <v/>
      </c>
      <c r="K18" s="197">
        <f>K14/K11</f>
        <v/>
      </c>
      <c r="L18" s="197">
        <f>L14/L11</f>
        <v/>
      </c>
      <c r="O18" s="76" t="n">
        <v>41096.45666666667</v>
      </c>
    </row>
    <row r="19">
      <c r="O19" s="76" t="n">
        <v>10274.11416666667</v>
      </c>
    </row>
  </sheetData>
  <mergeCells count="6">
    <mergeCell ref="J1:L1"/>
    <mergeCell ref="B1:E1"/>
    <mergeCell ref="J2:L2"/>
    <mergeCell ref="F1:H1"/>
    <mergeCell ref="F2:H2"/>
    <mergeCell ref="B2:E2"/>
  </mergeCells>
  <hyperlinks>
    <hyperlink xmlns:r="http://schemas.openxmlformats.org/officeDocument/2006/relationships" ref="F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O23"/>
  <sheetViews>
    <sheetView workbookViewId="0">
      <selection activeCell="A1" sqref="A1"/>
    </sheetView>
  </sheetViews>
  <sheetFormatPr baseColWidth="8" defaultColWidth="12.63" defaultRowHeight="15.75" customHeight="1"/>
  <cols>
    <col width="21.13" customWidth="1" style="207" min="1" max="1"/>
  </cols>
  <sheetData>
    <row r="1">
      <c r="A1" s="114" t="n"/>
      <c r="B1" s="208" t="inlineStr">
        <is>
          <t>09.10-15.10</t>
        </is>
      </c>
      <c r="C1" s="209" t="n"/>
      <c r="D1" s="208" t="inlineStr">
        <is>
          <t>16.10-22.10</t>
        </is>
      </c>
      <c r="E1" s="209" t="n"/>
      <c r="F1" s="208" t="inlineStr">
        <is>
          <t>23.10-29.10</t>
        </is>
      </c>
      <c r="G1" s="209" t="n"/>
      <c r="H1" s="210" t="inlineStr">
        <is>
          <t>Х</t>
        </is>
      </c>
      <c r="I1" s="209" t="n"/>
      <c r="J1" s="210" t="inlineStr">
        <is>
          <t>Х</t>
        </is>
      </c>
      <c r="K1" s="209" t="n"/>
      <c r="L1" s="210" t="inlineStr">
        <is>
          <t>Х</t>
        </is>
      </c>
      <c r="M1" s="209" t="n"/>
      <c r="N1" s="210" t="inlineStr">
        <is>
          <t>Х</t>
        </is>
      </c>
      <c r="O1" s="209" t="n"/>
    </row>
    <row r="2">
      <c r="A2" s="118" t="n"/>
      <c r="B2" s="119" t="inlineStr">
        <is>
          <t>Yandex</t>
        </is>
      </c>
      <c r="C2" s="120" t="inlineStr">
        <is>
          <t>Telegram</t>
        </is>
      </c>
      <c r="D2" s="119" t="inlineStr">
        <is>
          <t>Yandex</t>
        </is>
      </c>
      <c r="E2" s="120" t="inlineStr">
        <is>
          <t>Telegram</t>
        </is>
      </c>
      <c r="F2" s="119" t="inlineStr">
        <is>
          <t>Yandex</t>
        </is>
      </c>
      <c r="G2" s="120" t="inlineStr">
        <is>
          <t>Telegram</t>
        </is>
      </c>
      <c r="H2" s="119" t="inlineStr">
        <is>
          <t>Yandex</t>
        </is>
      </c>
      <c r="I2" s="120" t="inlineStr">
        <is>
          <t>Telegram</t>
        </is>
      </c>
      <c r="J2" s="119" t="inlineStr">
        <is>
          <t>Yandex</t>
        </is>
      </c>
      <c r="K2" s="120" t="inlineStr">
        <is>
          <t>Telegram</t>
        </is>
      </c>
      <c r="L2" s="119" t="inlineStr">
        <is>
          <t>Yandex</t>
        </is>
      </c>
      <c r="M2" s="120" t="inlineStr">
        <is>
          <t>Telegram</t>
        </is>
      </c>
      <c r="N2" s="119" t="inlineStr">
        <is>
          <t>Yandex</t>
        </is>
      </c>
      <c r="O2" s="120" t="inlineStr">
        <is>
          <t>Telegram</t>
        </is>
      </c>
    </row>
    <row r="3">
      <c r="A3" s="121" t="inlineStr">
        <is>
          <t>Бюджет</t>
        </is>
      </c>
      <c r="B3" s="122" t="n"/>
      <c r="C3" s="123" t="n"/>
      <c r="D3" s="122" t="n"/>
      <c r="E3" s="123" t="n"/>
      <c r="F3" s="122" t="n"/>
      <c r="G3" s="123" t="n"/>
      <c r="H3" s="122" t="n"/>
      <c r="I3" s="123" t="n"/>
      <c r="J3" s="122" t="n"/>
      <c r="K3" s="123" t="n"/>
      <c r="L3" s="122" t="n"/>
      <c r="M3" s="123" t="n"/>
      <c r="N3" s="122" t="n"/>
      <c r="O3" s="123" t="n"/>
    </row>
    <row r="4">
      <c r="A4" s="124" t="inlineStr">
        <is>
          <t>Клики</t>
        </is>
      </c>
      <c r="B4" s="125" t="n"/>
      <c r="C4" s="126" t="n"/>
      <c r="D4" s="125" t="n"/>
      <c r="E4" s="126" t="n"/>
      <c r="F4" s="125" t="n"/>
      <c r="G4" s="126" t="n"/>
      <c r="H4" s="125" t="n"/>
      <c r="I4" s="126" t="n"/>
      <c r="J4" s="125" t="n"/>
      <c r="K4" s="126" t="n"/>
      <c r="L4" s="125" t="n"/>
      <c r="M4" s="126" t="n"/>
      <c r="N4" s="125" t="n"/>
      <c r="O4" s="126" t="n"/>
    </row>
    <row r="5">
      <c r="A5" s="127" t="inlineStr">
        <is>
          <t>CPC</t>
        </is>
      </c>
      <c r="B5" s="128">
        <f>B3/B4</f>
        <v/>
      </c>
      <c r="C5" s="129">
        <f>C3/C4</f>
        <v/>
      </c>
      <c r="D5" s="128">
        <f>D3/D4</f>
        <v/>
      </c>
      <c r="E5" s="129">
        <f>E3/E4</f>
        <v/>
      </c>
      <c r="F5" s="128">
        <f>F3/F4</f>
        <v/>
      </c>
      <c r="G5" s="129">
        <f>G3/G4</f>
        <v/>
      </c>
      <c r="H5" s="128">
        <f>H3/H4</f>
        <v/>
      </c>
      <c r="I5" s="129">
        <f>I3/I4</f>
        <v/>
      </c>
      <c r="J5" s="128">
        <f>J3/J4</f>
        <v/>
      </c>
      <c r="K5" s="129">
        <f>K3/K4</f>
        <v/>
      </c>
      <c r="L5" s="128">
        <f>L3/L4</f>
        <v/>
      </c>
      <c r="M5" s="129">
        <f>M3/M4</f>
        <v/>
      </c>
      <c r="N5" s="128">
        <f>N3/N4</f>
        <v/>
      </c>
      <c r="O5" s="128">
        <f>O3/O4</f>
        <v/>
      </c>
    </row>
    <row r="6">
      <c r="A6" s="124" t="inlineStr">
        <is>
          <t>Заявки</t>
        </is>
      </c>
      <c r="B6" s="130" t="n"/>
      <c r="C6" s="131" t="n"/>
      <c r="D6" s="130" t="n"/>
      <c r="E6" s="131" t="n"/>
      <c r="F6" s="130" t="n"/>
      <c r="G6" s="131" t="n"/>
      <c r="H6" s="130" t="n"/>
      <c r="I6" s="131" t="n"/>
      <c r="J6" s="130" t="n"/>
      <c r="K6" s="131" t="n"/>
      <c r="L6" s="130" t="n"/>
      <c r="M6" s="131" t="n"/>
      <c r="N6" s="130" t="n"/>
      <c r="O6" s="131" t="n"/>
    </row>
    <row r="7">
      <c r="A7" s="132" t="inlineStr">
        <is>
          <t>CPL</t>
        </is>
      </c>
      <c r="B7" s="133">
        <f>B3/B6</f>
        <v/>
      </c>
      <c r="C7" s="134">
        <f>C3/C6</f>
        <v/>
      </c>
      <c r="D7" s="133">
        <f>D3/D6</f>
        <v/>
      </c>
      <c r="E7" s="134">
        <f>E3/E6</f>
        <v/>
      </c>
      <c r="F7" s="133">
        <f>F3/F6</f>
        <v/>
      </c>
      <c r="G7" s="134">
        <f>G3/G6</f>
        <v/>
      </c>
      <c r="H7" s="133">
        <f>H3/H6</f>
        <v/>
      </c>
      <c r="I7" s="134">
        <f>I3/I6</f>
        <v/>
      </c>
      <c r="J7" s="133">
        <f>J3/J6</f>
        <v/>
      </c>
      <c r="K7" s="134">
        <f>K3/K6</f>
        <v/>
      </c>
      <c r="L7" s="133">
        <f>L3/L6</f>
        <v/>
      </c>
      <c r="M7" s="134">
        <f>M3/M6</f>
        <v/>
      </c>
      <c r="N7" s="133">
        <f>N3/N6</f>
        <v/>
      </c>
      <c r="O7" s="134">
        <f>O3/O6</f>
        <v/>
      </c>
    </row>
    <row r="8">
      <c r="A8" s="127" t="inlineStr">
        <is>
          <t>CR клик –&gt; заявка</t>
        </is>
      </c>
      <c r="B8" s="135">
        <f>B6/B4</f>
        <v/>
      </c>
      <c r="C8" s="136">
        <f>C6/C4</f>
        <v/>
      </c>
      <c r="D8" s="135">
        <f>D6/D4</f>
        <v/>
      </c>
      <c r="E8" s="136">
        <f>E6/E4</f>
        <v/>
      </c>
      <c r="F8" s="135">
        <f>F6/F4</f>
        <v/>
      </c>
      <c r="G8" s="136">
        <f>G6/G4</f>
        <v/>
      </c>
      <c r="H8" s="135">
        <f>H6/H4</f>
        <v/>
      </c>
      <c r="I8" s="136">
        <f>I6/I4</f>
        <v/>
      </c>
      <c r="J8" s="135">
        <f>J6/J4</f>
        <v/>
      </c>
      <c r="K8" s="136">
        <f>K6/K4</f>
        <v/>
      </c>
      <c r="L8" s="135">
        <f>L6/L4</f>
        <v/>
      </c>
      <c r="M8" s="136">
        <f>M6/M4</f>
        <v/>
      </c>
      <c r="N8" s="135">
        <f>N6/N4</f>
        <v/>
      </c>
      <c r="O8" s="136">
        <f>O6/O4</f>
        <v/>
      </c>
    </row>
    <row r="9">
      <c r="A9" s="124" t="inlineStr">
        <is>
          <t>Квалифицировано</t>
        </is>
      </c>
      <c r="B9" s="137" t="n"/>
      <c r="C9" s="138" t="n"/>
      <c r="D9" s="137" t="n"/>
      <c r="E9" s="138" t="n"/>
      <c r="F9" s="137" t="n"/>
      <c r="G9" s="138" t="n"/>
      <c r="H9" s="137" t="n"/>
      <c r="I9" s="138" t="n"/>
      <c r="J9" s="137" t="n"/>
      <c r="K9" s="138" t="n"/>
      <c r="L9" s="137" t="n"/>
      <c r="M9" s="138" t="n"/>
      <c r="N9" s="137" t="n"/>
      <c r="O9" s="138" t="n"/>
    </row>
    <row r="10">
      <c r="A10" s="132" t="inlineStr">
        <is>
          <t>Стоимость квал заявки</t>
        </is>
      </c>
      <c r="B10" s="139">
        <f>#REF!/B9</f>
        <v/>
      </c>
      <c r="C10" s="140">
        <f>#REF!/C9</f>
        <v/>
      </c>
      <c r="D10" s="139">
        <f>#REF!/D9</f>
        <v/>
      </c>
      <c r="E10" s="140">
        <f>#REF!/E9</f>
        <v/>
      </c>
      <c r="F10" s="139">
        <f>#REF!/F9</f>
        <v/>
      </c>
      <c r="G10" s="140">
        <f>#REF!/G9</f>
        <v/>
      </c>
      <c r="H10" s="139">
        <f>#REF!/H9</f>
        <v/>
      </c>
      <c r="I10" s="140">
        <f>#REF!/I9</f>
        <v/>
      </c>
      <c r="J10" s="139">
        <f>#REF!/J9</f>
        <v/>
      </c>
      <c r="K10" s="140">
        <f>#REF!/K9</f>
        <v/>
      </c>
      <c r="L10" s="139">
        <f>#REF!/L9</f>
        <v/>
      </c>
      <c r="M10" s="140">
        <f>#REF!/M9</f>
        <v/>
      </c>
      <c r="N10" s="139">
        <f>#REF!/N9</f>
        <v/>
      </c>
      <c r="O10" s="140">
        <f>#REF!/O9</f>
        <v/>
      </c>
    </row>
    <row r="11">
      <c r="A11" s="127" t="inlineStr">
        <is>
          <t>CR заявка –&gt; квал заявка</t>
        </is>
      </c>
      <c r="B11" s="135">
        <f>B9/B3</f>
        <v/>
      </c>
      <c r="C11" s="136">
        <f>C9/C3</f>
        <v/>
      </c>
      <c r="D11" s="135">
        <f>D9/D3</f>
        <v/>
      </c>
      <c r="E11" s="136">
        <f>E9/E3</f>
        <v/>
      </c>
      <c r="F11" s="135">
        <f>F9/F3</f>
        <v/>
      </c>
      <c r="G11" s="136">
        <f>G9/G3</f>
        <v/>
      </c>
      <c r="H11" s="135">
        <f>H9/H3</f>
        <v/>
      </c>
      <c r="I11" s="136">
        <f>I9/I3</f>
        <v/>
      </c>
      <c r="J11" s="135">
        <f>J9/J3</f>
        <v/>
      </c>
      <c r="K11" s="136">
        <f>K9/K3</f>
        <v/>
      </c>
      <c r="L11" s="135">
        <f>L9/L3</f>
        <v/>
      </c>
      <c r="M11" s="136">
        <f>M9/M3</f>
        <v/>
      </c>
      <c r="N11" s="135">
        <f>N9/N3</f>
        <v/>
      </c>
      <c r="O11" s="136">
        <f>O9/O3</f>
        <v/>
      </c>
    </row>
    <row r="12">
      <c r="A12" s="124" t="inlineStr">
        <is>
          <t>Записи на ВУ</t>
        </is>
      </c>
      <c r="B12" s="137" t="n"/>
      <c r="C12" s="138" t="n"/>
      <c r="D12" s="137" t="n"/>
      <c r="E12" s="138" t="n"/>
      <c r="F12" s="137" t="n"/>
      <c r="G12" s="138" t="n"/>
      <c r="H12" s="137" t="n"/>
      <c r="I12" s="138" t="n"/>
      <c r="J12" s="137" t="n"/>
      <c r="K12" s="138" t="n"/>
      <c r="L12" s="137" t="n"/>
      <c r="M12" s="138" t="n"/>
      <c r="N12" s="137" t="n"/>
      <c r="O12" s="138" t="n"/>
    </row>
    <row r="13">
      <c r="A13" s="132" t="inlineStr">
        <is>
          <t>CPB</t>
        </is>
      </c>
      <c r="B13" s="133">
        <f>B3/B12</f>
        <v/>
      </c>
      <c r="C13" s="134">
        <f>C3/C12</f>
        <v/>
      </c>
      <c r="D13" s="133">
        <f>D3/D12</f>
        <v/>
      </c>
      <c r="E13" s="134">
        <f>E3/E12</f>
        <v/>
      </c>
      <c r="F13" s="133">
        <f>F3/F12</f>
        <v/>
      </c>
      <c r="G13" s="134">
        <f>G3/G12</f>
        <v/>
      </c>
      <c r="H13" s="133">
        <f>H3/H12</f>
        <v/>
      </c>
      <c r="I13" s="134">
        <f>I3/I12</f>
        <v/>
      </c>
      <c r="J13" s="133">
        <f>J3/J12</f>
        <v/>
      </c>
      <c r="K13" s="134">
        <f>K3/K12</f>
        <v/>
      </c>
      <c r="L13" s="133">
        <f>L3/L12</f>
        <v/>
      </c>
      <c r="M13" s="134">
        <f>M3/M12</f>
        <v/>
      </c>
      <c r="N13" s="133">
        <f>N3/N12</f>
        <v/>
      </c>
      <c r="O13" s="134">
        <f>O3/O12</f>
        <v/>
      </c>
    </row>
    <row r="14">
      <c r="A14" s="127" t="inlineStr">
        <is>
          <t>CR заявка –&gt; запись</t>
        </is>
      </c>
      <c r="B14" s="135">
        <f>B12/B6</f>
        <v/>
      </c>
      <c r="C14" s="136">
        <f>C12/C6</f>
        <v/>
      </c>
      <c r="D14" s="135">
        <f>D12/D6</f>
        <v/>
      </c>
      <c r="E14" s="136">
        <f>E12/E6</f>
        <v/>
      </c>
      <c r="F14" s="135">
        <f>F12/F6</f>
        <v/>
      </c>
      <c r="G14" s="136">
        <f>G12/G6</f>
        <v/>
      </c>
      <c r="H14" s="135">
        <f>H12/H6</f>
        <v/>
      </c>
      <c r="I14" s="136">
        <f>I12/I6</f>
        <v/>
      </c>
      <c r="J14" s="135">
        <f>J12/J6</f>
        <v/>
      </c>
      <c r="K14" s="136">
        <f>K12/K6</f>
        <v/>
      </c>
      <c r="L14" s="135">
        <f>L12/L6</f>
        <v/>
      </c>
      <c r="M14" s="136">
        <f>M12/M6</f>
        <v/>
      </c>
      <c r="N14" s="135">
        <f>N12/N6</f>
        <v/>
      </c>
      <c r="O14" s="136">
        <f>O12/O6</f>
        <v/>
      </c>
    </row>
    <row r="15">
      <c r="A15" s="124" t="inlineStr">
        <is>
          <t>Проведение ВУ</t>
        </is>
      </c>
      <c r="B15" s="137" t="n"/>
      <c r="C15" s="138" t="n"/>
      <c r="D15" s="137" t="n"/>
      <c r="E15" s="138" t="n"/>
      <c r="F15" s="137" t="n"/>
      <c r="G15" s="138" t="n"/>
      <c r="H15" s="137" t="n"/>
      <c r="I15" s="138" t="n"/>
      <c r="J15" s="137" t="n"/>
      <c r="K15" s="138" t="n"/>
      <c r="L15" s="137" t="n"/>
      <c r="M15" s="138" t="n"/>
      <c r="N15" s="137" t="n"/>
      <c r="O15" s="138" t="n"/>
    </row>
    <row r="16">
      <c r="A16" s="132" t="inlineStr">
        <is>
          <t>CPTC</t>
        </is>
      </c>
      <c r="B16" s="133">
        <f>B3/B15</f>
        <v/>
      </c>
      <c r="C16" s="134">
        <f>C3/C15</f>
        <v/>
      </c>
      <c r="D16" s="133">
        <f>D3/D15</f>
        <v/>
      </c>
      <c r="E16" s="134">
        <f>E3/E15</f>
        <v/>
      </c>
      <c r="F16" s="133">
        <f>F3/F15</f>
        <v/>
      </c>
      <c r="G16" s="134">
        <f>G3/G15</f>
        <v/>
      </c>
      <c r="H16" s="133">
        <f>H3/H15</f>
        <v/>
      </c>
      <c r="I16" s="134">
        <f>I3/I15</f>
        <v/>
      </c>
      <c r="J16" s="133">
        <f>J3/J15</f>
        <v/>
      </c>
      <c r="K16" s="134">
        <f>K3/K15</f>
        <v/>
      </c>
      <c r="L16" s="133">
        <f>L3/L15</f>
        <v/>
      </c>
      <c r="M16" s="134">
        <f>M3/M15</f>
        <v/>
      </c>
      <c r="N16" s="133">
        <f>N3/N15</f>
        <v/>
      </c>
      <c r="O16" s="134">
        <f>O3/O15</f>
        <v/>
      </c>
    </row>
    <row r="17">
      <c r="A17" s="127" t="inlineStr">
        <is>
          <t>CR записи –&gt; ВУ</t>
        </is>
      </c>
      <c r="B17" s="135">
        <f>B15/B12</f>
        <v/>
      </c>
      <c r="C17" s="136">
        <f>C15/C12</f>
        <v/>
      </c>
      <c r="D17" s="135">
        <f>D15/D12</f>
        <v/>
      </c>
      <c r="E17" s="136">
        <f>E15/E12</f>
        <v/>
      </c>
      <c r="F17" s="135">
        <f>F15/F12</f>
        <v/>
      </c>
      <c r="G17" s="136">
        <f>G15/G12</f>
        <v/>
      </c>
      <c r="H17" s="135">
        <f>H15/H12</f>
        <v/>
      </c>
      <c r="I17" s="136">
        <f>I15/I12</f>
        <v/>
      </c>
      <c r="J17" s="135">
        <f>J15/J12</f>
        <v/>
      </c>
      <c r="K17" s="136">
        <f>K15/K12</f>
        <v/>
      </c>
      <c r="L17" s="135">
        <f>L15/L12</f>
        <v/>
      </c>
      <c r="M17" s="136">
        <f>M15/M12</f>
        <v/>
      </c>
      <c r="N17" s="135">
        <f>N15/N12</f>
        <v/>
      </c>
      <c r="O17" s="136">
        <f>O15/O12</f>
        <v/>
      </c>
    </row>
    <row r="18">
      <c r="A18" s="124" t="inlineStr">
        <is>
          <t>Клиенты</t>
        </is>
      </c>
      <c r="B18" s="141" t="n"/>
      <c r="C18" s="142" t="n"/>
      <c r="D18" s="141" t="n"/>
      <c r="E18" s="142" t="n"/>
      <c r="F18" s="141" t="n"/>
      <c r="G18" s="142" t="n"/>
      <c r="H18" s="141" t="n"/>
      <c r="I18" s="142" t="n"/>
      <c r="J18" s="141" t="n"/>
      <c r="K18" s="142" t="n"/>
      <c r="L18" s="141" t="n"/>
      <c r="M18" s="142" t="n"/>
      <c r="N18" s="141" t="n"/>
      <c r="O18" s="142" t="n"/>
    </row>
    <row r="19">
      <c r="A19" s="132" t="inlineStr">
        <is>
          <t>C1</t>
        </is>
      </c>
      <c r="B19" s="143">
        <f>B18/B15</f>
        <v/>
      </c>
      <c r="C19" s="144">
        <f>C18/C15</f>
        <v/>
      </c>
      <c r="D19" s="143">
        <f>D18/D15</f>
        <v/>
      </c>
      <c r="E19" s="144">
        <f>E18/E15</f>
        <v/>
      </c>
      <c r="F19" s="143">
        <f>F18/F15</f>
        <v/>
      </c>
      <c r="G19" s="144">
        <f>G18/G15</f>
        <v/>
      </c>
      <c r="H19" s="143">
        <f>H18/H15</f>
        <v/>
      </c>
      <c r="I19" s="144">
        <f>I18/I15</f>
        <v/>
      </c>
      <c r="J19" s="143">
        <f>J18/J15</f>
        <v/>
      </c>
      <c r="K19" s="144">
        <f>K18/K15</f>
        <v/>
      </c>
      <c r="L19" s="143">
        <f>L18/L15</f>
        <v/>
      </c>
      <c r="M19" s="144">
        <f>M18/M15</f>
        <v/>
      </c>
      <c r="N19" s="143">
        <f>N18/N15</f>
        <v/>
      </c>
      <c r="O19" s="144">
        <f>O18/O15</f>
        <v/>
      </c>
    </row>
    <row r="20">
      <c r="A20" s="127" t="inlineStr">
        <is>
          <t>CMC</t>
        </is>
      </c>
      <c r="B20" s="145">
        <f>B3/B18</f>
        <v/>
      </c>
      <c r="C20" s="146">
        <f>C3/C18</f>
        <v/>
      </c>
      <c r="D20" s="145">
        <f>D3/D18</f>
        <v/>
      </c>
      <c r="E20" s="146">
        <f>E3/E18</f>
        <v/>
      </c>
      <c r="F20" s="145">
        <f>F3/F18</f>
        <v/>
      </c>
      <c r="G20" s="146">
        <f>G3/G18</f>
        <v/>
      </c>
      <c r="H20" s="145">
        <f>H3/H18</f>
        <v/>
      </c>
      <c r="I20" s="146">
        <f>I3/I18</f>
        <v/>
      </c>
      <c r="J20" s="145">
        <f>J3/J18</f>
        <v/>
      </c>
      <c r="K20" s="146">
        <f>K3/K18</f>
        <v/>
      </c>
      <c r="L20" s="145">
        <f>L3/L18</f>
        <v/>
      </c>
      <c r="M20" s="146">
        <f>M3/M18</f>
        <v/>
      </c>
      <c r="N20" s="145">
        <f>N3/N18</f>
        <v/>
      </c>
      <c r="O20" s="146">
        <f>O3/O18</f>
        <v/>
      </c>
    </row>
    <row r="21">
      <c r="A21" s="132" t="inlineStr">
        <is>
          <t>AOV</t>
        </is>
      </c>
      <c r="B21" s="133">
        <f>B22/B18</f>
        <v/>
      </c>
      <c r="C21" s="134">
        <f>C22/C18</f>
        <v/>
      </c>
      <c r="D21" s="133">
        <f>D22/D18</f>
        <v/>
      </c>
      <c r="E21" s="134">
        <f>E22/E18</f>
        <v/>
      </c>
      <c r="F21" s="133">
        <f>F22/F18</f>
        <v/>
      </c>
      <c r="G21" s="134">
        <f>G22/G18</f>
        <v/>
      </c>
      <c r="H21" s="133">
        <f>H22/H18</f>
        <v/>
      </c>
      <c r="I21" s="134">
        <f>I22/I18</f>
        <v/>
      </c>
      <c r="J21" s="133">
        <f>J22/J18</f>
        <v/>
      </c>
      <c r="K21" s="134">
        <f>K22/K18</f>
        <v/>
      </c>
      <c r="L21" s="133">
        <f>L22/L18</f>
        <v/>
      </c>
      <c r="M21" s="134">
        <f>M22/M18</f>
        <v/>
      </c>
      <c r="N21" s="133">
        <f>N22/N18</f>
        <v/>
      </c>
      <c r="O21" s="134">
        <f>O22/O18</f>
        <v/>
      </c>
    </row>
    <row r="22">
      <c r="A22" s="124" t="inlineStr">
        <is>
          <t>Revenue</t>
        </is>
      </c>
      <c r="B22" s="147" t="n"/>
      <c r="C22" s="148" t="n"/>
      <c r="D22" s="147" t="n"/>
      <c r="E22" s="148" t="n"/>
      <c r="F22" s="147" t="n"/>
      <c r="G22" s="148" t="n"/>
      <c r="H22" s="147" t="n"/>
      <c r="I22" s="148" t="n"/>
      <c r="J22" s="147" t="n"/>
      <c r="K22" s="148" t="n"/>
      <c r="L22" s="147" t="n"/>
      <c r="M22" s="148" t="n"/>
      <c r="N22" s="147" t="n"/>
      <c r="O22" s="148" t="n"/>
    </row>
    <row r="23">
      <c r="A23" s="127" t="inlineStr">
        <is>
          <t>AOV/CMC</t>
        </is>
      </c>
      <c r="B23" s="149">
        <f>B21/B20</f>
        <v/>
      </c>
      <c r="C23" s="150">
        <f>C21/C20</f>
        <v/>
      </c>
      <c r="D23" s="149">
        <f>D21/D20</f>
        <v/>
      </c>
      <c r="E23" s="150">
        <f>E21/E20</f>
        <v/>
      </c>
      <c r="F23" s="149">
        <f>F21/F20</f>
        <v/>
      </c>
      <c r="G23" s="150">
        <f>G21/G20</f>
        <v/>
      </c>
      <c r="H23" s="149">
        <f>H21/H20</f>
        <v/>
      </c>
      <c r="I23" s="150">
        <f>I21/I20</f>
        <v/>
      </c>
      <c r="J23" s="149">
        <f>J21/J20</f>
        <v/>
      </c>
      <c r="K23" s="150">
        <f>K21/K20</f>
        <v/>
      </c>
      <c r="L23" s="149">
        <f>L21/L20</f>
        <v/>
      </c>
      <c r="M23" s="150">
        <f>M21/M20</f>
        <v/>
      </c>
      <c r="N23" s="149">
        <f>N21/N20</f>
        <v/>
      </c>
      <c r="O23" s="150">
        <f>O21/O20</f>
        <v/>
      </c>
    </row>
  </sheetData>
  <mergeCells count="7">
    <mergeCell ref="D1:E1"/>
    <mergeCell ref="H1:I1"/>
    <mergeCell ref="L1:M1"/>
    <mergeCell ref="J1:K1"/>
    <mergeCell ref="F1:G1"/>
    <mergeCell ref="B1:C1"/>
    <mergeCell ref="N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I10"/>
  <sheetViews>
    <sheetView workbookViewId="0">
      <selection activeCell="A1" sqref="A1"/>
    </sheetView>
  </sheetViews>
  <sheetFormatPr baseColWidth="8" defaultColWidth="12.63" defaultRowHeight="15.75" customHeight="1"/>
  <cols>
    <col width="12" customWidth="1" style="207" min="1" max="1"/>
    <col width="17.75" customWidth="1" style="207" min="2" max="2"/>
    <col width="21.88" customWidth="1" style="207" min="6" max="6"/>
    <col width="64.5" customWidth="1" style="207" min="8" max="8"/>
    <col width="14.38" customWidth="1" style="207" min="12" max="12"/>
  </cols>
  <sheetData>
    <row r="1">
      <c r="A1" s="151" t="inlineStr">
        <is>
          <t xml:space="preserve">Дата </t>
        </is>
      </c>
      <c r="B1" s="151" t="inlineStr">
        <is>
          <t>Name</t>
        </is>
      </c>
      <c r="C1" s="151" t="inlineStr">
        <is>
          <t xml:space="preserve">Менеджер </t>
        </is>
      </c>
      <c r="D1" s="151" t="inlineStr">
        <is>
          <t>utm_source</t>
        </is>
      </c>
      <c r="E1" s="151" t="inlineStr">
        <is>
          <t>utm_medium</t>
        </is>
      </c>
      <c r="F1" s="151" t="inlineStr">
        <is>
          <t>utm_campaign</t>
        </is>
      </c>
      <c r="G1" s="151" t="inlineStr">
        <is>
          <t>utm_term</t>
        </is>
      </c>
      <c r="H1" s="160" t="inlineStr">
        <is>
          <t>Amo</t>
        </is>
      </c>
      <c r="I1" s="160" t="inlineStr">
        <is>
          <t>Комментарий</t>
        </is>
      </c>
    </row>
    <row r="2">
      <c r="A2" s="152" t="n">
        <v>45179</v>
      </c>
      <c r="B2" s="158" t="inlineStr">
        <is>
          <t>Наталья Голышева</t>
        </is>
      </c>
      <c r="C2" s="158" t="inlineStr">
        <is>
          <t>Захарченко Олег</t>
        </is>
      </c>
      <c r="D2" s="158" t="inlineStr">
        <is>
          <t>yandex</t>
        </is>
      </c>
      <c r="E2" s="158" t="inlineStr">
        <is>
          <t>cpc</t>
        </is>
      </c>
      <c r="F2" s="158" t="inlineStr">
        <is>
          <t>profprobi_prof</t>
        </is>
      </c>
      <c r="G2" s="158" t="inlineStr">
        <is>
          <t>---autotargeting</t>
        </is>
      </c>
      <c r="H2" s="155" t="inlineStr">
        <is>
          <t>https://amoprofilum.amocrm.ru/leads/detail/25818791?tab_id=leads_31761678193899</t>
        </is>
      </c>
    </row>
    <row r="3">
      <c r="A3" s="152" t="n">
        <v>45179</v>
      </c>
      <c r="B3" s="158" t="inlineStr">
        <is>
          <t>Светлана Ильяных</t>
        </is>
      </c>
      <c r="C3" s="158" t="inlineStr">
        <is>
          <t>Захарченко Олег</t>
        </is>
      </c>
      <c r="D3" s="158" t="inlineStr">
        <is>
          <t>yandex</t>
        </is>
      </c>
      <c r="E3" s="158" t="inlineStr">
        <is>
          <t>cpc</t>
        </is>
      </c>
      <c r="F3" s="158" t="inlineStr">
        <is>
          <t>profprobi_prof</t>
        </is>
      </c>
      <c r="G3" s="158" t="inlineStr">
        <is>
          <t>---autotargeting</t>
        </is>
      </c>
      <c r="H3" s="155" t="inlineStr">
        <is>
          <t>https://amoprofilum.amocrm.ru/leads/detail/25842857</t>
        </is>
      </c>
    </row>
    <row r="4">
      <c r="A4" s="152" t="n">
        <v>45182</v>
      </c>
      <c r="B4" s="158" t="inlineStr">
        <is>
          <t>Светлана</t>
        </is>
      </c>
      <c r="C4" s="158" t="inlineStr">
        <is>
          <t>Захарченко Олег</t>
        </is>
      </c>
      <c r="D4" s="158" t="inlineStr">
        <is>
          <t>offline</t>
        </is>
      </c>
      <c r="E4" s="158" t="n"/>
      <c r="F4" s="158" t="n"/>
      <c r="G4" s="158" t="n"/>
      <c r="H4" s="155" t="inlineStr">
        <is>
          <t>https://amoprofilum.amocrm.ru/leads/detail/25845601?tab_id=leads_31761678193899</t>
        </is>
      </c>
    </row>
    <row r="5">
      <c r="A5" s="156" t="n">
        <v>45184</v>
      </c>
      <c r="B5" s="160" t="inlineStr">
        <is>
          <t xml:space="preserve">Джамиля Борзая </t>
        </is>
      </c>
      <c r="C5" s="158" t="inlineStr">
        <is>
          <t>Захарченко Олег</t>
        </is>
      </c>
      <c r="D5" s="160" t="inlineStr">
        <is>
          <t>yandex</t>
        </is>
      </c>
      <c r="E5" s="160" t="inlineStr">
        <is>
          <t>cpc</t>
        </is>
      </c>
      <c r="F5" s="160" t="inlineStr">
        <is>
          <t>profprobi_it_program</t>
        </is>
      </c>
      <c r="G5" s="160" t="inlineStr">
        <is>
          <t>---autotargeting</t>
        </is>
      </c>
      <c r="H5" s="157" t="inlineStr">
        <is>
          <t>https://amoprofilum.amocrm.ru/leads/detail/25826989?tab_id=leads_31761678193899</t>
        </is>
      </c>
    </row>
    <row r="6">
      <c r="A6" s="152" t="n">
        <v>45185</v>
      </c>
      <c r="B6" s="158" t="inlineStr">
        <is>
          <t>Екатерина</t>
        </is>
      </c>
      <c r="C6" s="158" t="inlineStr">
        <is>
          <t>Захарченко Олег</t>
        </is>
      </c>
      <c r="D6" s="158" t="inlineStr">
        <is>
          <t>offline</t>
        </is>
      </c>
      <c r="E6" s="158" t="n"/>
      <c r="F6" s="158" t="n"/>
      <c r="G6" s="158" t="n"/>
      <c r="H6" s="159" t="inlineStr">
        <is>
          <t>https://amoprofilum.amocrm.ru/leads/detail/25850133</t>
        </is>
      </c>
    </row>
    <row r="7">
      <c r="A7" s="156" t="n">
        <v>45187</v>
      </c>
      <c r="B7" s="160" t="inlineStr">
        <is>
          <t>Анна Романова</t>
        </is>
      </c>
      <c r="C7" s="158" t="inlineStr">
        <is>
          <t>Захарченко Олег</t>
        </is>
      </c>
      <c r="D7" s="160" t="inlineStr">
        <is>
          <t>organic</t>
        </is>
      </c>
      <c r="H7" s="157" t="inlineStr">
        <is>
          <t>https://amoprofilum.amocrm.ru/leads/detail/25850609</t>
        </is>
      </c>
      <c r="I7" s="160" t="inlineStr">
        <is>
          <t xml:space="preserve">Нет меток </t>
        </is>
      </c>
    </row>
    <row r="8">
      <c r="A8" s="156" t="n"/>
    </row>
    <row r="9">
      <c r="A9" s="156" t="n"/>
    </row>
    <row r="10">
      <c r="A10" s="156" t="n"/>
    </row>
  </sheetData>
  <autoFilter ref="$A$1:$H$1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A86E8"/>
    <outlinePr summaryBelow="0" summaryRight="0"/>
    <pageSetUpPr/>
  </sheetPr>
  <dimension ref="A1:R52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38" customWidth="1" style="207" min="2" max="2"/>
    <col width="8.5" customWidth="1" style="207" min="3" max="3"/>
    <col width="38.38" customWidth="1" style="207" min="4" max="4"/>
    <col width="10.63" customWidth="1" style="207" min="5" max="5"/>
    <col width="8.880000000000001" customWidth="1" style="207" min="6" max="6"/>
    <col width="8" customWidth="1" style="207" min="7" max="7"/>
    <col width="34.5" customWidth="1" style="207" min="8" max="8"/>
    <col width="8" customWidth="1" style="207" min="9" max="9"/>
    <col width="8.130000000000001" customWidth="1" style="207" min="10" max="10"/>
    <col width="9.380000000000001" customWidth="1" style="207" min="11" max="11"/>
    <col width="45.25" customWidth="1" style="207" min="12" max="12"/>
    <col width="5.75" customWidth="1" style="207" min="13" max="13"/>
  </cols>
  <sheetData>
    <row r="1">
      <c r="A1" s="161" t="n"/>
      <c r="B1" s="161" t="n"/>
      <c r="C1" s="161" t="n"/>
      <c r="D1" s="161" t="n"/>
      <c r="E1" s="161" t="n"/>
      <c r="F1" s="161" t="n"/>
      <c r="G1" s="161" t="n"/>
      <c r="H1" s="161" t="n"/>
      <c r="I1" s="161" t="n"/>
      <c r="J1" s="161" t="n"/>
      <c r="K1" s="161" t="n"/>
      <c r="L1" s="161" t="n"/>
      <c r="M1" s="161" t="n"/>
      <c r="N1" s="162" t="n"/>
      <c r="O1" s="162" t="n"/>
      <c r="P1" s="162" t="n"/>
      <c r="Q1" s="162" t="n"/>
      <c r="R1" s="162" t="n"/>
    </row>
    <row r="2">
      <c r="A2" s="161" t="n"/>
      <c r="B2" s="163" t="n"/>
      <c r="C2" s="163" t="n"/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2" t="n"/>
      <c r="O2" s="162" t="n"/>
      <c r="P2" s="162" t="n"/>
      <c r="Q2" s="162" t="n"/>
      <c r="R2" s="162" t="n"/>
    </row>
    <row r="3">
      <c r="A3" s="161" t="n"/>
      <c r="B3" s="164" t="n"/>
      <c r="C3" s="164" t="n"/>
      <c r="D3" s="161" t="n"/>
      <c r="E3" s="161" t="n"/>
      <c r="F3" s="165" t="inlineStr">
        <is>
          <t xml:space="preserve">Аналитика по причине отказа </t>
        </is>
      </c>
      <c r="G3" s="166" t="n"/>
      <c r="H3" s="166" t="n"/>
      <c r="I3" s="161" t="n"/>
      <c r="J3" s="161" t="n"/>
      <c r="K3" s="161" t="n"/>
      <c r="L3" s="161" t="n"/>
      <c r="M3" s="161" t="n"/>
      <c r="N3" s="162" t="n"/>
      <c r="O3" s="167" t="inlineStr">
        <is>
          <t>За весь срок реализации</t>
        </is>
      </c>
      <c r="P3" s="162" t="n"/>
      <c r="Q3" s="162" t="n"/>
      <c r="R3" s="162" t="n"/>
    </row>
    <row r="4" ht="17.25" customHeight="1" s="207">
      <c r="A4" s="161" t="n"/>
      <c r="B4" s="161" t="n"/>
      <c r="C4" s="161" t="n"/>
      <c r="D4" s="161" t="n"/>
      <c r="E4" s="161" t="n"/>
      <c r="F4" s="161" t="n"/>
      <c r="G4" s="161" t="n"/>
      <c r="H4" s="161" t="n"/>
      <c r="I4" s="161" t="n"/>
      <c r="J4" s="161" t="n"/>
      <c r="K4" s="161" t="n"/>
      <c r="L4" s="161" t="n"/>
      <c r="M4" s="161" t="n"/>
      <c r="N4" s="162" t="n"/>
      <c r="O4" s="162" t="n"/>
      <c r="P4" s="162" t="n"/>
      <c r="Q4" s="162" t="n"/>
      <c r="R4" s="162" t="n"/>
    </row>
    <row r="5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69" t="n"/>
      <c r="O5" s="169" t="n"/>
      <c r="P5" s="169" t="n"/>
      <c r="Q5" s="169" t="n"/>
      <c r="R5" s="169" t="n"/>
    </row>
    <row r="6">
      <c r="A6" s="180" t="n"/>
      <c r="B6" s="170" t="n"/>
      <c r="C6" s="170" t="inlineStr">
        <is>
          <t>кол-во</t>
        </is>
      </c>
      <c r="D6" s="171" t="inlineStr">
        <is>
          <t>Воронка сентябрь факт</t>
        </is>
      </c>
      <c r="E6" s="173" t="inlineStr">
        <is>
          <t>CR %</t>
        </is>
      </c>
      <c r="F6" s="173" t="inlineStr">
        <is>
          <t>CR %</t>
        </is>
      </c>
      <c r="G6" s="180" t="n"/>
      <c r="H6" s="180" t="n"/>
      <c r="I6" s="180" t="n"/>
      <c r="J6" s="180" t="n"/>
      <c r="K6" s="180" t="n"/>
      <c r="L6" s="180" t="n"/>
      <c r="M6" s="180" t="n"/>
      <c r="N6" s="169" t="n"/>
      <c r="O6" s="169" t="n"/>
      <c r="P6" s="169" t="n"/>
      <c r="Q6" s="169" t="n"/>
      <c r="R6" s="169" t="n"/>
    </row>
    <row r="7">
      <c r="A7" s="180" t="n"/>
      <c r="B7" s="173">
        <f>'Вычисления'!A63</f>
        <v/>
      </c>
      <c r="C7" s="174">
        <f>'Вычисления'!B63</f>
        <v/>
      </c>
      <c r="D7" s="175">
        <f>REPT("I",'Вычисления'!B63/6)</f>
        <v/>
      </c>
      <c r="E7" s="173" t="n">
        <v>100</v>
      </c>
      <c r="F7" s="173" t="n">
        <v>100</v>
      </c>
      <c r="G7" s="180" t="n"/>
      <c r="H7" s="180" t="n"/>
      <c r="I7" s="180" t="n"/>
      <c r="J7" s="180" t="n"/>
      <c r="K7" s="180" t="n"/>
      <c r="L7" s="180" t="n"/>
      <c r="M7" s="180" t="n"/>
      <c r="N7" s="169" t="n"/>
      <c r="O7" s="169" t="n"/>
      <c r="P7" s="169" t="n"/>
      <c r="Q7" s="169" t="n"/>
      <c r="R7" s="169" t="n"/>
    </row>
    <row r="8">
      <c r="A8" s="180" t="n"/>
      <c r="B8" s="173">
        <f>'Вычисления'!A64</f>
        <v/>
      </c>
      <c r="C8" s="176">
        <f>'Вычисления'!B64</f>
        <v/>
      </c>
      <c r="D8" s="175">
        <f>REPT("I",'Вычисления'!B64/6)</f>
        <v/>
      </c>
      <c r="E8" s="177">
        <f>'Вычисления'!C64</f>
        <v/>
      </c>
      <c r="F8" s="178">
        <f>'Вычисления'!B64</f>
        <v/>
      </c>
      <c r="G8" s="180" t="n"/>
      <c r="H8" s="180" t="n"/>
      <c r="I8" s="180" t="n"/>
      <c r="J8" s="180" t="n"/>
      <c r="K8" s="180" t="n"/>
      <c r="L8" s="180" t="n"/>
      <c r="M8" s="180" t="n"/>
      <c r="N8" s="169" t="n"/>
      <c r="O8" s="169" t="n"/>
      <c r="P8" s="169" t="n"/>
      <c r="Q8" s="169" t="n"/>
      <c r="R8" s="169" t="n"/>
    </row>
    <row r="9">
      <c r="A9" s="180" t="n"/>
      <c r="B9" s="173">
        <f>'Вычисления'!A65</f>
        <v/>
      </c>
      <c r="C9" s="176">
        <f>'Вычисления'!B65</f>
        <v/>
      </c>
      <c r="D9" s="175">
        <f>REPT("I",'Вычисления'!B65/6)</f>
        <v/>
      </c>
      <c r="E9" s="179">
        <f>'Вычисления'!C65</f>
        <v/>
      </c>
      <c r="F9" s="178">
        <f>'Вычисления'!B65</f>
        <v/>
      </c>
      <c r="G9" s="180" t="n"/>
      <c r="H9" s="180" t="n"/>
      <c r="I9" s="180" t="n"/>
      <c r="J9" s="180" t="n"/>
      <c r="K9" s="180" t="n"/>
      <c r="L9" s="180" t="n"/>
      <c r="M9" s="180" t="n"/>
      <c r="N9" s="169" t="n"/>
      <c r="O9" s="169" t="n"/>
      <c r="P9" s="169" t="n"/>
      <c r="Q9" s="169" t="n"/>
      <c r="R9" s="169" t="n"/>
    </row>
    <row r="10">
      <c r="A10" s="180" t="n"/>
      <c r="B10" s="173">
        <f>'Вычисления'!A66</f>
        <v/>
      </c>
      <c r="C10" s="176">
        <f>'Вычисления'!B66</f>
        <v/>
      </c>
      <c r="D10" s="175">
        <f>REPT("I",'Вычисления'!B66/6)</f>
        <v/>
      </c>
      <c r="E10" s="177">
        <f>'Вычисления'!C66</f>
        <v/>
      </c>
      <c r="F10" s="178">
        <f>'Вычисления'!B66</f>
        <v/>
      </c>
      <c r="G10" s="180" t="inlineStr">
        <is>
          <t>Выручка</t>
        </is>
      </c>
      <c r="H10" s="180" t="n"/>
      <c r="I10" s="180" t="n"/>
      <c r="J10" s="180" t="n"/>
      <c r="K10" s="180" t="n"/>
      <c r="L10" s="180" t="n"/>
      <c r="M10" s="180" t="n"/>
      <c r="N10" s="169" t="n"/>
      <c r="O10" s="169" t="n"/>
      <c r="P10" s="169" t="n"/>
      <c r="Q10" s="169" t="n"/>
      <c r="R10" s="169" t="n"/>
    </row>
    <row r="11">
      <c r="A11" s="180" t="n"/>
      <c r="B11" s="173">
        <f>'Вычисления'!A67</f>
        <v/>
      </c>
      <c r="C11" s="176">
        <f>'Вычисления'!B67</f>
        <v/>
      </c>
      <c r="D11" s="175">
        <f>REPT("I",'Вычисления'!B67/6)</f>
        <v/>
      </c>
      <c r="E11" s="179">
        <f>'Вычисления'!C67</f>
        <v/>
      </c>
      <c r="F11" s="178">
        <f>'Вычисления'!B67</f>
        <v/>
      </c>
      <c r="G11" s="180" t="n"/>
      <c r="H11" s="180" t="n"/>
      <c r="I11" s="180" t="n"/>
      <c r="J11" s="180" t="n"/>
      <c r="K11" s="180" t="n"/>
      <c r="L11" s="180" t="n"/>
      <c r="M11" s="180" t="n"/>
      <c r="N11" s="169" t="n"/>
      <c r="O11" s="169" t="n"/>
      <c r="P11" s="169" t="n"/>
      <c r="Q11" s="169" t="n"/>
      <c r="R11" s="169" t="n"/>
    </row>
    <row r="12">
      <c r="A12" s="180" t="n"/>
      <c r="B12" s="181" t="n"/>
      <c r="C12" s="181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69" t="n"/>
      <c r="O12" s="169" t="n"/>
      <c r="P12" s="169" t="n"/>
      <c r="Q12" s="169" t="n"/>
      <c r="R12" s="169" t="n"/>
    </row>
    <row r="13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69" t="n"/>
      <c r="O13" s="169" t="n"/>
      <c r="P13" s="169" t="n"/>
      <c r="Q13" s="169" t="n"/>
      <c r="R13" s="169" t="n"/>
    </row>
    <row r="14">
      <c r="A14" s="180" t="n"/>
      <c r="B14" s="170" t="n"/>
      <c r="C14" s="170" t="inlineStr">
        <is>
          <t>кол-во</t>
        </is>
      </c>
      <c r="D14" s="171" t="inlineStr">
        <is>
          <t>Воронка октябрь факт</t>
        </is>
      </c>
      <c r="E14" s="182" t="inlineStr">
        <is>
          <t>CR % факт</t>
        </is>
      </c>
      <c r="F14" s="182" t="inlineStr">
        <is>
          <t>CR % план</t>
        </is>
      </c>
      <c r="G14" s="180" t="n"/>
      <c r="H14" s="180" t="n"/>
      <c r="I14" s="180" t="n"/>
      <c r="J14" s="180" t="n"/>
      <c r="K14" s="180" t="n"/>
      <c r="L14" s="180" t="n"/>
      <c r="M14" s="180" t="n"/>
      <c r="N14" s="169" t="n"/>
      <c r="O14" s="169" t="n"/>
      <c r="P14" s="169" t="n"/>
      <c r="Q14" s="169" t="n"/>
      <c r="R14" s="169" t="n"/>
    </row>
    <row r="15">
      <c r="A15" s="180" t="n"/>
      <c r="B15" s="173" t="inlineStr">
        <is>
          <t>сделки</t>
        </is>
      </c>
      <c r="C15" s="174">
        <f>'Вычисления'!B70</f>
        <v/>
      </c>
      <c r="D15" s="175">
        <f>REPT("I",'Вычисления'!B70/3)</f>
        <v/>
      </c>
      <c r="E15" s="184" t="n">
        <v>1</v>
      </c>
      <c r="F15" s="184">
        <f>'Вычисления'!E70</f>
        <v/>
      </c>
      <c r="G15" s="180" t="n"/>
      <c r="H15" s="180" t="n"/>
      <c r="I15" s="180" t="n"/>
      <c r="J15" s="180" t="n"/>
      <c r="K15" s="180" t="n"/>
      <c r="L15" s="180" t="n"/>
      <c r="M15" s="180" t="n"/>
      <c r="N15" s="169" t="n"/>
      <c r="O15" s="169" t="n"/>
      <c r="P15" s="169" t="n"/>
      <c r="Q15" s="169" t="n"/>
      <c r="R15" s="169" t="n"/>
    </row>
    <row r="16">
      <c r="A16" s="180" t="n"/>
      <c r="B16" s="173" t="inlineStr">
        <is>
          <t>квалифицировано</t>
        </is>
      </c>
      <c r="C16" s="174">
        <f>'Вычисления'!B71</f>
        <v/>
      </c>
      <c r="D16" s="175">
        <f>REPT("I",'Вычисления'!B71/3)</f>
        <v/>
      </c>
      <c r="E16" s="184">
        <f>'Вычисления'!C71</f>
        <v/>
      </c>
      <c r="F16" s="184">
        <f>'Вычисления'!E71</f>
        <v/>
      </c>
      <c r="G16" s="180" t="n"/>
      <c r="H16" s="180" t="n"/>
      <c r="I16" s="180" t="n"/>
      <c r="J16" s="180" t="n"/>
      <c r="K16" s="180" t="n"/>
      <c r="L16" s="180" t="n"/>
      <c r="M16" s="180" t="n"/>
      <c r="N16" s="169" t="n"/>
      <c r="O16" s="169" t="n"/>
      <c r="P16" s="169" t="n"/>
      <c r="Q16" s="169" t="n"/>
      <c r="R16" s="169" t="n"/>
    </row>
    <row r="17">
      <c r="A17" s="180" t="n"/>
      <c r="B17" s="173" t="inlineStr">
        <is>
          <t>назначено ВУ</t>
        </is>
      </c>
      <c r="C17" s="174">
        <f>'Вычисления'!B72</f>
        <v/>
      </c>
      <c r="D17" s="175">
        <f>REPT("I",'Вычисления'!B72/3)</f>
        <v/>
      </c>
      <c r="E17" s="177">
        <f>'Вычисления'!C72</f>
        <v/>
      </c>
      <c r="F17" s="184">
        <f>'Вычисления'!E72</f>
        <v/>
      </c>
      <c r="G17" s="180" t="n"/>
      <c r="H17" s="180" t="n"/>
      <c r="I17" s="180" t="n"/>
      <c r="J17" s="180" t="n"/>
      <c r="K17" s="180" t="n"/>
      <c r="L17" s="180" t="n"/>
      <c r="M17" s="180" t="n"/>
      <c r="N17" s="169" t="n"/>
      <c r="O17" s="169" t="n"/>
      <c r="P17" s="169" t="n"/>
      <c r="Q17" s="169" t="n"/>
      <c r="R17" s="169" t="n"/>
    </row>
    <row r="18">
      <c r="A18" s="180" t="n"/>
      <c r="B18" s="173" t="inlineStr">
        <is>
          <t>ВУ состоялось</t>
        </is>
      </c>
      <c r="C18" s="174">
        <f>'Вычисления'!B73</f>
        <v/>
      </c>
      <c r="D18" s="175">
        <f>REPT("I",'Вычисления'!B73/3)</f>
        <v/>
      </c>
      <c r="E18" s="179">
        <f>'Вычисления'!C73</f>
        <v/>
      </c>
      <c r="F18" s="184">
        <f>'Вычисления'!E73</f>
        <v/>
      </c>
      <c r="G18" s="180" t="inlineStr">
        <is>
          <t>Выручка</t>
        </is>
      </c>
      <c r="H18" s="180" t="n"/>
      <c r="I18" s="180" t="n"/>
      <c r="J18" s="180" t="n"/>
      <c r="K18" s="180" t="n"/>
      <c r="L18" s="180" t="n"/>
      <c r="M18" s="180" t="n"/>
      <c r="N18" s="169" t="n"/>
      <c r="O18" s="169" t="n"/>
      <c r="P18" s="169" t="n"/>
      <c r="Q18" s="169" t="n"/>
      <c r="R18" s="169" t="n"/>
    </row>
    <row r="19">
      <c r="A19" s="180" t="n"/>
      <c r="B19" s="173" t="inlineStr">
        <is>
          <t>Оплат</t>
        </is>
      </c>
      <c r="C19" s="174">
        <f>'Вычисления'!B74</f>
        <v/>
      </c>
      <c r="D19" s="175">
        <f>REPT("I",'Вычисления'!B74)</f>
        <v/>
      </c>
      <c r="E19" s="185">
        <f>'Вычисления'!C74</f>
        <v/>
      </c>
      <c r="F19" s="184">
        <f>'Вычисления'!E74</f>
        <v/>
      </c>
      <c r="G19" s="180" t="n"/>
      <c r="H19" s="180" t="n"/>
      <c r="I19" s="180" t="n"/>
      <c r="J19" s="180" t="n"/>
      <c r="K19" s="180" t="n"/>
      <c r="L19" s="180" t="n"/>
      <c r="M19" s="180" t="n"/>
      <c r="N19" s="169" t="n"/>
      <c r="O19" s="169" t="n"/>
      <c r="P19" s="169" t="n"/>
      <c r="Q19" s="169" t="n"/>
      <c r="R19" s="169" t="n"/>
    </row>
    <row r="20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69" t="n"/>
      <c r="O20" s="169" t="n"/>
      <c r="P20" s="169" t="n"/>
      <c r="Q20" s="169" t="n"/>
      <c r="R20" s="169" t="n"/>
    </row>
    <row r="2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69" t="n"/>
      <c r="O21" s="169" t="n"/>
      <c r="P21" s="169" t="n"/>
      <c r="Q21" s="169" t="n"/>
      <c r="R21" s="169" t="n"/>
    </row>
    <row r="22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69" t="n"/>
      <c r="O22" s="169" t="n"/>
      <c r="P22" s="169" t="n"/>
      <c r="Q22" s="169" t="n"/>
      <c r="R22" s="169" t="n"/>
    </row>
    <row r="23">
      <c r="A23" s="180" t="n"/>
      <c r="B23" s="170" t="n"/>
      <c r="C23" s="170" t="inlineStr">
        <is>
          <t>кол-во</t>
        </is>
      </c>
      <c r="D23" s="171" t="inlineStr">
        <is>
          <t>Воронка 03.11-30.11 факт</t>
        </is>
      </c>
      <c r="E23" s="182" t="inlineStr">
        <is>
          <t>CR % факт</t>
        </is>
      </c>
      <c r="F23" s="182" t="inlineStr">
        <is>
          <t>CR % план</t>
        </is>
      </c>
      <c r="G23" s="180" t="n"/>
      <c r="H23" s="180" t="n"/>
      <c r="I23" s="180" t="n"/>
      <c r="J23" s="180" t="n"/>
      <c r="K23" s="180" t="n"/>
      <c r="L23" s="180" t="n"/>
      <c r="M23" s="180" t="n"/>
      <c r="N23" s="169" t="n"/>
      <c r="O23" s="169" t="n"/>
      <c r="P23" s="169" t="n"/>
      <c r="Q23" s="169" t="n"/>
      <c r="R23" s="169" t="n"/>
    </row>
    <row r="24">
      <c r="A24" s="180" t="n"/>
      <c r="B24" s="173" t="inlineStr">
        <is>
          <t>сделки</t>
        </is>
      </c>
      <c r="C24" s="170" t="n">
        <v>723</v>
      </c>
      <c r="D24" s="175">
        <f>REPT("I",C24/5)</f>
        <v/>
      </c>
      <c r="E24" s="184" t="n">
        <v>1</v>
      </c>
      <c r="F24" s="184" t="n">
        <v>1</v>
      </c>
      <c r="G24" s="180" t="n"/>
      <c r="H24" s="180" t="n"/>
      <c r="I24" s="180" t="n"/>
      <c r="J24" s="180" t="n"/>
      <c r="K24" s="180" t="n"/>
      <c r="L24" s="180" t="n"/>
      <c r="M24" s="180" t="n"/>
      <c r="N24" s="169" t="n"/>
      <c r="O24" s="169" t="n"/>
      <c r="P24" s="169" t="n"/>
      <c r="Q24" s="169" t="n"/>
      <c r="R24" s="169" t="n"/>
    </row>
    <row r="25">
      <c r="A25" s="180" t="n"/>
      <c r="B25" s="173" t="inlineStr">
        <is>
          <t>квалифицировано</t>
        </is>
      </c>
      <c r="C25" s="170" t="n">
        <v>573</v>
      </c>
      <c r="D25" s="175">
        <f>REPT("I",C25/5)</f>
        <v/>
      </c>
      <c r="E25" s="184">
        <f>C25/C24</f>
        <v/>
      </c>
      <c r="F25" s="184">
        <f>'Sales PnL(архив)'!AA8</f>
        <v/>
      </c>
      <c r="G25" s="180" t="n"/>
      <c r="H25" s="180" t="n"/>
      <c r="I25" s="180" t="n"/>
      <c r="J25" s="180" t="n"/>
      <c r="K25" s="180" t="n"/>
      <c r="L25" s="180" t="n"/>
      <c r="M25" s="180" t="n"/>
      <c r="N25" s="169" t="n"/>
      <c r="O25" s="169" t="n"/>
      <c r="P25" s="169" t="n"/>
      <c r="Q25" s="169" t="n"/>
      <c r="R25" s="169" t="n"/>
    </row>
    <row r="26">
      <c r="A26" s="180" t="n"/>
      <c r="B26" s="173" t="inlineStr">
        <is>
          <t>назначено ВУ</t>
        </is>
      </c>
      <c r="C26" s="170" t="n">
        <v>179</v>
      </c>
      <c r="D26" s="175">
        <f>REPT("I",C26/5)</f>
        <v/>
      </c>
      <c r="E26" s="179">
        <f>C26/C25</f>
        <v/>
      </c>
      <c r="F26" s="184">
        <f>'Sales PnL(архив)'!AA10</f>
        <v/>
      </c>
      <c r="G26" s="180" t="n"/>
      <c r="H26" s="180" t="n"/>
      <c r="I26" s="180" t="n"/>
      <c r="J26" s="180" t="n"/>
      <c r="K26" s="180" t="n"/>
      <c r="L26" s="180" t="n"/>
      <c r="M26" s="180" t="n"/>
      <c r="N26" s="169" t="n"/>
      <c r="O26" s="169" t="n"/>
      <c r="P26" s="169" t="n"/>
      <c r="Q26" s="169" t="n"/>
      <c r="R26" s="169" t="n"/>
    </row>
    <row r="27">
      <c r="A27" s="180" t="n"/>
      <c r="B27" s="173" t="inlineStr">
        <is>
          <t>ВУ состоялось</t>
        </is>
      </c>
      <c r="C27" s="170" t="n">
        <v>74</v>
      </c>
      <c r="D27" s="175">
        <f>REPT("I",C27/5)</f>
        <v/>
      </c>
      <c r="E27" s="179">
        <f>C27/C26</f>
        <v/>
      </c>
      <c r="F27" s="184">
        <f>'Sales PnL(архив)'!AA13</f>
        <v/>
      </c>
      <c r="G27" s="180" t="inlineStr">
        <is>
          <t>Выручка</t>
        </is>
      </c>
      <c r="H27" s="180" t="n"/>
      <c r="I27" s="180" t="n"/>
      <c r="J27" s="180" t="n"/>
      <c r="K27" s="180" t="n"/>
      <c r="L27" s="180" t="n"/>
      <c r="M27" s="180" t="n"/>
      <c r="N27" s="169" t="n"/>
      <c r="O27" s="169" t="n"/>
      <c r="P27" s="169" t="n"/>
      <c r="Q27" s="169" t="n"/>
      <c r="R27" s="169" t="n"/>
    </row>
    <row r="28">
      <c r="A28" s="180" t="n"/>
      <c r="B28" s="173" t="inlineStr">
        <is>
          <t>Оплат</t>
        </is>
      </c>
      <c r="C28" s="170" t="n">
        <v>3</v>
      </c>
      <c r="D28" s="175">
        <f>REPT("I",C28/3)</f>
        <v/>
      </c>
      <c r="E28" s="179">
        <f>C28/C27</f>
        <v/>
      </c>
      <c r="F28" s="184">
        <f>'Sales PnL(архив)'!AA16</f>
        <v/>
      </c>
      <c r="G28" s="180" t="n"/>
      <c r="H28" s="180" t="n"/>
      <c r="I28" s="180" t="n"/>
      <c r="J28" s="180" t="n"/>
      <c r="K28" s="180" t="n"/>
      <c r="L28" s="180" t="n"/>
      <c r="M28" s="180" t="n"/>
      <c r="N28" s="169" t="n"/>
      <c r="O28" s="169" t="n"/>
      <c r="P28" s="169" t="n"/>
      <c r="Q28" s="169" t="n"/>
      <c r="R28" s="169" t="n"/>
    </row>
    <row r="29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69" t="n"/>
      <c r="O29" s="169" t="n"/>
      <c r="P29" s="169" t="n"/>
      <c r="Q29" s="169" t="n"/>
      <c r="R29" s="169" t="n"/>
    </row>
    <row r="30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69" t="n"/>
      <c r="O30" s="169" t="n"/>
      <c r="P30" s="169" t="n"/>
      <c r="Q30" s="169" t="n"/>
      <c r="R30" s="169" t="n"/>
    </row>
    <row r="3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69" t="n"/>
      <c r="O31" s="169" t="n"/>
      <c r="P31" s="169" t="n"/>
      <c r="Q31" s="169" t="n"/>
      <c r="R31" s="169" t="n"/>
    </row>
    <row r="32">
      <c r="A32" s="180" t="n"/>
      <c r="B32" s="180" t="n"/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69" t="n"/>
      <c r="O32" s="169" t="n"/>
      <c r="P32" s="169" t="n"/>
      <c r="Q32" s="169" t="n"/>
      <c r="R32" s="169" t="n"/>
    </row>
    <row r="33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69" t="n"/>
      <c r="O33" s="169" t="n"/>
      <c r="P33" s="169" t="n"/>
      <c r="Q33" s="169" t="n"/>
      <c r="R33" s="169" t="n"/>
    </row>
    <row r="34">
      <c r="A34" s="180" t="n"/>
      <c r="B34" s="180" t="n"/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69" t="n"/>
      <c r="O34" s="169" t="n"/>
      <c r="P34" s="169" t="n"/>
      <c r="Q34" s="169" t="n"/>
      <c r="R34" s="169" t="n"/>
    </row>
    <row r="35">
      <c r="A35" s="180" t="n"/>
      <c r="B35" s="180" t="n"/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69" t="n"/>
      <c r="O35" s="169" t="n"/>
      <c r="P35" s="169" t="n"/>
      <c r="Q35" s="169" t="n"/>
      <c r="R35" s="169" t="n"/>
    </row>
    <row r="36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69" t="n"/>
      <c r="O36" s="169" t="n"/>
      <c r="P36" s="169" t="n"/>
      <c r="Q36" s="169" t="n"/>
      <c r="R36" s="169" t="n"/>
    </row>
    <row r="37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69" t="n"/>
      <c r="O37" s="169" t="n"/>
      <c r="P37" s="169" t="n"/>
      <c r="Q37" s="169" t="n"/>
      <c r="R37" s="169" t="n"/>
    </row>
    <row r="38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69" t="n"/>
      <c r="O38" s="169" t="n"/>
      <c r="P38" s="169" t="n"/>
      <c r="Q38" s="169" t="n"/>
      <c r="R38" s="169" t="n"/>
    </row>
    <row r="39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69" t="n"/>
      <c r="O39" s="169" t="n"/>
      <c r="P39" s="169" t="n"/>
      <c r="Q39" s="169" t="n"/>
      <c r="R39" s="169" t="n"/>
    </row>
    <row r="40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69" t="n"/>
      <c r="O40" s="169" t="n"/>
      <c r="P40" s="169" t="n"/>
      <c r="Q40" s="169" t="n"/>
      <c r="R40" s="169" t="n"/>
    </row>
    <row r="4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69" t="n"/>
      <c r="O41" s="169" t="n"/>
      <c r="P41" s="169" t="n"/>
      <c r="Q41" s="169" t="n"/>
      <c r="R41" s="169" t="n"/>
    </row>
    <row r="42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69" t="n"/>
      <c r="O42" s="169" t="n"/>
      <c r="P42" s="169" t="n"/>
      <c r="Q42" s="169" t="n"/>
      <c r="R42" s="169" t="n"/>
    </row>
    <row r="43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69" t="n"/>
      <c r="O43" s="169" t="n"/>
      <c r="P43" s="169" t="n"/>
      <c r="Q43" s="169" t="n"/>
      <c r="R43" s="169" t="n"/>
    </row>
    <row r="44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69" t="n"/>
      <c r="O44" s="169" t="n"/>
      <c r="P44" s="169" t="n"/>
      <c r="Q44" s="169" t="n"/>
      <c r="R44" s="169" t="n"/>
    </row>
    <row r="45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69" t="n"/>
      <c r="O45" s="169" t="n"/>
      <c r="P45" s="169" t="n"/>
      <c r="Q45" s="169" t="n"/>
      <c r="R45" s="169" t="n"/>
    </row>
    <row r="46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69" t="n"/>
      <c r="O46" s="169" t="n"/>
      <c r="P46" s="169" t="n"/>
      <c r="Q46" s="169" t="n"/>
      <c r="R46" s="169" t="n"/>
    </row>
    <row r="47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69" t="n"/>
      <c r="O47" s="169" t="n"/>
      <c r="P47" s="169" t="n"/>
      <c r="Q47" s="169" t="n"/>
      <c r="R47" s="169" t="n"/>
    </row>
    <row r="48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69" t="n"/>
      <c r="O48" s="169" t="n"/>
      <c r="P48" s="169" t="n"/>
      <c r="Q48" s="169" t="n"/>
      <c r="R48" s="169" t="n"/>
    </row>
    <row r="49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69" t="n"/>
      <c r="O49" s="169" t="n"/>
      <c r="P49" s="169" t="n"/>
      <c r="Q49" s="169" t="n"/>
      <c r="R49" s="169" t="n"/>
    </row>
    <row r="50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69" t="n"/>
      <c r="O50" s="169" t="n"/>
      <c r="P50" s="169" t="n"/>
      <c r="Q50" s="169" t="n"/>
      <c r="R50" s="169" t="n"/>
    </row>
    <row r="5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69" t="n"/>
      <c r="O51" s="169" t="n"/>
      <c r="P51" s="169" t="n"/>
      <c r="Q51" s="169" t="n"/>
      <c r="R51" s="169" t="n"/>
    </row>
    <row r="52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69" t="n"/>
      <c r="O52" s="169" t="n"/>
      <c r="P52" s="169" t="n"/>
      <c r="Q52" s="169" t="n"/>
      <c r="R52" s="169" t="n"/>
    </row>
  </sheetData>
  <dataValidations count="2">
    <dataValidation sqref="B3" showDropDown="0" showInputMessage="0" showErrorMessage="1" allowBlank="1" type="list">
      <formula1>'Вычисления'!$A$2:$A$5</formula1>
    </dataValidation>
    <dataValidation sqref="C3" showDropDown="0" showInputMessage="0" showErrorMessage="1" allowBlank="1" type="list">
      <formula1>'Вычисления'!$F$2:$F$13</formula1>
    </dataValidation>
  </dataValidations>
  <hyperlinks>
    <hyperlink xmlns:r="http://schemas.openxmlformats.org/officeDocument/2006/relationships" ref="F3" location="gid=941833689" r:id="rId1"/>
  </hyperlinks>
  <pageMargins left="0.75" right="0.75" top="1" bottom="1" header="0.5" footer="0.5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2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42" customWidth="1" style="207" min="1" max="1"/>
    <col width="24" customWidth="1" style="207" min="2" max="2"/>
    <col width="16" customWidth="1" style="207" min="3" max="3"/>
    <col width="44" customWidth="1" style="207" min="4" max="4"/>
    <col width="14" customWidth="1" style="207" min="5" max="5"/>
    <col width="28" customWidth="1" style="207" min="6" max="6"/>
    <col width="34" customWidth="1" style="207" min="7" max="7"/>
    <col width="12" customWidth="1" style="207" min="8" max="8"/>
    <col width="12" customWidth="1" style="207" min="9" max="9"/>
    <col width="12" customWidth="1" style="207" min="10" max="10"/>
  </cols>
  <sheetData>
    <row r="1" ht="28" customHeight="1" s="207">
      <c r="A1" s="211" t="inlineStr">
        <is>
          <t>Название задачи</t>
        </is>
      </c>
      <c r="B1" s="211" t="inlineStr">
        <is>
          <t>Ответственная команда</t>
        </is>
      </c>
      <c r="C1" s="211" t="inlineStr">
        <is>
          <t>Дедлайн</t>
        </is>
      </c>
      <c r="D1" s="211" t="inlineStr">
        <is>
          <t>Ожидаемый результат</t>
        </is>
      </c>
      <c r="E1" s="211" t="inlineStr">
        <is>
          <t>Статус</t>
        </is>
      </c>
      <c r="F1" s="211" t="inlineStr">
        <is>
          <t>Зависимость</t>
        </is>
      </c>
      <c r="G1" s="211" t="inlineStr">
        <is>
          <t>Критерий готовности</t>
        </is>
      </c>
      <c r="H1" s="211" t="inlineStr">
        <is>
          <t>Приоритет</t>
        </is>
      </c>
      <c r="I1" s="211" t="inlineStr">
        <is>
          <t>ID</t>
        </is>
      </c>
      <c r="J1" s="211" t="inlineStr">
        <is>
          <t>Месяц</t>
        </is>
      </c>
      <c r="K1" s="158" t="n"/>
      <c r="L1" s="158" t="n"/>
      <c r="M1" s="158" t="n"/>
      <c r="N1" s="158" t="n"/>
      <c r="O1" s="158" t="n"/>
      <c r="P1" s="158" t="n"/>
      <c r="Q1" s="158" t="n"/>
      <c r="R1" s="158" t="n"/>
      <c r="S1" s="158" t="n"/>
      <c r="T1" s="158" t="n"/>
      <c r="U1" s="158" t="n"/>
      <c r="V1" s="158" t="n"/>
      <c r="W1" s="158" t="n"/>
      <c r="X1" s="158" t="n"/>
      <c r="Y1" s="158" t="n"/>
      <c r="Z1" s="158" t="n"/>
    </row>
    <row r="2">
      <c r="A2" s="212" t="inlineStr">
        <is>
          <t>Kick-off и governance проекта</t>
        </is>
      </c>
      <c r="B2" s="212" t="inlineStr">
        <is>
          <t>Management</t>
        </is>
      </c>
      <c r="C2" s="212" t="inlineStr">
        <is>
          <t>06.06.2026</t>
        </is>
      </c>
      <c r="D2" s="212" t="inlineStr">
        <is>
          <t>Запущен проект, согласованы роли, ритм синков и правила работы</t>
        </is>
      </c>
      <c r="E2" s="213" t="inlineStr">
        <is>
          <t>План</t>
        </is>
      </c>
      <c r="F2" s="212" t="inlineStr">
        <is>
          <t>—</t>
        </is>
      </c>
      <c r="G2" s="212" t="inlineStr">
        <is>
          <t>Все команды знают роли, owners и cadence</t>
        </is>
      </c>
      <c r="H2" s="214" t="inlineStr">
        <is>
          <t>Must</t>
        </is>
      </c>
      <c r="I2" s="212" t="inlineStr">
        <is>
          <t>MNG-01</t>
        </is>
      </c>
      <c r="J2" s="212" t="inlineStr">
        <is>
          <t>Июнь</t>
        </is>
      </c>
    </row>
    <row r="3">
      <c r="A3" s="212" t="inlineStr">
        <is>
          <t>Анализ тематик поддержки</t>
        </is>
      </c>
      <c r="B3" s="212" t="inlineStr">
        <is>
          <t>Analytics</t>
        </is>
      </c>
      <c r="C3" s="212" t="inlineStr">
        <is>
          <t>13.06.2026</t>
        </is>
      </c>
      <c r="D3" s="212" t="inlineStr">
        <is>
          <t>Пакет аналитики по структуре поддержки и линиям обработки</t>
        </is>
      </c>
      <c r="E3" s="213" t="inlineStr">
        <is>
          <t>План</t>
        </is>
      </c>
      <c r="F3" s="212" t="inlineStr">
        <is>
          <t>—</t>
        </is>
      </c>
      <c r="G3" s="212" t="inlineStr">
        <is>
          <t>Готова аналитика по топ-темам, кластерам и пересечениям</t>
        </is>
      </c>
      <c r="H3" s="214" t="inlineStr">
        <is>
          <t>Must</t>
        </is>
      </c>
      <c r="I3" s="212" t="inlineStr">
        <is>
          <t>ANL-01</t>
        </is>
      </c>
      <c r="J3" s="212" t="inlineStr">
        <is>
          <t>Июнь</t>
        </is>
      </c>
    </row>
    <row r="4">
      <c r="A4" s="212" t="inlineStr">
        <is>
          <t>Описание AS IS операционной обработки</t>
        </is>
      </c>
      <c r="B4" s="212" t="inlineStr">
        <is>
          <t>Operations</t>
        </is>
      </c>
      <c r="C4" s="212" t="inlineStr">
        <is>
          <t>13.06.2026</t>
        </is>
      </c>
      <c r="D4" s="212" t="inlineStr">
        <is>
          <t>Документ AS IS процесса обработки штрафов</t>
        </is>
      </c>
      <c r="E4" s="213" t="inlineStr">
        <is>
          <t>План</t>
        </is>
      </c>
      <c r="F4" s="212" t="inlineStr">
        <is>
          <t>—</t>
        </is>
      </c>
      <c r="G4" s="212" t="inlineStr">
        <is>
          <t>Описаны текущие ручные шаги, боли операторов и ограничения</t>
        </is>
      </c>
      <c r="H4" s="214" t="inlineStr">
        <is>
          <t>Must</t>
        </is>
      </c>
      <c r="I4" s="212" t="inlineStr">
        <is>
          <t>OPS-01</t>
        </is>
      </c>
      <c r="J4" s="212" t="inlineStr">
        <is>
          <t>Июнь</t>
        </is>
      </c>
    </row>
    <row r="5">
      <c r="A5" s="212" t="inlineStr">
        <is>
          <t>Матрица зависимостей проекта</t>
        </is>
      </c>
      <c r="B5" s="212" t="inlineStr">
        <is>
          <t>Management</t>
        </is>
      </c>
      <c r="C5" s="212" t="inlineStr">
        <is>
          <t>13.06.2026</t>
        </is>
      </c>
      <c r="D5" s="212" t="inlineStr">
        <is>
          <t>Dependency map по 7 командам</t>
        </is>
      </c>
      <c r="E5" s="213" t="inlineStr">
        <is>
          <t>План</t>
        </is>
      </c>
      <c r="F5" s="212" t="inlineStr">
        <is>
          <t>MNG-01</t>
        </is>
      </c>
      <c r="G5" s="212" t="inlineStr">
        <is>
          <t>Согласованы входы/выходы между командами</t>
        </is>
      </c>
      <c r="H5" s="214" t="inlineStr">
        <is>
          <t>Must</t>
        </is>
      </c>
      <c r="I5" s="212" t="inlineStr">
        <is>
          <t>MNG-02</t>
        </is>
      </c>
      <c r="J5" s="212" t="inlineStr">
        <is>
          <t>Июнь</t>
        </is>
      </c>
    </row>
    <row r="6">
      <c r="A6" s="212" t="inlineStr">
        <is>
          <t>Анализ штрафных нарушений</t>
        </is>
      </c>
      <c r="B6" s="212" t="inlineStr">
        <is>
          <t>Analytics</t>
        </is>
      </c>
      <c r="C6" s="212" t="inlineStr">
        <is>
          <t>13.06.2026</t>
        </is>
      </c>
      <c r="D6" s="212" t="inlineStr">
        <is>
          <t>Выделены приоритетные типы нарушений для первой волны</t>
        </is>
      </c>
      <c r="E6" s="213" t="inlineStr">
        <is>
          <t>План</t>
        </is>
      </c>
      <c r="F6" s="212" t="inlineStr">
        <is>
          <t>—</t>
        </is>
      </c>
      <c r="G6" s="212" t="inlineStr">
        <is>
          <t>Есть матрица частота × автоматизируемость × цена ошибки</t>
        </is>
      </c>
      <c r="H6" s="214" t="inlineStr">
        <is>
          <t>Must</t>
        </is>
      </c>
      <c r="I6" s="212" t="inlineStr">
        <is>
          <t>ANL-02</t>
        </is>
      </c>
      <c r="J6" s="212" t="inlineStr">
        <is>
          <t>Июнь</t>
        </is>
      </c>
    </row>
    <row r="7">
      <c r="A7" s="212" t="inlineStr">
        <is>
          <t>AS IS процесса штрафов и pain points</t>
        </is>
      </c>
      <c r="B7" s="212" t="inlineStr">
        <is>
          <t>Product</t>
        </is>
      </c>
      <c r="C7" s="212" t="inlineStr">
        <is>
          <t>20.06.2026</t>
        </is>
      </c>
      <c r="D7" s="212" t="inlineStr">
        <is>
          <t>Карта текущего процесса и список болей</t>
        </is>
      </c>
      <c r="E7" s="213" t="inlineStr">
        <is>
          <t>План</t>
        </is>
      </c>
      <c r="F7" s="212" t="inlineStr">
        <is>
          <t>ANL-01; OPS-01</t>
        </is>
      </c>
      <c r="G7" s="212" t="inlineStr">
        <is>
          <t>Есть согласованная карта процесса и проблем</t>
        </is>
      </c>
      <c r="H7" s="214" t="inlineStr">
        <is>
          <t>Must</t>
        </is>
      </c>
      <c r="I7" s="212" t="inlineStr">
        <is>
          <t>PRD-01</t>
        </is>
      </c>
      <c r="J7" s="212" t="inlineStr">
        <is>
          <t>Июнь</t>
        </is>
      </c>
    </row>
    <row r="8">
      <c r="A8" s="212" t="inlineStr">
        <is>
          <t>Сезонность и staffing forecast</t>
        </is>
      </c>
      <c r="B8" s="212" t="inlineStr">
        <is>
          <t>Analytics</t>
        </is>
      </c>
      <c r="C8" s="212" t="inlineStr">
        <is>
          <t>20.06.2026</t>
        </is>
      </c>
      <c r="D8" s="212" t="inlineStr">
        <is>
          <t>Прогноз нагрузки и staffing model</t>
        </is>
      </c>
      <c r="E8" s="213" t="inlineStr">
        <is>
          <t>План</t>
        </is>
      </c>
      <c r="F8" s="212" t="inlineStr">
        <is>
          <t>ANL-01; ANL-02</t>
        </is>
      </c>
      <c r="G8" s="212" t="inlineStr">
        <is>
          <t>Есть помесячный прогноз и пиковый штат</t>
        </is>
      </c>
      <c r="H8" s="214" t="inlineStr">
        <is>
          <t>Must</t>
        </is>
      </c>
      <c r="I8" s="212" t="inlineStr">
        <is>
          <t>ANL-03</t>
        </is>
      </c>
      <c r="J8" s="212" t="inlineStr">
        <is>
          <t>Июнь</t>
        </is>
      </c>
    </row>
    <row r="9">
      <c r="A9" s="212" t="inlineStr">
        <is>
          <t>Приоритизация фич первой волны</t>
        </is>
      </c>
      <c r="B9" s="212" t="inlineStr">
        <is>
          <t>Product</t>
        </is>
      </c>
      <c r="C9" s="212" t="inlineStr">
        <is>
          <t>20.06.2026</t>
        </is>
      </c>
      <c r="D9" s="212" t="inlineStr">
        <is>
          <t>Список фич v1: intake, clarification, parking automation, review</t>
        </is>
      </c>
      <c r="E9" s="213" t="inlineStr">
        <is>
          <t>План</t>
        </is>
      </c>
      <c r="F9" s="212" t="inlineStr">
        <is>
          <t>ANL-02; ANL-03; PRD-01</t>
        </is>
      </c>
      <c r="G9" s="212" t="inlineStr">
        <is>
          <t>Утверждён shortlist must-have фич</t>
        </is>
      </c>
      <c r="H9" s="214" t="inlineStr">
        <is>
          <t>Must</t>
        </is>
      </c>
      <c r="I9" s="212" t="inlineStr">
        <is>
          <t>PRD-02</t>
        </is>
      </c>
      <c r="J9" s="212" t="inlineStr">
        <is>
          <t>Июнь</t>
        </is>
      </c>
    </row>
    <row r="10">
      <c r="A10" s="212" t="inlineStr">
        <is>
          <t>Сбор корпуса текстов и правил</t>
        </is>
      </c>
      <c r="B10" s="212" t="inlineStr">
        <is>
          <t>Content</t>
        </is>
      </c>
      <c r="C10" s="212" t="inlineStr">
        <is>
          <t>20.06.2026</t>
        </is>
      </c>
      <c r="D10" s="212" t="inlineStr">
        <is>
          <t>Knowledge base: правила, FAQ, шаблоны сообщений</t>
        </is>
      </c>
      <c r="E10" s="213" t="inlineStr">
        <is>
          <t>План</t>
        </is>
      </c>
      <c r="F10" s="212" t="inlineStr">
        <is>
          <t>PRD-01</t>
        </is>
      </c>
      <c r="G10" s="212" t="inlineStr">
        <is>
          <t>Есть базовый контент для UX и обучения</t>
        </is>
      </c>
      <c r="H10" s="214" t="inlineStr">
        <is>
          <t>Must</t>
        </is>
      </c>
      <c r="I10" s="212" t="inlineStr">
        <is>
          <t>CNT-01</t>
        </is>
      </c>
      <c r="J10" s="212" t="inlineStr">
        <is>
          <t>Июнь</t>
        </is>
      </c>
    </row>
    <row r="11">
      <c r="A11" s="212" t="inlineStr">
        <is>
          <t>Feasibility по нарушениям и границам AUTO/HYBRID</t>
        </is>
      </c>
      <c r="B11" s="212" t="inlineStr">
        <is>
          <t>ML</t>
        </is>
      </c>
      <c r="C11" s="212" t="inlineStr">
        <is>
          <t>20.06.2026</t>
        </is>
      </c>
      <c r="D11" s="212" t="inlineStr">
        <is>
          <t>ML feasibility note по типам нарушений</t>
        </is>
      </c>
      <c r="E11" s="213" t="inlineStr">
        <is>
          <t>План</t>
        </is>
      </c>
      <c r="F11" s="212" t="inlineStr">
        <is>
          <t>PRD-02</t>
        </is>
      </c>
      <c r="G11" s="212" t="inlineStr">
        <is>
          <t>Согласованы границы автоматизации</t>
        </is>
      </c>
      <c r="H11" s="214" t="inlineStr">
        <is>
          <t>Must</t>
        </is>
      </c>
      <c r="I11" s="212" t="inlineStr">
        <is>
          <t>ML-01</t>
        </is>
      </c>
      <c r="J11" s="212" t="inlineStr">
        <is>
          <t>Июнь</t>
        </is>
      </c>
    </row>
    <row r="12">
      <c r="A12" s="212" t="inlineStr">
        <is>
          <t>Архитектурный draft и ERD</t>
        </is>
      </c>
      <c r="B12" s="212" t="inlineStr">
        <is>
          <t>ML-development</t>
        </is>
      </c>
      <c r="C12" s="212" t="inlineStr">
        <is>
          <t>27.06.2026</t>
        </is>
      </c>
      <c r="D12" s="212" t="inlineStr">
        <is>
          <t>Черновик архитектуры, pipeline и data model</t>
        </is>
      </c>
      <c r="E12" s="213" t="inlineStr">
        <is>
          <t>План</t>
        </is>
      </c>
      <c r="F12" s="212" t="inlineStr">
        <is>
          <t>PRD-02; ML-01</t>
        </is>
      </c>
      <c r="G12" s="212" t="inlineStr">
        <is>
          <t>Архитектура и ERD согласованы</t>
        </is>
      </c>
      <c r="H12" s="214" t="inlineStr">
        <is>
          <t>Must</t>
        </is>
      </c>
      <c r="I12" s="212" t="inlineStr">
        <is>
          <t>MLD-01</t>
        </is>
      </c>
      <c r="J12" s="212" t="inlineStr">
        <is>
          <t>Июнь</t>
        </is>
      </c>
    </row>
    <row r="13">
      <c r="A13" s="212" t="inlineStr">
        <is>
          <t>PRD и ТЗ для ML/ML-development</t>
        </is>
      </c>
      <c r="B13" s="212" t="inlineStr">
        <is>
          <t>Product</t>
        </is>
      </c>
      <c r="C13" s="212" t="inlineStr">
        <is>
          <t>27.06.2026</t>
        </is>
      </c>
      <c r="D13" s="212" t="inlineStr">
        <is>
          <t>Финальные требования к первой волне и decision policy draft</t>
        </is>
      </c>
      <c r="E13" s="213" t="inlineStr">
        <is>
          <t>План</t>
        </is>
      </c>
      <c r="F13" s="212" t="inlineStr">
        <is>
          <t>ANL-03; PRD-02</t>
        </is>
      </c>
      <c r="G13" s="212" t="inlineStr">
        <is>
          <t>ТЗ передано ML и ML-dev</t>
        </is>
      </c>
      <c r="H13" s="214" t="inlineStr">
        <is>
          <t>Must</t>
        </is>
      </c>
      <c r="I13" s="212" t="inlineStr">
        <is>
          <t>PRD-03</t>
        </is>
      </c>
      <c r="J13" s="212" t="inlineStr">
        <is>
          <t>Июнь</t>
        </is>
      </c>
    </row>
    <row r="14">
      <c r="A14" s="212" t="inlineStr">
        <is>
          <t>Scope freeze v1 и чекпоинт 1</t>
        </is>
      </c>
      <c r="B14" s="212" t="inlineStr">
        <is>
          <t>Management</t>
        </is>
      </c>
      <c r="C14" s="212" t="inlineStr">
        <is>
          <t>30.06.2026</t>
        </is>
      </c>
      <c r="D14" s="212" t="inlineStr">
        <is>
          <t>CP1: аналитика готова, фичи декомпозированы, ТЗ выдано</t>
        </is>
      </c>
      <c r="E14" s="213" t="inlineStr">
        <is>
          <t>План</t>
        </is>
      </c>
      <c r="F14" s="212" t="inlineStr">
        <is>
          <t>ANL-03; PRD-03; MLD-01</t>
        </is>
      </c>
      <c r="G14" s="212" t="inlineStr">
        <is>
          <t>Scope v1 зафиксирован, чекпоинт закрыт</t>
        </is>
      </c>
      <c r="H14" s="214" t="inlineStr">
        <is>
          <t>Must</t>
        </is>
      </c>
      <c r="I14" s="212" t="inlineStr">
        <is>
          <t>MNG-03</t>
        </is>
      </c>
      <c r="J14" s="212" t="inlineStr">
        <is>
          <t>Июнь</t>
        </is>
      </c>
    </row>
    <row r="15">
      <c r="A15" s="215" t="inlineStr">
        <is>
          <t>Проектирование intake по 4 каналам</t>
        </is>
      </c>
      <c r="B15" s="215" t="inlineStr">
        <is>
          <t>Product</t>
        </is>
      </c>
      <c r="C15" s="215" t="inlineStr">
        <is>
          <t>11.07.2026</t>
        </is>
      </c>
      <c r="D15" s="215" t="inlineStr">
        <is>
          <t>UX-flow и спецификация форм сбора</t>
        </is>
      </c>
      <c r="E15" s="213" t="inlineStr">
        <is>
          <t>План</t>
        </is>
      </c>
      <c r="F15" s="215" t="inlineStr">
        <is>
          <t>PRD-03</t>
        </is>
      </c>
      <c r="G15" s="215" t="inlineStr">
        <is>
          <t>Есть описание и прототипы intake по app, messenger, scout, camera</t>
        </is>
      </c>
      <c r="H15" s="214" t="inlineStr">
        <is>
          <t>Must</t>
        </is>
      </c>
      <c r="I15" s="215" t="inlineStr">
        <is>
          <t>PRD-04</t>
        </is>
      </c>
      <c r="J15" s="215" t="inlineStr">
        <is>
          <t>Июль</t>
        </is>
      </c>
    </row>
    <row r="16">
      <c r="A16" s="215" t="inlineStr">
        <is>
          <t>KPI framework и логика дашбордов пилота</t>
        </is>
      </c>
      <c r="B16" s="215" t="inlineStr">
        <is>
          <t>Analytics</t>
        </is>
      </c>
      <c r="C16" s="215" t="inlineStr">
        <is>
          <t>11.07.2026</t>
        </is>
      </c>
      <c r="D16" s="215" t="inlineStr">
        <is>
          <t>Набор KPI: AHT, clarification, appeal, auto-ready, backlog</t>
        </is>
      </c>
      <c r="E16" s="213" t="inlineStr">
        <is>
          <t>План</t>
        </is>
      </c>
      <c r="F16" s="215" t="inlineStr">
        <is>
          <t>PRD-03</t>
        </is>
      </c>
      <c r="G16" s="215" t="inlineStr">
        <is>
          <t>Метрики согласованы с Product и Ops</t>
        </is>
      </c>
      <c r="H16" s="214" t="inlineStr">
        <is>
          <t>Must</t>
        </is>
      </c>
      <c r="I16" s="215" t="inlineStr">
        <is>
          <t>ANL-04</t>
        </is>
      </c>
      <c r="J16" s="215" t="inlineStr">
        <is>
          <t>Июль</t>
        </is>
      </c>
    </row>
    <row r="17">
      <c r="A17" s="215" t="inlineStr">
        <is>
          <t>Тексты для форм, доуточнений и предупреждений</t>
        </is>
      </c>
      <c r="B17" s="215" t="inlineStr">
        <is>
          <t>Content</t>
        </is>
      </c>
      <c r="C17" s="215" t="inlineStr">
        <is>
          <t>18.07.2026</t>
        </is>
      </c>
      <c r="D17" s="215" t="inlineStr">
        <is>
          <t>Шаблоны intake, clarification и профилактики</t>
        </is>
      </c>
      <c r="E17" s="213" t="inlineStr">
        <is>
          <t>План</t>
        </is>
      </c>
      <c r="F17" s="215" t="inlineStr">
        <is>
          <t>PRD-04</t>
        </is>
      </c>
      <c r="G17" s="215" t="inlineStr">
        <is>
          <t>Готов content v1 для интеграции</t>
        </is>
      </c>
      <c r="H17" s="214" t="inlineStr">
        <is>
          <t>Must</t>
        </is>
      </c>
      <c r="I17" s="215" t="inlineStr">
        <is>
          <t>CNT-02</t>
        </is>
      </c>
      <c r="J17" s="215" t="inlineStr">
        <is>
          <t>Июль</t>
        </is>
      </c>
    </row>
    <row r="18">
      <c r="A18" s="215" t="inlineStr">
        <is>
          <t>Первая версия моделей / low-code сценариев</t>
        </is>
      </c>
      <c r="B18" s="215" t="inlineStr">
        <is>
          <t>ML</t>
        </is>
      </c>
      <c r="C18" s="215" t="inlineStr">
        <is>
          <t>18.07.2026</t>
        </is>
      </c>
      <c r="D18" s="215" t="inlineStr">
        <is>
          <t>Quality gate, OCR/QR, scene classification, routing logic</t>
        </is>
      </c>
      <c r="E18" s="213" t="inlineStr">
        <is>
          <t>План</t>
        </is>
      </c>
      <c r="F18" s="215" t="inlineStr">
        <is>
          <t>PRD-03; CNT-01</t>
        </is>
      </c>
      <c r="G18" s="215" t="inlineStr">
        <is>
          <t>Модели/сценарии переданы ML-dev</t>
        </is>
      </c>
      <c r="H18" s="214" t="inlineStr">
        <is>
          <t>Must</t>
        </is>
      </c>
      <c r="I18" s="215" t="inlineStr">
        <is>
          <t>ML-02</t>
        </is>
      </c>
      <c r="J18" s="215" t="inlineStr">
        <is>
          <t>Июль</t>
        </is>
      </c>
    </row>
    <row r="19">
      <c r="A19" s="215" t="inlineStr">
        <is>
          <t>MVP pipeline: queue, storage, metadata, case flow</t>
        </is>
      </c>
      <c r="B19" s="215" t="inlineStr">
        <is>
          <t>ML-development</t>
        </is>
      </c>
      <c r="C19" s="215" t="inlineStr">
        <is>
          <t>18.07.2026</t>
        </is>
      </c>
      <c r="D19" s="215" t="inlineStr">
        <is>
          <t>Рабочий backend-прототип обработки кейса</t>
        </is>
      </c>
      <c r="E19" s="213" t="inlineStr">
        <is>
          <t>План</t>
        </is>
      </c>
      <c r="F19" s="215" t="inlineStr">
        <is>
          <t>MLD-01</t>
        </is>
      </c>
      <c r="G19" s="215" t="inlineStr">
        <is>
          <t>Pipeline поднимается end-to-end</t>
        </is>
      </c>
      <c r="H19" s="214" t="inlineStr">
        <is>
          <t>Must</t>
        </is>
      </c>
      <c r="I19" s="215" t="inlineStr">
        <is>
          <t>MLD-02</t>
        </is>
      </c>
      <c r="J19" s="215" t="inlineStr">
        <is>
          <t>Июль</t>
        </is>
      </c>
    </row>
    <row r="20">
      <c r="A20" s="215" t="inlineStr">
        <is>
          <t>Требования к reviewer UI и test plan</t>
        </is>
      </c>
      <c r="B20" s="215" t="inlineStr">
        <is>
          <t>Operations</t>
        </is>
      </c>
      <c r="C20" s="215" t="inlineStr">
        <is>
          <t>18.07.2026</t>
        </is>
      </c>
      <c r="D20" s="215" t="inlineStr">
        <is>
          <t>Review requirements и сценарии закрытого теста</t>
        </is>
      </c>
      <c r="E20" s="213" t="inlineStr">
        <is>
          <t>План</t>
        </is>
      </c>
      <c r="F20" s="215" t="inlineStr">
        <is>
          <t>PRD-04</t>
        </is>
      </c>
      <c r="G20" s="215" t="inlineStr">
        <is>
          <t>Есть требования к manual review и план тестирования</t>
        </is>
      </c>
      <c r="H20" s="214" t="inlineStr">
        <is>
          <t>Must</t>
        </is>
      </c>
      <c r="I20" s="215" t="inlineStr">
        <is>
          <t>OPS-02</t>
        </is>
      </c>
      <c r="J20" s="215" t="inlineStr">
        <is>
          <t>Июль</t>
        </is>
      </c>
    </row>
    <row r="21">
      <c r="A21" s="215" t="inlineStr">
        <is>
          <t>Clarification flow и decision policy</t>
        </is>
      </c>
      <c r="B21" s="215" t="inlineStr">
        <is>
          <t>Product</t>
        </is>
      </c>
      <c r="C21" s="215" t="inlineStr">
        <is>
          <t>25.07.2026</t>
        </is>
      </c>
      <c r="D21" s="215" t="inlineStr">
        <is>
          <t>Продуктовая логика доуточнений и routing</t>
        </is>
      </c>
      <c r="E21" s="213" t="inlineStr">
        <is>
          <t>План</t>
        </is>
      </c>
      <c r="F21" s="215" t="inlineStr">
        <is>
          <t>PRD-03; PRD-04</t>
        </is>
      </c>
      <c r="G21" s="215" t="inlineStr">
        <is>
          <t>Есть decision table AUTO/HYBRID/MANUAL/NO SANCTION</t>
        </is>
      </c>
      <c r="H21" s="214" t="inlineStr">
        <is>
          <t>Must</t>
        </is>
      </c>
      <c r="I21" s="215" t="inlineStr">
        <is>
          <t>PRD-05</t>
        </is>
      </c>
      <c r="J21" s="215" t="inlineStr">
        <is>
          <t>Июль</t>
        </is>
      </c>
    </row>
    <row r="22">
      <c r="A22" s="215" t="inlineStr">
        <is>
          <t>Интеграция first models в pipeline</t>
        </is>
      </c>
      <c r="B22" s="215" t="inlineStr">
        <is>
          <t>ML-development</t>
        </is>
      </c>
      <c r="C22" s="215" t="inlineStr">
        <is>
          <t>25.07.2026</t>
        </is>
      </c>
      <c r="D22" s="215" t="inlineStr">
        <is>
          <t>Связанный контур: ingestion → ML → decision draft</t>
        </is>
      </c>
      <c r="E22" s="213" t="inlineStr">
        <is>
          <t>План</t>
        </is>
      </c>
      <c r="F22" s="215" t="inlineStr">
        <is>
          <t>ML-02; MLD-02</t>
        </is>
      </c>
      <c r="G22" s="215" t="inlineStr">
        <is>
          <t>Есть интегрированный MVP</t>
        </is>
      </c>
      <c r="H22" s="214" t="inlineStr">
        <is>
          <t>Must</t>
        </is>
      </c>
      <c r="I22" s="215" t="inlineStr">
        <is>
          <t>MLD-03</t>
        </is>
      </c>
      <c r="J22" s="215" t="inlineStr">
        <is>
          <t>Июль</t>
        </is>
      </c>
    </row>
    <row r="23">
      <c r="A23" s="215" t="inlineStr">
        <is>
          <t>Чекпоинт 2 и go/no-go на тест</t>
        </is>
      </c>
      <c r="B23" s="215" t="inlineStr">
        <is>
          <t>Management</t>
        </is>
      </c>
      <c r="C23" s="215" t="inlineStr">
        <is>
          <t>31.07.2026</t>
        </is>
      </c>
      <c r="D23" s="215" t="inlineStr">
        <is>
          <t>CP2: формы, clarification, first models и content v1 готовы</t>
        </is>
      </c>
      <c r="E23" s="213" t="inlineStr">
        <is>
          <t>План</t>
        </is>
      </c>
      <c r="F23" s="215" t="inlineStr">
        <is>
          <t>PRD-05; MLD-03; CNT-02</t>
        </is>
      </c>
      <c r="G23" s="215" t="inlineStr">
        <is>
          <t>Тестовый контур готов и scope не разросся</t>
        </is>
      </c>
      <c r="H23" s="214" t="inlineStr">
        <is>
          <t>Must</t>
        </is>
      </c>
      <c r="I23" s="215" t="inlineStr">
        <is>
          <t>MNG-04</t>
        </is>
      </c>
      <c r="J23" s="215" t="inlineStr">
        <is>
          <t>Июль</t>
        </is>
      </c>
    </row>
    <row r="24">
      <c r="A24" s="216" t="inlineStr">
        <is>
          <t>Закрытое тестирование intake, routing и review</t>
        </is>
      </c>
      <c r="B24" s="216" t="inlineStr">
        <is>
          <t>Operations</t>
        </is>
      </c>
      <c r="C24" s="216" t="inlineStr">
        <is>
          <t>14.08.2026</t>
        </is>
      </c>
      <c r="D24" s="216" t="inlineStr">
        <is>
          <t>Test report + bug list + feedback loop</t>
        </is>
      </c>
      <c r="E24" s="213" t="inlineStr">
        <is>
          <t>План</t>
        </is>
      </c>
      <c r="F24" s="216" t="inlineStr">
        <is>
          <t>MNG-04</t>
        </is>
      </c>
      <c r="G24" s="216" t="inlineStr">
        <is>
          <t>Тест пройден, список проблем зафиксирован</t>
        </is>
      </c>
      <c r="H24" s="214" t="inlineStr">
        <is>
          <t>Must</t>
        </is>
      </c>
      <c r="I24" s="216" t="inlineStr">
        <is>
          <t>OPS-03</t>
        </is>
      </c>
      <c r="J24" s="216" t="inlineStr">
        <is>
          <t>Август</t>
        </is>
      </c>
    </row>
    <row r="25">
      <c r="A25" s="216" t="inlineStr">
        <is>
          <t>Анализ результатов теста и KPI пилота</t>
        </is>
      </c>
      <c r="B25" s="216" t="inlineStr">
        <is>
          <t>Analytics</t>
        </is>
      </c>
      <c r="C25" s="216" t="inlineStr">
        <is>
          <t>14.08.2026</t>
        </is>
      </c>
      <c r="D25" s="216" t="inlineStr">
        <is>
          <t>Test KPI pack</t>
        </is>
      </c>
      <c r="E25" s="213" t="inlineStr">
        <is>
          <t>План</t>
        </is>
      </c>
      <c r="F25" s="216" t="inlineStr">
        <is>
          <t>OPS-03</t>
        </is>
      </c>
      <c r="G25" s="216" t="inlineStr">
        <is>
          <t>Есть выводы по drop, confidence и manual load</t>
        </is>
      </c>
      <c r="H25" s="214" t="inlineStr">
        <is>
          <t>Must</t>
        </is>
      </c>
      <c r="I25" s="216" t="inlineStr">
        <is>
          <t>ANL-05</t>
        </is>
      </c>
      <c r="J25" s="216" t="inlineStr">
        <is>
          <t>Август</t>
        </is>
      </c>
    </row>
    <row r="26">
      <c r="A26" s="216" t="inlineStr">
        <is>
          <t>Доработка UX/policy по итогам теста</t>
        </is>
      </c>
      <c r="B26" s="216" t="inlineStr">
        <is>
          <t>Product</t>
        </is>
      </c>
      <c r="C26" s="216" t="inlineStr">
        <is>
          <t>21.08.2026</t>
        </is>
      </c>
      <c r="D26" s="216" t="inlineStr">
        <is>
          <t>Updated PRD / product fixes</t>
        </is>
      </c>
      <c r="E26" s="213" t="inlineStr">
        <is>
          <t>План</t>
        </is>
      </c>
      <c r="F26" s="216" t="inlineStr">
        <is>
          <t>OPS-03; ANL-05</t>
        </is>
      </c>
      <c r="G26" s="216" t="inlineStr">
        <is>
          <t>Критичные правки описаны и согласованы</t>
        </is>
      </c>
      <c r="H26" s="214" t="inlineStr">
        <is>
          <t>Must</t>
        </is>
      </c>
      <c r="I26" s="216" t="inlineStr">
        <is>
          <t>PRD-06</t>
        </is>
      </c>
      <c r="J26" s="216" t="inlineStr">
        <is>
          <t>Август</t>
        </is>
      </c>
    </row>
    <row r="27">
      <c r="A27" s="216" t="inlineStr">
        <is>
          <t>Дообучение по тестовым кейсам</t>
        </is>
      </c>
      <c r="B27" s="216" t="inlineStr">
        <is>
          <t>ML</t>
        </is>
      </c>
      <c r="C27" s="216" t="inlineStr">
        <is>
          <t>21.08.2026</t>
        </is>
      </c>
      <c r="D27" s="216" t="inlineStr">
        <is>
          <t>ML v2 по feedback и ошибкам пилота</t>
        </is>
      </c>
      <c r="E27" s="213" t="inlineStr">
        <is>
          <t>План</t>
        </is>
      </c>
      <c r="F27" s="216" t="inlineStr">
        <is>
          <t>OPS-03; ANL-05</t>
        </is>
      </c>
      <c r="G27" s="216" t="inlineStr">
        <is>
          <t>Есть улучшенная версия моделей</t>
        </is>
      </c>
      <c r="H27" s="214" t="inlineStr">
        <is>
          <t>Must</t>
        </is>
      </c>
      <c r="I27" s="216" t="inlineStr">
        <is>
          <t>ML-03</t>
        </is>
      </c>
      <c r="J27" s="216" t="inlineStr">
        <is>
          <t>Август</t>
        </is>
      </c>
    </row>
    <row r="28">
      <c r="A28" s="216" t="inlineStr">
        <is>
          <t>Доработка контента по итогам теста</t>
        </is>
      </c>
      <c r="B28" s="216" t="inlineStr">
        <is>
          <t>Content</t>
        </is>
      </c>
      <c r="C28" s="216" t="inlineStr">
        <is>
          <t>21.08.2026</t>
        </is>
      </c>
      <c r="D28" s="216" t="inlineStr">
        <is>
          <t>Улучшенные шаблоны для UX и операторов</t>
        </is>
      </c>
      <c r="E28" s="213" t="inlineStr">
        <is>
          <t>План</t>
        </is>
      </c>
      <c r="F28" s="216" t="inlineStr">
        <is>
          <t>OPS-03; PRD-06</t>
        </is>
      </c>
      <c r="G28" s="216" t="inlineStr">
        <is>
          <t>Выпущен content v2</t>
        </is>
      </c>
      <c r="H28" s="214" t="inlineStr">
        <is>
          <t>Must</t>
        </is>
      </c>
      <c r="I28" s="216" t="inlineStr">
        <is>
          <t>CNT-03</t>
        </is>
      </c>
      <c r="J28" s="216" t="inlineStr">
        <is>
          <t>Август</t>
        </is>
      </c>
    </row>
    <row r="29">
      <c r="A29" s="216" t="inlineStr">
        <is>
          <t>Release candidate: audit, monitoring, retries, review queue</t>
        </is>
      </c>
      <c r="B29" s="216" t="inlineStr">
        <is>
          <t>ML-development</t>
        </is>
      </c>
      <c r="C29" s="216" t="inlineStr">
        <is>
          <t>28.08.2026</t>
        </is>
      </c>
      <c r="D29" s="216" t="inlineStr">
        <is>
          <t>Готов production-like контур первой волны</t>
        </is>
      </c>
      <c r="E29" s="213" t="inlineStr">
        <is>
          <t>План</t>
        </is>
      </c>
      <c r="F29" s="216" t="inlineStr">
        <is>
          <t>PRD-06; ML-03; CNT-03</t>
        </is>
      </c>
      <c r="G29" s="216" t="inlineStr">
        <is>
          <t>Есть release candidate для запуска</t>
        </is>
      </c>
      <c r="H29" s="214" t="inlineStr">
        <is>
          <t>Must</t>
        </is>
      </c>
      <c r="I29" s="216" t="inlineStr">
        <is>
          <t>MLD-04</t>
        </is>
      </c>
      <c r="J29" s="216" t="inlineStr">
        <is>
          <t>Август</t>
        </is>
      </c>
    </row>
    <row r="30">
      <c r="A30" s="216" t="inlineStr">
        <is>
          <t>Финальные регламенты операторов и эскалации</t>
        </is>
      </c>
      <c r="B30" s="216" t="inlineStr">
        <is>
          <t>Operations</t>
        </is>
      </c>
      <c r="C30" s="216" t="inlineStr">
        <is>
          <t>28.08.2026</t>
        </is>
      </c>
      <c r="D30" s="216" t="inlineStr">
        <is>
          <t>Final ops rules</t>
        </is>
      </c>
      <c r="E30" s="213" t="inlineStr">
        <is>
          <t>План</t>
        </is>
      </c>
      <c r="F30" s="216" t="inlineStr">
        <is>
          <t>OPS-03; PRD-06; CNT-03</t>
        </is>
      </c>
      <c r="G30" s="216" t="inlineStr">
        <is>
          <t>Регламенты утверждены</t>
        </is>
      </c>
      <c r="H30" s="214" t="inlineStr">
        <is>
          <t>Must</t>
        </is>
      </c>
      <c r="I30" s="216" t="inlineStr">
        <is>
          <t>OPS-04</t>
        </is>
      </c>
      <c r="J30" s="216" t="inlineStr">
        <is>
          <t>Август</t>
        </is>
      </c>
    </row>
    <row r="31">
      <c r="A31" s="216" t="inlineStr">
        <is>
          <t>Чекпоинт 3 и go/no-go на rollout</t>
        </is>
      </c>
      <c r="B31" s="216" t="inlineStr">
        <is>
          <t>Management</t>
        </is>
      </c>
      <c r="C31" s="216" t="inlineStr">
        <is>
          <t>31.08.2026</t>
        </is>
      </c>
      <c r="D31" s="216" t="inlineStr">
        <is>
          <t>CP3: тест завершён, правки внесены, готовность к запуску подтверждена</t>
        </is>
      </c>
      <c r="E31" s="213" t="inlineStr">
        <is>
          <t>План</t>
        </is>
      </c>
      <c r="F31" s="216" t="inlineStr">
        <is>
          <t>MLD-04; OPS-04</t>
        </is>
      </c>
      <c r="G31" s="216" t="inlineStr">
        <is>
          <t>Все критичные блокеры закрыты</t>
        </is>
      </c>
      <c r="H31" s="214" t="inlineStr">
        <is>
          <t>Must</t>
        </is>
      </c>
      <c r="I31" s="216" t="inlineStr">
        <is>
          <t>MNG-05</t>
        </is>
      </c>
      <c r="J31" s="216" t="inlineStr">
        <is>
          <t>Август</t>
        </is>
      </c>
    </row>
    <row r="32">
      <c r="A32" s="217" t="inlineStr">
        <is>
          <t>Production rollout первой волны</t>
        </is>
      </c>
      <c r="B32" s="217" t="inlineStr">
        <is>
          <t>ML-development</t>
        </is>
      </c>
      <c r="C32" s="217" t="inlineStr">
        <is>
          <t>05.09.2026</t>
        </is>
      </c>
      <c r="D32" s="217" t="inlineStr">
        <is>
          <t>Production-ready контур</t>
        </is>
      </c>
      <c r="E32" s="213" t="inlineStr">
        <is>
          <t>План</t>
        </is>
      </c>
      <c r="F32" s="217" t="inlineStr">
        <is>
          <t>MNG-05</t>
        </is>
      </c>
      <c r="G32" s="217" t="inlineStr">
        <is>
          <t>Pipeline стабильно работает в production</t>
        </is>
      </c>
      <c r="H32" s="214" t="inlineStr">
        <is>
          <t>Must</t>
        </is>
      </c>
      <c r="I32" s="217" t="inlineStr">
        <is>
          <t>MLD-05</t>
        </is>
      </c>
      <c r="J32" s="217" t="inlineStr">
        <is>
          <t>Сентябрь</t>
        </is>
      </c>
    </row>
    <row r="33">
      <c r="A33" s="217" t="inlineStr">
        <is>
          <t>Финальные operator materials</t>
        </is>
      </c>
      <c r="B33" s="217" t="inlineStr">
        <is>
          <t>Content</t>
        </is>
      </c>
      <c r="C33" s="217" t="inlineStr">
        <is>
          <t>05.09.2026</t>
        </is>
      </c>
      <c r="D33" s="217" t="inlineStr">
        <is>
          <t>Финальные инструкции и шаблоны</t>
        </is>
      </c>
      <c r="E33" s="213" t="inlineStr">
        <is>
          <t>План</t>
        </is>
      </c>
      <c r="F33" s="217" t="inlineStr">
        <is>
          <t>CNT-03; OPS-04</t>
        </is>
      </c>
      <c r="G33" s="217" t="inlineStr">
        <is>
          <t>Материалы доступны для обучения</t>
        </is>
      </c>
      <c r="H33" s="214" t="inlineStr">
        <is>
          <t>Must</t>
        </is>
      </c>
      <c r="I33" s="217" t="inlineStr">
        <is>
          <t>CNT-04</t>
        </is>
      </c>
      <c r="J33" s="217" t="inlineStr">
        <is>
          <t>Сентябрь</t>
        </is>
      </c>
    </row>
    <row r="34">
      <c r="A34" s="217" t="inlineStr">
        <is>
          <t>Обучение и аттестация операторов</t>
        </is>
      </c>
      <c r="B34" s="217" t="inlineStr">
        <is>
          <t>Operations</t>
        </is>
      </c>
      <c r="C34" s="217" t="inlineStr">
        <is>
          <t>12.09.2026</t>
        </is>
      </c>
      <c r="D34" s="217" t="inlineStr">
        <is>
          <t>Готовая линия поддержки</t>
        </is>
      </c>
      <c r="E34" s="213" t="inlineStr">
        <is>
          <t>План</t>
        </is>
      </c>
      <c r="F34" s="217" t="inlineStr">
        <is>
          <t>MLD-05; CNT-04</t>
        </is>
      </c>
      <c r="G34" s="217" t="inlineStr">
        <is>
          <t>Операторы обучены и готовы к работе</t>
        </is>
      </c>
      <c r="H34" s="214" t="inlineStr">
        <is>
          <t>Must</t>
        </is>
      </c>
      <c r="I34" s="217" t="inlineStr">
        <is>
          <t>OPS-05</t>
        </is>
      </c>
      <c r="J34" s="217" t="inlineStr">
        <is>
          <t>Сентябрь</t>
        </is>
      </c>
    </row>
    <row r="35">
      <c r="A35" s="217" t="inlineStr">
        <is>
          <t>Продовый мониторинг метрик и эффекта</t>
        </is>
      </c>
      <c r="B35" s="217" t="inlineStr">
        <is>
          <t>Analytics</t>
        </is>
      </c>
      <c r="C35" s="217" t="inlineStr">
        <is>
          <t>26.09.2026</t>
        </is>
      </c>
      <c r="D35" s="217" t="inlineStr">
        <is>
          <t>Мониторинг AHT, appeal, backlog, auto-ready, no-sanction</t>
        </is>
      </c>
      <c r="E35" s="213" t="inlineStr">
        <is>
          <t>План</t>
        </is>
      </c>
      <c r="F35" s="217" t="inlineStr">
        <is>
          <t>MLD-05</t>
        </is>
      </c>
      <c r="G35" s="217" t="inlineStr">
        <is>
          <t>Дашборды работают на продовых данных</t>
        </is>
      </c>
      <c r="H35" s="214" t="inlineStr">
        <is>
          <t>Must</t>
        </is>
      </c>
      <c r="I35" s="217" t="inlineStr">
        <is>
          <t>ANL-06</t>
        </is>
      </c>
      <c r="J35" s="217" t="inlineStr">
        <is>
          <t>Сентябрь</t>
        </is>
      </c>
    </row>
    <row r="36">
      <c r="A36" s="217" t="inlineStr">
        <is>
          <t>Контроль качества модели и drift</t>
        </is>
      </c>
      <c r="B36" s="217" t="inlineStr">
        <is>
          <t>ML</t>
        </is>
      </c>
      <c r="C36" s="217" t="inlineStr">
        <is>
          <t>26.09.2026</t>
        </is>
      </c>
      <c r="D36" s="217" t="inlineStr">
        <is>
          <t>ML support loop после запуска</t>
        </is>
      </c>
      <c r="E36" s="213" t="inlineStr">
        <is>
          <t>План</t>
        </is>
      </c>
      <c r="F36" s="217" t="inlineStr">
        <is>
          <t>MLD-05; ANL-06</t>
        </is>
      </c>
      <c r="G36" s="217" t="inlineStr">
        <is>
          <t>Есть quality review и backlog улучшений</t>
        </is>
      </c>
      <c r="H36" s="218" t="inlineStr">
        <is>
          <t>Should</t>
        </is>
      </c>
      <c r="I36" s="217" t="inlineStr">
        <is>
          <t>ML-04</t>
        </is>
      </c>
      <c r="J36" s="217" t="inlineStr">
        <is>
          <t>Сентябрь</t>
        </is>
      </c>
    </row>
    <row r="37">
      <c r="A37" s="217" t="inlineStr">
        <is>
          <t>Backlog v2 и product learnings</t>
        </is>
      </c>
      <c r="B37" s="217" t="inlineStr">
        <is>
          <t>Product</t>
        </is>
      </c>
      <c r="C37" s="217" t="inlineStr">
        <is>
          <t>26.09.2026</t>
        </is>
      </c>
      <c r="D37" s="217" t="inlineStr">
        <is>
          <t>Следующий этап развития продукта</t>
        </is>
      </c>
      <c r="E37" s="213" t="inlineStr">
        <is>
          <t>План</t>
        </is>
      </c>
      <c r="F37" s="217" t="inlineStr">
        <is>
          <t>ANL-06; OPS-06</t>
        </is>
      </c>
      <c r="G37" s="217" t="inlineStr">
        <is>
          <t>Есть приоритизированный backlog v2</t>
        </is>
      </c>
      <c r="H37" s="218" t="inlineStr">
        <is>
          <t>Should</t>
        </is>
      </c>
      <c r="I37" s="217" t="inlineStr">
        <is>
          <t>PRD-07</t>
        </is>
      </c>
      <c r="J37" s="217" t="inlineStr">
        <is>
          <t>Сентябрь</t>
        </is>
      </c>
    </row>
    <row r="38">
      <c r="A38" s="217" t="inlineStr">
        <is>
          <t>Пост-запусковой feedback loop</t>
        </is>
      </c>
      <c r="B38" s="217" t="inlineStr">
        <is>
          <t>Operations</t>
        </is>
      </c>
      <c r="C38" s="217" t="inlineStr">
        <is>
          <t>26.09.2026</t>
        </is>
      </c>
      <c r="D38" s="217" t="inlineStr">
        <is>
          <t>Backlog замечаний с линии</t>
        </is>
      </c>
      <c r="E38" s="213" t="inlineStr">
        <is>
          <t>План</t>
        </is>
      </c>
      <c r="F38" s="217" t="inlineStr">
        <is>
          <t>OPS-05</t>
        </is>
      </c>
      <c r="G38" s="217" t="inlineStr">
        <is>
          <t>Есть список продовых проблем и улучшений</t>
        </is>
      </c>
      <c r="H38" s="218" t="inlineStr">
        <is>
          <t>Should</t>
        </is>
      </c>
      <c r="I38" s="217" t="inlineStr">
        <is>
          <t>OPS-06</t>
        </is>
      </c>
      <c r="J38" s="217" t="inlineStr">
        <is>
          <t>Сентябрь</t>
        </is>
      </c>
    </row>
    <row r="39">
      <c r="A39" s="217" t="inlineStr">
        <is>
          <t>Чекпоинт 4, handover и итоговые артефакты</t>
        </is>
      </c>
      <c r="B39" s="217" t="inlineStr">
        <is>
          <t>Management</t>
        </is>
      </c>
      <c r="C39" s="217" t="inlineStr">
        <is>
          <t>30.09.2026</t>
        </is>
      </c>
      <c r="D39" s="217" t="inlineStr">
        <is>
          <t>CP4: rollout, monitoring, training, handover завершены</t>
        </is>
      </c>
      <c r="E39" s="213" t="inlineStr">
        <is>
          <t>План</t>
        </is>
      </c>
      <c r="F39" s="217" t="inlineStr">
        <is>
          <t>ANL-06; OPS-05; PRD-07</t>
        </is>
      </c>
      <c r="G39" s="217" t="inlineStr">
        <is>
          <t>Заказчик получил полный пакет результатов</t>
        </is>
      </c>
      <c r="H39" s="214" t="inlineStr">
        <is>
          <t>Must</t>
        </is>
      </c>
      <c r="I39" s="217" t="inlineStr">
        <is>
          <t>MNG-06</t>
        </is>
      </c>
      <c r="J39" s="217" t="inlineStr">
        <is>
          <t>Сентябрь</t>
        </is>
      </c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autoFilter ref="A1:J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B2:B25"/>
  <sheetViews>
    <sheetView showGridLines="0" workbookViewId="0">
      <selection activeCell="A1" sqref="A1"/>
    </sheetView>
  </sheetViews>
  <sheetFormatPr baseColWidth="8" defaultColWidth="12.63" defaultRowHeight="15.75" customHeight="1"/>
  <cols>
    <col width="8" customWidth="1" style="207" min="1" max="1"/>
    <col width="111" customWidth="1" style="207" min="2" max="2"/>
  </cols>
  <sheetData>
    <row r="2">
      <c r="B2" s="188" t="inlineStr">
        <is>
          <t xml:space="preserve">ПОРЯДОК СИНХРОНИЗАЦИИ </t>
        </is>
      </c>
    </row>
    <row r="3">
      <c r="B3" s="189" t="n"/>
    </row>
    <row r="4">
      <c r="B4" s="191" t="inlineStr">
        <is>
          <t>Внедряем правила:</t>
        </is>
      </c>
    </row>
    <row r="5">
      <c r="B5" s="191" t="inlineStr">
        <is>
          <t>1. Внутри фокусных задач есть распределение:</t>
        </is>
      </c>
    </row>
    <row r="6">
      <c r="B6" s="191" t="inlineStr">
        <is>
          <t>Запуски и эксперименты;</t>
        </is>
      </c>
    </row>
    <row r="7">
      <c r="B7" s="191" t="inlineStr">
        <is>
          <t>Операционное развитие</t>
        </is>
      </c>
    </row>
    <row r="8">
      <c r="B8" s="191" t="inlineStr">
        <is>
          <t>2. Каждый берет на себя максимум 3-4 задачи, но зато они максимально должны выполняться</t>
        </is>
      </c>
    </row>
    <row r="9">
      <c r="B9" s="191" t="inlineStr">
        <is>
          <t>3. Суммарно в фокусах - не более 10ти задач, иначе получается mess, а не фокусы</t>
        </is>
      </c>
    </row>
    <row r="10">
      <c r="B10" s="191" t="n"/>
    </row>
    <row r="11">
      <c r="B11" s="192" t="inlineStr">
        <is>
          <t>Обратить внимание!</t>
        </is>
      </c>
    </row>
    <row r="12">
      <c r="B12" s="191" t="inlineStr">
        <is>
          <t>У каждого человека свое распределение фокуса между задачами.</t>
        </is>
      </c>
    </row>
    <row r="13">
      <c r="B13" s="191" t="n"/>
    </row>
    <row r="14">
      <c r="B14" s="192" t="inlineStr">
        <is>
          <t>Изменения в регулярных синках:</t>
        </is>
      </c>
    </row>
    <row r="15">
      <c r="B15" s="191" t="inlineStr">
        <is>
          <t>ПН - ПЛАНИРОВАНИЕ СПРИНТА (1Ч)</t>
        </is>
      </c>
    </row>
    <row r="16">
      <c r="B16" s="191" t="inlineStr">
        <is>
          <t>ВТ, СР, ЧТ - 30-МИНУТКИ (В ПТ - в рамках 30минуток - подготовка к демо)</t>
        </is>
      </c>
    </row>
    <row r="17">
      <c r="B17" s="191" t="inlineStr">
        <is>
          <t>ПТ - РЕТРО (как закрыли задачи прошлой недели) и ПЛАНИРОВАНИЕ СПРИНТА,</t>
        </is>
      </c>
    </row>
    <row r="18">
      <c r="B18" s="191" t="inlineStr">
        <is>
          <t>Как меняется формат 30-минуток:</t>
        </is>
      </c>
    </row>
    <row r="19">
      <c r="B19" s="191" t="inlineStr">
        <is>
          <t xml:space="preserve">5 минут - разбор воронки с отклонениями </t>
        </is>
      </c>
    </row>
    <row r="20">
      <c r="B20" s="191" t="inlineStr">
        <is>
          <t>Остальное время, каждый член команды статус по декомпозированным задачам на неделю в формате:</t>
        </is>
      </c>
    </row>
    <row r="21">
      <c r="B21" s="191" t="inlineStr">
        <is>
          <t>«Что мне удалось завершить вчера?»</t>
        </is>
      </c>
    </row>
    <row r="22">
      <c r="B22" s="191" t="inlineStr">
        <is>
          <t>«Над чем я буду работать сегодня?»</t>
        </is>
      </c>
    </row>
    <row r="23">
      <c r="B23" s="191" t="inlineStr">
        <is>
          <t>«Есть ли препятствия в моей работе?»</t>
        </is>
      </c>
    </row>
    <row r="24">
      <c r="B24" s="191" t="n"/>
    </row>
    <row r="25">
      <c r="B25" s="19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N74"/>
  <sheetViews>
    <sheetView workbookViewId="0">
      <selection activeCell="A1" sqref="A1"/>
    </sheetView>
  </sheetViews>
  <sheetFormatPr baseColWidth="8" defaultColWidth="12.63" defaultRowHeight="15.75" customHeight="1"/>
  <cols>
    <col width="16.88" customWidth="1" style="207" min="1" max="1"/>
    <col width="10.75" customWidth="1" style="207" min="5" max="5"/>
    <col width="39.38" customWidth="1" style="207" min="6" max="6"/>
  </cols>
  <sheetData>
    <row r="1">
      <c r="A1" s="180" t="inlineStr">
        <is>
          <t>Год</t>
        </is>
      </c>
      <c r="C1" s="180" t="inlineStr">
        <is>
          <t>Выбранный год</t>
        </is>
      </c>
      <c r="D1" s="180" t="inlineStr">
        <is>
          <t>Месяц числом</t>
        </is>
      </c>
      <c r="F1" s="180" t="inlineStr">
        <is>
          <t>Месяц</t>
        </is>
      </c>
      <c r="H1" s="180" t="inlineStr">
        <is>
          <t>Выбранный месяц</t>
        </is>
      </c>
    </row>
    <row r="2">
      <c r="A2" s="160">
        <f t="array" ref="A2">UNIQUE('Оплаты план/факт'!C2:C1000)</f>
        <v/>
      </c>
      <c r="C2" s="160">
        <f>'Дашборд'!B3</f>
        <v/>
      </c>
      <c r="D2" s="160">
        <f>IFERROR(__xludf.DUMMYFUNCTION("unique(FILTER('Оплаты план/факт'!B2:B1000,'Оплаты план/факт'!C2:C1000=C2))"),"#REF!")</f>
        <v/>
      </c>
      <c r="F2" s="160">
        <f>IFS(D2=1,"январь",D2=2,"февраль",D2=3,"март",D2=4,"апрель",D2=5,"май",D2=6,"июнь",D2=7,"июль",D2=8,"август",D2=9,"сентярбрь",D2=10,"октябрь",D2=11,"ноябрь",D2=12,"декабрь")</f>
        <v/>
      </c>
      <c r="H2" s="160">
        <f>'Дашборд'!C3</f>
        <v/>
      </c>
      <c r="I2" s="160">
        <f>IFS(H2="сентябрь",9 , H2="октябрь",10)</f>
        <v/>
      </c>
    </row>
    <row r="3">
      <c r="F3" s="160">
        <f>IFS(D3=1,"январь",D3=2,"февраль",D3=3,"март",D3=4,"апрель",D3=5,"май",D3=6,"июнь",D3=7,"июль",D3=8,"август",D3=9,"сентябрь",D3=10,"октябрь",D3=11,"ноябрь",D3=12,"декабрь")</f>
        <v/>
      </c>
    </row>
    <row r="4">
      <c r="F4" s="160">
        <f>IFS(D4=1,"январь",D4=2,"февраль",D4=3,"март",D4=4,"апрель",D4=5,"май",D4=6,"июнь",D4=7,"июль",D4=8,"август",D4=9,"сентярбрь",D4=10,"октябрь",D4=11,"ноябрь",D4=12,"декабрь")</f>
        <v/>
      </c>
    </row>
    <row r="5">
      <c r="F5" s="160">
        <f>IFS(D5=1,"январь",D5=2,"февраль",D5=3,"март",D5=4,"апрель",D5=5,"май",D5=6,"июнь",D5=7,"июль",D5=8,"август",D5=9,"сентярбрь",D5=10,"октябрь",D5=11,"ноябрь",D5=12,"декабрь")</f>
        <v/>
      </c>
    </row>
    <row r="6">
      <c r="F6" s="160">
        <f>IFS(D6=1,"январь",D6=2,"февраль",D6=3,"март",D6=4,"апрель",D6=5,"май",D6=6,"июнь",D6=7,"июль",D6=8,"август",D6=9,"сентярбрь",D6=10,"октябрь",D6=11,"ноябрь",D6=12,"декабрь")</f>
        <v/>
      </c>
    </row>
    <row r="14">
      <c r="A14" s="160" t="inlineStr">
        <is>
          <t>Динамика показателей план/факт</t>
        </is>
      </c>
    </row>
    <row r="16">
      <c r="A16" s="160" t="inlineStr">
        <is>
          <t>Выручка</t>
        </is>
      </c>
    </row>
    <row r="17">
      <c r="A17" s="180" t="inlineStr">
        <is>
          <t>месяц</t>
        </is>
      </c>
      <c r="B17" s="180" t="inlineStr">
        <is>
          <t>факт</t>
        </is>
      </c>
      <c r="C17" s="180" t="inlineStr">
        <is>
          <t>план</t>
        </is>
      </c>
      <c r="D17" s="194" t="inlineStr">
        <is>
          <t>текущий процент выполнения плана</t>
        </is>
      </c>
    </row>
    <row r="18">
      <c r="A18" s="160" t="inlineStr">
        <is>
          <t>сентябрь</t>
        </is>
      </c>
      <c r="B18" s="160">
        <f>SUMIFS('Оплаты план/факт'!D2:D1000,'Оплаты план/факт'!B2:B1000,"9")</f>
        <v/>
      </c>
      <c r="C18" s="160">
        <f>'Оплаты план/факт'!K5</f>
        <v/>
      </c>
      <c r="D18" s="202">
        <f>B18/C18</f>
        <v/>
      </c>
    </row>
    <row r="19">
      <c r="A19" s="160" t="inlineStr">
        <is>
          <t>октябрь</t>
        </is>
      </c>
      <c r="B19" s="160">
        <f>SUMIFS('Оплаты план/факт'!D3:D1001,'Оплаты план/факт'!B3:B1001,"10")</f>
        <v/>
      </c>
      <c r="C19" s="160">
        <f>'Оплаты план/факт'!L5</f>
        <v/>
      </c>
      <c r="D19" s="202">
        <f>B19/C19</f>
        <v/>
      </c>
    </row>
    <row r="20">
      <c r="A20" s="160" t="inlineStr">
        <is>
          <t>ноябрь</t>
        </is>
      </c>
      <c r="B20" s="160">
        <f>SUMIFS('Оплаты план/факт'!D4:D1002,'Оплаты план/факт'!B4:B1002,"11")</f>
        <v/>
      </c>
      <c r="C20" s="160">
        <f>'Оплаты план/факт'!M5</f>
        <v/>
      </c>
      <c r="D20" s="202">
        <f>B20/C20</f>
        <v/>
      </c>
    </row>
    <row r="21">
      <c r="A21" s="160" t="inlineStr">
        <is>
          <t>декабрь</t>
        </is>
      </c>
      <c r="B21" s="160">
        <f>SUMIFS('Оплаты план/факт'!D5:D1003,'Оплаты план/факт'!B5:B1003,"12")</f>
        <v/>
      </c>
      <c r="C21" s="160">
        <f>'Оплаты план/факт'!N5</f>
        <v/>
      </c>
      <c r="D21" s="202">
        <f>B21/C21</f>
        <v/>
      </c>
    </row>
    <row r="22">
      <c r="A22" s="160" t="inlineStr">
        <is>
          <t>январь</t>
        </is>
      </c>
      <c r="B22" s="160">
        <f>SUMIFS('Оплаты план/факт'!D6:D1004,'Оплаты план/факт'!B6:B1004,"1")</f>
        <v/>
      </c>
      <c r="C22" s="197" t="n">
        <v>300000</v>
      </c>
      <c r="D22" s="202">
        <f>B22/C22</f>
        <v/>
      </c>
    </row>
    <row r="25">
      <c r="A25" s="160" t="inlineStr">
        <is>
          <t>Сводка</t>
        </is>
      </c>
    </row>
    <row r="26">
      <c r="B26" s="180" t="inlineStr">
        <is>
          <t>факт</t>
        </is>
      </c>
      <c r="C26" s="180" t="inlineStr">
        <is>
          <t>план</t>
        </is>
      </c>
      <c r="D26" s="180" t="inlineStr">
        <is>
          <t>выполнения плана</t>
        </is>
      </c>
    </row>
    <row r="27">
      <c r="B27" s="62">
        <f>IFERROR(__xludf.DUMMYFUNCTION("filter(B18:B22,A18:A22=H2)"),"#N/A")</f>
        <v/>
      </c>
      <c r="C27" s="62">
        <f>IFERROR(__xludf.DUMMYFUNCTION("filter(C18:C22,A18:A22=H2)"),"#N/A")</f>
        <v/>
      </c>
      <c r="D27" s="160">
        <f>IFERROR(__xludf.DUMMYFUNCTION("filter(D18:D22,A18:A22=H2)"),"#N/A")</f>
        <v/>
      </c>
    </row>
    <row r="40">
      <c r="F40" s="160" t="inlineStr">
        <is>
          <t>сентябрь</t>
        </is>
      </c>
      <c r="G40" s="160" t="inlineStr">
        <is>
          <t>октябрь</t>
        </is>
      </c>
      <c r="H40" s="160" t="inlineStr">
        <is>
          <t>ноябрь</t>
        </is>
      </c>
      <c r="I40" s="160" t="inlineStr">
        <is>
          <t>декабрь</t>
        </is>
      </c>
    </row>
    <row r="41">
      <c r="A41" s="60" t="inlineStr">
        <is>
          <t>средний чек в выбранном месяце расчет</t>
        </is>
      </c>
      <c r="B41" s="160">
        <f>IFERROR(__xludf.DUMMYFUNCTION("QUERY('Оплаты план/факт'!A1:G1000, ""select avg(D) pivot B"",-1)"),"#REF!")</f>
        <v/>
      </c>
      <c r="K41" s="196" t="n"/>
    </row>
    <row r="43">
      <c r="A43" s="180" t="inlineStr">
        <is>
          <t>средний чек общий</t>
        </is>
      </c>
      <c r="B43" s="197">
        <f>AVERAGE('Оплаты план/факт'!D2:D1000)</f>
        <v/>
      </c>
    </row>
    <row r="44">
      <c r="A44" s="180" t="inlineStr">
        <is>
          <t>средний чек в выбранном месяце</t>
        </is>
      </c>
      <c r="B44" s="197">
        <f>IFERROR(__xludf.DUMMYFUNCTION("FILTER(C42:I42,C40:I40=H2)"),"")</f>
        <v/>
      </c>
      <c r="C44" s="160" t="n"/>
      <c r="D44" s="160" t="n"/>
    </row>
    <row r="49">
      <c r="G49" s="160" t="inlineStr">
        <is>
          <t>сентябрь</t>
        </is>
      </c>
      <c r="H49" s="160" t="inlineStr">
        <is>
          <t>октябрь</t>
        </is>
      </c>
      <c r="I49" s="160" t="inlineStr">
        <is>
          <t>ноябрь</t>
        </is>
      </c>
      <c r="J49" s="160" t="inlineStr">
        <is>
          <t>декабрь</t>
        </is>
      </c>
      <c r="K49" s="194" t="inlineStr">
        <is>
          <t>выручка менеджера в выбранном месяце</t>
        </is>
      </c>
    </row>
    <row r="50">
      <c r="B50" s="160">
        <f>IFERROR(__xludf.DUMMYFUNCTION("QUERY('Оплаты план/факт'!A1:G1000, ""select E, sum(D) group by E pivot B"",-1)"),"#REF!")</f>
        <v/>
      </c>
    </row>
    <row r="52">
      <c r="K52" s="160">
        <f>IFERROR(__xludf.DUMMYFUNCTION("FILTER(C52:J52,$C$49:$J$49=$H$2)"),"")</f>
        <v/>
      </c>
      <c r="L52" s="160" t="n"/>
      <c r="M52" s="160" t="n"/>
      <c r="N52" s="160" t="n"/>
    </row>
    <row r="53">
      <c r="K53" s="160">
        <f>IFERROR(__xludf.DUMMYFUNCTION("FILTER(C53:J53,$C$49:$J$49=$H$2)"),"")</f>
        <v/>
      </c>
      <c r="L53" s="160" t="n"/>
      <c r="M53" s="160" t="n"/>
      <c r="N53" s="160" t="n"/>
    </row>
    <row r="54">
      <c r="K54" s="160">
        <f>IFERROR(__xludf.DUMMYFUNCTION("FILTER(C54:J54,$C$49:$J$49=$H$2)"),"")</f>
        <v/>
      </c>
      <c r="L54" s="160" t="n"/>
      <c r="M54" s="160" t="n"/>
      <c r="N54" s="160" t="n"/>
    </row>
    <row r="57">
      <c r="A57" s="160" t="inlineStr">
        <is>
          <t>кол-во оплат общее</t>
        </is>
      </c>
      <c r="B57" s="198">
        <f>COUNT('Оплаты план/факт'!D2:D1000)</f>
        <v/>
      </c>
    </row>
    <row r="59">
      <c r="A59" s="160" t="inlineStr">
        <is>
          <t>кол-во оплат в месяц</t>
        </is>
      </c>
      <c r="B59" s="198" t="n"/>
    </row>
    <row r="62">
      <c r="A62" s="160" t="inlineStr">
        <is>
          <t>воронка для построения</t>
        </is>
      </c>
      <c r="B62" s="199" t="inlineStr">
        <is>
          <t>факт</t>
        </is>
      </c>
      <c r="C62" s="199" t="inlineStr">
        <is>
          <t>конверсии факт</t>
        </is>
      </c>
      <c r="D62" s="199" t="inlineStr">
        <is>
          <t>план</t>
        </is>
      </c>
      <c r="E62" s="200" t="inlineStr">
        <is>
          <t>конверсии план (% от предыдущей стадии)</t>
        </is>
      </c>
    </row>
    <row r="63">
      <c r="A63" s="160" t="inlineStr">
        <is>
          <t>сделки</t>
        </is>
      </c>
      <c r="B63" s="205">
        <f>'Sales PnL(архив)'!C5</f>
        <v/>
      </c>
      <c r="C63" s="202" t="n">
        <v>1</v>
      </c>
      <c r="D63" s="205">
        <f>'Sales PnL(архив)'!J5</f>
        <v/>
      </c>
      <c r="E63" s="203" t="n">
        <v>1</v>
      </c>
    </row>
    <row r="64">
      <c r="A64" s="160" t="inlineStr">
        <is>
          <t>квалифицировано</t>
        </is>
      </c>
      <c r="B64" s="205">
        <f>'Sales PnL(архив)'!C7</f>
        <v/>
      </c>
      <c r="C64" s="203">
        <f>'Sales PnL(архив)'!C8</f>
        <v/>
      </c>
      <c r="D64" s="204">
        <f>'Sales PnL(архив)'!J7</f>
        <v/>
      </c>
      <c r="E64" s="203">
        <f>'Sales PnL(архив)'!J8</f>
        <v/>
      </c>
    </row>
    <row r="65">
      <c r="A65" s="160" t="inlineStr">
        <is>
          <t>назначено ВУ</t>
        </is>
      </c>
      <c r="B65" s="205">
        <f>'Sales PnL(архив)'!C9</f>
        <v/>
      </c>
      <c r="C65" s="203">
        <f>'Sales PnL(архив)'!C10</f>
        <v/>
      </c>
      <c r="D65" s="204">
        <f>'Sales PnL(архив)'!J9</f>
        <v/>
      </c>
      <c r="E65" s="203">
        <f>'Sales PnL(архив)'!J10</f>
        <v/>
      </c>
    </row>
    <row r="66">
      <c r="A66" s="160" t="inlineStr">
        <is>
          <t>ВУ состоялось</t>
        </is>
      </c>
      <c r="B66" s="205">
        <f>'Sales PnL(архив)'!C12</f>
        <v/>
      </c>
      <c r="C66" s="203">
        <f>'Sales PnL(архив)'!C13</f>
        <v/>
      </c>
      <c r="D66" s="204">
        <f>'Sales PnL(архив)'!J12</f>
        <v/>
      </c>
      <c r="E66" s="203">
        <f>'Sales PnL(архив)'!J13</f>
        <v/>
      </c>
    </row>
    <row r="67">
      <c r="A67" s="160" t="inlineStr">
        <is>
          <t>Оплат</t>
        </is>
      </c>
      <c r="B67" s="205">
        <f>'Sales PnL(архив)'!C15</f>
        <v/>
      </c>
      <c r="C67" s="203">
        <f>'Sales PnL(архив)'!C16</f>
        <v/>
      </c>
      <c r="D67" s="204">
        <f>'Sales PnL(архив)'!J15</f>
        <v/>
      </c>
      <c r="E67" s="203">
        <f>'Sales PnL(архив)'!J16</f>
        <v/>
      </c>
    </row>
    <row r="69">
      <c r="A69" s="160" t="inlineStr">
        <is>
          <t>воронка для построения</t>
        </is>
      </c>
      <c r="B69" s="199" t="inlineStr">
        <is>
          <t>факт</t>
        </is>
      </c>
      <c r="C69" s="199" t="inlineStr">
        <is>
          <t>конверсии факт</t>
        </is>
      </c>
      <c r="D69" s="199" t="inlineStr">
        <is>
          <t>план</t>
        </is>
      </c>
      <c r="E69" s="200" t="inlineStr">
        <is>
          <t>конверсии план (% от предыдущей стадии)</t>
        </is>
      </c>
    </row>
    <row r="70">
      <c r="A70" s="160" t="inlineStr">
        <is>
          <t>сделки</t>
        </is>
      </c>
      <c r="B70" s="205">
        <f>'Sales PnL(архив)'!K5</f>
        <v/>
      </c>
      <c r="C70" s="202" t="n">
        <v>1</v>
      </c>
      <c r="D70" s="205">
        <f>'Sales PnL(архив)'!S5</f>
        <v/>
      </c>
      <c r="E70" s="202" t="n">
        <v>1</v>
      </c>
    </row>
    <row r="71">
      <c r="A71" s="160" t="inlineStr">
        <is>
          <t>квалифицировано</t>
        </is>
      </c>
      <c r="B71" s="205">
        <f>'Sales PnL(архив)'!K7</f>
        <v/>
      </c>
      <c r="C71" s="203">
        <f>'Sales PnL(архив)'!K8</f>
        <v/>
      </c>
      <c r="D71" s="204">
        <f>'Sales PnL(архив)'!S7</f>
        <v/>
      </c>
      <c r="E71" s="203">
        <f>'Sales PnL(архив)'!S8</f>
        <v/>
      </c>
    </row>
    <row r="72">
      <c r="A72" s="160" t="inlineStr">
        <is>
          <t>назначено ВУ</t>
        </is>
      </c>
      <c r="B72" s="205">
        <f>'Sales PnL(архив)'!K9</f>
        <v/>
      </c>
      <c r="C72" s="203">
        <f>'Sales PnL(архив)'!K10</f>
        <v/>
      </c>
      <c r="D72" s="204">
        <f>'Sales PnL(архив)'!S9</f>
        <v/>
      </c>
      <c r="E72" s="203">
        <f>'Sales PnL(архив)'!S10</f>
        <v/>
      </c>
    </row>
    <row r="73">
      <c r="A73" s="160" t="inlineStr">
        <is>
          <t>ВУ состоялось</t>
        </is>
      </c>
      <c r="B73" s="205">
        <f>'Sales PnL(архив)'!K12</f>
        <v/>
      </c>
      <c r="C73" s="203" t="n"/>
      <c r="D73" s="204">
        <f>'Sales PnL(архив)'!S12</f>
        <v/>
      </c>
      <c r="E73" s="203" t="n"/>
    </row>
    <row r="74">
      <c r="A74" s="160" t="inlineStr">
        <is>
          <t>Оплат</t>
        </is>
      </c>
      <c r="B74" s="205">
        <f>'Sales PnL(архив)'!K15</f>
        <v/>
      </c>
      <c r="C74" s="206">
        <f>'Sales PnL(архив)'!K16</f>
        <v/>
      </c>
      <c r="D74" s="204">
        <f>'Sales PnL(архив)'!S15</f>
        <v/>
      </c>
      <c r="E74" s="203">
        <f>'Sales PnL(архив)'!S16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07" min="1" max="1"/>
    <col width="24" customWidth="1" style="207" min="2" max="2"/>
    <col width="42" customWidth="1" style="207" min="3" max="3"/>
    <col width="18" customWidth="1" style="207" min="4" max="4"/>
    <col width="36" customWidth="1" style="207" min="5" max="5"/>
  </cols>
  <sheetData>
    <row r="1">
      <c r="A1" s="219" t="inlineStr">
        <is>
          <t>От кого</t>
        </is>
      </c>
      <c r="B1" s="219" t="inlineStr">
        <is>
          <t>Кому</t>
        </is>
      </c>
      <c r="C1" s="219" t="inlineStr">
        <is>
          <t>Что передаёт</t>
        </is>
      </c>
      <c r="D1" s="219" t="inlineStr">
        <is>
          <t>Когда</t>
        </is>
      </c>
      <c r="E1" s="219" t="inlineStr">
        <is>
          <t>Что блокирует</t>
        </is>
      </c>
    </row>
    <row r="2">
      <c r="A2" s="220" t="inlineStr">
        <is>
          <t>Analytics</t>
        </is>
      </c>
      <c r="B2" s="220" t="inlineStr">
        <is>
          <t>Product</t>
        </is>
      </c>
      <c r="C2" s="220" t="inlineStr">
        <is>
          <t>Аналитику тем, нарушений, сезонности и staffing</t>
        </is>
      </c>
      <c r="D2" s="220" t="inlineStr">
        <is>
          <t>Июнь W2–W3</t>
        </is>
      </c>
      <c r="E2" s="220" t="inlineStr">
        <is>
          <t>Без этого Product не финализирует PRD</t>
        </is>
      </c>
    </row>
    <row r="3">
      <c r="A3" s="220" t="inlineStr">
        <is>
          <t>Product</t>
        </is>
      </c>
      <c r="B3" s="220" t="inlineStr">
        <is>
          <t>ML</t>
        </is>
      </c>
      <c r="C3" s="220" t="inlineStr">
        <is>
          <t>ТЗ по первой волне, policy, требования к моделям</t>
        </is>
      </c>
      <c r="D3" s="220" t="inlineStr">
        <is>
          <t>До конца июня</t>
        </is>
      </c>
      <c r="E3" s="220" t="inlineStr">
        <is>
          <t>Без этого ML не начинает целевую разработку</t>
        </is>
      </c>
    </row>
    <row r="4">
      <c r="A4" s="220" t="inlineStr">
        <is>
          <t>Product</t>
        </is>
      </c>
      <c r="B4" s="220" t="inlineStr">
        <is>
          <t>ML-development</t>
        </is>
      </c>
      <c r="C4" s="220" t="inlineStr">
        <is>
          <t>PRD, архитектурные требования, decision logic</t>
        </is>
      </c>
      <c r="D4" s="220" t="inlineStr">
        <is>
          <t>Конец июня</t>
        </is>
      </c>
      <c r="E4" s="220" t="inlineStr">
        <is>
          <t>Без этого нельзя собирать интеграционный pipeline</t>
        </is>
      </c>
    </row>
    <row r="5">
      <c r="A5" s="220" t="inlineStr">
        <is>
          <t>Content</t>
        </is>
      </c>
      <c r="B5" s="220" t="inlineStr">
        <is>
          <t>ML</t>
        </is>
      </c>
      <c r="C5" s="220" t="inlineStr">
        <is>
          <t>Тексты, шаблоны, корпус нарушений</t>
        </is>
      </c>
      <c r="D5" s="220" t="inlineStr">
        <is>
          <t>Июнь W3 – Июль W1</t>
        </is>
      </c>
      <c r="E5" s="220" t="inlineStr">
        <is>
          <t>Без этого качество routing/clarification ниже</t>
        </is>
      </c>
    </row>
    <row r="6">
      <c r="A6" s="220" t="inlineStr">
        <is>
          <t>ML</t>
        </is>
      </c>
      <c r="B6" s="220" t="inlineStr">
        <is>
          <t>ML-development</t>
        </is>
      </c>
      <c r="C6" s="220" t="inlineStr">
        <is>
          <t>First models / сценарии / API contracts</t>
        </is>
      </c>
      <c r="D6" s="220" t="inlineStr">
        <is>
          <t>Июль W2–W3</t>
        </is>
      </c>
      <c r="E6" s="220" t="inlineStr">
        <is>
          <t>Без этого ML-dev не интегрирует MVP</t>
        </is>
      </c>
    </row>
    <row r="7">
      <c r="A7" s="220" t="inlineStr">
        <is>
          <t>Product</t>
        </is>
      </c>
      <c r="B7" s="220" t="inlineStr">
        <is>
          <t>Operations</t>
        </is>
      </c>
      <c r="C7" s="220" t="inlineStr">
        <is>
          <t>UX flow, intake logic, review flow</t>
        </is>
      </c>
      <c r="D7" s="220" t="inlineStr">
        <is>
          <t>Июль W2–W3</t>
        </is>
      </c>
      <c r="E7" s="220" t="inlineStr">
        <is>
          <t>Без этого Ops не может тестировать</t>
        </is>
      </c>
    </row>
    <row r="8">
      <c r="A8" s="220" t="inlineStr">
        <is>
          <t>ML-development</t>
        </is>
      </c>
      <c r="B8" s="220" t="inlineStr">
        <is>
          <t>Operations</t>
        </is>
      </c>
      <c r="C8" s="220" t="inlineStr">
        <is>
          <t>Интегрированный тестовый контур</t>
        </is>
      </c>
      <c r="D8" s="220" t="inlineStr">
        <is>
          <t>Июль W4</t>
        </is>
      </c>
      <c r="E8" s="220" t="inlineStr">
        <is>
          <t>Без этого нельзя начать closed test</t>
        </is>
      </c>
    </row>
    <row r="9">
      <c r="A9" s="220" t="inlineStr">
        <is>
          <t>Operations</t>
        </is>
      </c>
      <c r="B9" s="220" t="inlineStr">
        <is>
          <t>Product</t>
        </is>
      </c>
      <c r="C9" s="220" t="inlineStr">
        <is>
          <t>Feedback по тесту и боли линии</t>
        </is>
      </c>
      <c r="D9" s="220" t="inlineStr">
        <is>
          <t>Август W1–W2</t>
        </is>
      </c>
      <c r="E9" s="220" t="inlineStr">
        <is>
          <t>Без этого Product не выпускает v2 policy</t>
        </is>
      </c>
    </row>
    <row r="10">
      <c r="A10" s="220" t="inlineStr">
        <is>
          <t>Operations</t>
        </is>
      </c>
      <c r="B10" s="220" t="inlineStr">
        <is>
          <t>ML</t>
        </is>
      </c>
      <c r="C10" s="220" t="inlineStr">
        <is>
          <t>Ошибки моделей, спорные кейсы, false positives</t>
        </is>
      </c>
      <c r="D10" s="220" t="inlineStr">
        <is>
          <t>Август W1–W2</t>
        </is>
      </c>
      <c r="E10" s="220" t="inlineStr">
        <is>
          <t>Без этого ML не делает полезный retrain</t>
        </is>
      </c>
    </row>
    <row r="11">
      <c r="A11" s="220" t="inlineStr">
        <is>
          <t>Operations</t>
        </is>
      </c>
      <c r="B11" s="220" t="inlineStr">
        <is>
          <t>Content</t>
        </is>
      </c>
      <c r="C11" s="220" t="inlineStr">
        <is>
          <t>Feedback по текстам, шаблонам, регламентам</t>
        </is>
      </c>
      <c r="D11" s="220" t="inlineStr">
        <is>
          <t>Август W1–W2</t>
        </is>
      </c>
      <c r="E11" s="220" t="inlineStr">
        <is>
          <t>Без этого Content не финализирует материалы</t>
        </is>
      </c>
    </row>
    <row r="12">
      <c r="A12" s="220" t="inlineStr">
        <is>
          <t>Product / ML / Content</t>
        </is>
      </c>
      <c r="B12" s="220" t="inlineStr">
        <is>
          <t>ML-development</t>
        </is>
      </c>
      <c r="C12" s="220" t="inlineStr">
        <is>
          <t>Финальные правки для release candidate</t>
        </is>
      </c>
      <c r="D12" s="220" t="inlineStr">
        <is>
          <t>Август W2–W4</t>
        </is>
      </c>
      <c r="E12" s="220" t="inlineStr">
        <is>
          <t>Без этого rollout рискован</t>
        </is>
      </c>
    </row>
    <row r="13">
      <c r="A13" s="220" t="inlineStr">
        <is>
          <t>ML-development + Content + Ops rules</t>
        </is>
      </c>
      <c r="B13" s="220" t="inlineStr">
        <is>
          <t>Operations</t>
        </is>
      </c>
      <c r="C13" s="220" t="inlineStr">
        <is>
          <t>Готовый production contour + инструкции</t>
        </is>
      </c>
      <c r="D13" s="220" t="inlineStr">
        <is>
          <t>Сентябрь W1</t>
        </is>
      </c>
      <c r="E13" s="220" t="inlineStr">
        <is>
          <t>Без этого нельзя обучить и запустить линию</t>
        </is>
      </c>
    </row>
  </sheetData>
  <autoFilter ref="A1:E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07" min="1" max="1"/>
    <col width="16" customWidth="1" style="207" min="2" max="2"/>
    <col width="64" customWidth="1" style="207" min="3" max="3"/>
    <col width="42" customWidth="1" style="207" min="4" max="4"/>
  </cols>
  <sheetData>
    <row r="1">
      <c r="A1" s="219" t="inlineStr">
        <is>
          <t>Чекпоинт</t>
        </is>
      </c>
      <c r="B1" s="219" t="inlineStr">
        <is>
          <t>Срок</t>
        </is>
      </c>
      <c r="C1" s="219" t="inlineStr">
        <is>
          <t>Что должно быть готово</t>
        </is>
      </c>
      <c r="D1" s="219" t="inlineStr">
        <is>
          <t>Критичный риск при срыве</t>
        </is>
      </c>
    </row>
    <row r="2">
      <c r="A2" s="220" t="inlineStr">
        <is>
          <t>CP1</t>
        </is>
      </c>
      <c r="B2" s="220" t="inlineStr">
        <is>
          <t>30.06.2026</t>
        </is>
      </c>
      <c r="C2" s="220" t="inlineStr">
        <is>
          <t>Готовы аналитика нагрузки и прогноз тематик; утверждён и декомпозирован список продуктовых доработок; ML и ML-development получили ТЗ; Analytics передала данные Product</t>
        </is>
      </c>
      <c r="D2" s="220" t="inlineStr">
        <is>
          <t>Срыв всего критического пути: Product/ML/ML-dev стартуют поздно</t>
        </is>
      </c>
    </row>
    <row r="3">
      <c r="A3" s="220" t="inlineStr">
        <is>
          <t>CP2</t>
        </is>
      </c>
      <c r="B3" s="220" t="inlineStr">
        <is>
          <t>31.07.2026</t>
        </is>
      </c>
      <c r="C3" s="220" t="inlineStr">
        <is>
          <t>Прототипы форм и логика доуточнений готовы и согласованы; первые модели обучены и переданы на интеграцию; Content завершил v1 материалов</t>
        </is>
      </c>
      <c r="D3" s="220" t="inlineStr">
        <is>
          <t>Невозможно начать полноценный закрытый тест</t>
        </is>
      </c>
    </row>
    <row r="4">
      <c r="A4" s="220" t="inlineStr">
        <is>
          <t>CP3</t>
        </is>
      </c>
      <c r="B4" s="220" t="inlineStr">
        <is>
          <t>31.08.2026</t>
        </is>
      </c>
      <c r="C4" s="220" t="inlineStr">
        <is>
          <t>Все фичи прошли закрытое тестирование; feedback передан в ML; финальные регламенты утверждены; подтверждена готовность к запуску</t>
        </is>
      </c>
      <c r="D4" s="220" t="inlineStr">
        <is>
          <t>Rollout в сентябре становится рискованным или переносится</t>
        </is>
      </c>
    </row>
    <row r="5">
      <c r="A5" s="220" t="inlineStr">
        <is>
          <t>CP4</t>
        </is>
      </c>
      <c r="B5" s="220" t="inlineStr">
        <is>
          <t>30.09.2026</t>
        </is>
      </c>
      <c r="C5" s="220" t="inlineStr">
        <is>
          <t>Полный запуск завершён; мониторинг работает; операторы обучены и аттестованы; итоговые артефакты переданы заказчику</t>
        </is>
      </c>
      <c r="D5" s="220" t="inlineStr">
        <is>
          <t>Проект формально не считается доведённым до handover</t>
        </is>
      </c>
    </row>
  </sheetData>
  <autoFilter ref="A1:D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style="207" min="1" max="1"/>
    <col width="100" customWidth="1" style="207" min="2" max="2"/>
  </cols>
  <sheetData>
    <row r="1">
      <c r="A1" s="221" t="inlineStr">
        <is>
          <t>Категория</t>
        </is>
      </c>
      <c r="B1" s="221" t="inlineStr">
        <is>
          <t>Описание</t>
        </is>
      </c>
    </row>
    <row r="2">
      <c r="A2" s="220" t="inlineStr">
        <is>
          <t>Must-have</t>
        </is>
      </c>
      <c r="B2" s="220" t="inlineStr">
        <is>
          <t>Analytics и staffing model; PRD и intake/clarification flow; first models; MVP pipeline; closed test; release candidate; operator training; production rollout; monitoring; handover</t>
        </is>
      </c>
    </row>
    <row r="3">
      <c r="A3" s="220" t="inlineStr">
        <is>
          <t>Should-have</t>
        </is>
      </c>
      <c r="B3" s="220" t="inlineStr">
        <is>
          <t>Backlog v2; post-launch tuning; расширенные дашборды; дополнительные UX-улучшения; развитие score/bonus/advanced ML после стабилизации</t>
        </is>
      </c>
    </row>
    <row r="4">
      <c r="A4" s="220" t="inlineStr">
        <is>
          <t>Critical path</t>
        </is>
      </c>
      <c r="B4" s="220" t="inlineStr">
        <is>
          <t>Analytics → Product PRD → ML first models → ML-development integration → Operations testing → fixes → rollout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2026-04-06T03:05:44Z</dcterms:created>
  <dcterms:modified xmlns:dcterms="http://purl.org/dc/terms/" xmlns:xsi="http://www.w3.org/2001/XMLSchema-instance" xsi:type="dcterms:W3CDTF">2026-04-06T03:05:44Z</dcterms:modified>
</cp:coreProperties>
</file>