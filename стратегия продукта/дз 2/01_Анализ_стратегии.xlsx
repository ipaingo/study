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Софья Зименкова\учёба\магистратура\study\стратегия продукта\дз 2\"/>
    </mc:Choice>
  </mc:AlternateContent>
  <xr:revisionPtr revIDLastSave="0" documentId="13_ncr:1_{D6A5EC97-3B48-4EB6-B19D-9C4057292845}" xr6:coauthVersionLast="47" xr6:coauthVersionMax="47" xr10:uidLastSave="{00000000-0000-0000-0000-000000000000}"/>
  <bookViews>
    <workbookView xWindow="28680" yWindow="-120" windowWidth="29040" windowHeight="15840" activeTab="1" xr2:uid="{00000000-000D-0000-FFFF-FFFF00000000}"/>
  </bookViews>
  <sheets>
    <sheet name="Исходные данные" sheetId="2" r:id="rId1"/>
    <sheet name="Базовый ОПиУ" sheetId="3" r:id="rId2"/>
    <sheet name="Цель и рычаги" sheetId="4" r:id="rId3"/>
    <sheet name="Сценарий стратегии" sheetId="5" r:id="rId4"/>
    <sheet name="Юнит-экономика" sheetId="6" r:id="rId5"/>
  </sheets>
  <definedNames>
    <definedName name="asm_OPEX">'Базовый ОПиУ'!$D$17</definedName>
    <definedName name="base_GMVP">'Базовый ОПиУ'!$D$12</definedName>
    <definedName name="base_GP">'Базовый ОПиУ'!$D$16</definedName>
    <definedName name="base_OTHER">'Базовый ОПиУ'!$D$14</definedName>
    <definedName name="base_PROFIT">'Базовый ОПиУ'!$D$18</definedName>
    <definedName name="in_CANCEL">'Исходные данные'!$C$17</definedName>
    <definedName name="in_CHECK">'Исходные данные'!$C$9</definedName>
    <definedName name="in_COMPLAINT">'Исходные данные'!$C$19</definedName>
    <definedName name="in_CONV">'Исходные данные'!$C$13</definedName>
    <definedName name="in_CPA">'Исходные данные'!$C$20</definedName>
    <definedName name="in_CR">'Исходные данные'!$C$22</definedName>
    <definedName name="in_DELIVMIN">'Исходные данные'!$C$16</definedName>
    <definedName name="in_FREQ">'Исходные данные'!$C$7</definedName>
    <definedName name="in_GMPCT">'Исходные данные'!$C$11</definedName>
    <definedName name="in_MAU">'Исходные данные'!$C$6</definedName>
    <definedName name="in_NEWUSERS">'Исходные данные'!$C$12</definedName>
    <definedName name="in_NPS">'Исходные данные'!$C$18</definedName>
    <definedName name="in_ONTIME">'Исходные данные'!$C$15</definedName>
    <definedName name="in_ORDERS">'Исходные данные'!$C$8</definedName>
    <definedName name="in_ORGANIC">'Исходные данные'!$C$21</definedName>
    <definedName name="in_RET">'Исходные данные'!$C$14</definedName>
    <definedName name="in_REV">'Исходные данные'!$C$10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9" i="6" l="1"/>
  <c r="C18" i="6"/>
  <c r="C17" i="6"/>
  <c r="C16" i="6"/>
  <c r="C15" i="6"/>
  <c r="C9" i="6"/>
  <c r="C5" i="6"/>
  <c r="C6" i="6" s="1"/>
  <c r="C10" i="5"/>
  <c r="E10" i="5" s="1"/>
  <c r="C9" i="5"/>
  <c r="F9" i="5" s="1"/>
  <c r="G16" i="5" s="1"/>
  <c r="C8" i="5"/>
  <c r="F8" i="5" s="1"/>
  <c r="C7" i="5"/>
  <c r="E7" i="5" s="1"/>
  <c r="C15" i="4"/>
  <c r="C14" i="4"/>
  <c r="C13" i="4"/>
  <c r="C12" i="4"/>
  <c r="E17" i="3"/>
  <c r="D13" i="3"/>
  <c r="E13" i="3" s="1"/>
  <c r="D9" i="3"/>
  <c r="D7" i="3"/>
  <c r="D6" i="3"/>
  <c r="D8" i="3" l="1"/>
  <c r="D10" i="3" s="1"/>
  <c r="D12" i="3" s="1"/>
  <c r="E9" i="5"/>
  <c r="F16" i="5" s="1"/>
  <c r="D9" i="5"/>
  <c r="G15" i="5"/>
  <c r="D7" i="5"/>
  <c r="D14" i="5" s="1"/>
  <c r="D8" i="5"/>
  <c r="D15" i="5" s="1"/>
  <c r="E8" i="5"/>
  <c r="D10" i="5"/>
  <c r="D17" i="5" s="1"/>
  <c r="F10" i="5"/>
  <c r="F7" i="5"/>
  <c r="D18" i="5" l="1"/>
  <c r="D19" i="5" s="1"/>
  <c r="E12" i="3"/>
  <c r="C24" i="4"/>
  <c r="D24" i="4" s="1"/>
  <c r="C22" i="4"/>
  <c r="D22" i="4" s="1"/>
  <c r="C23" i="4"/>
  <c r="D23" i="4" s="1"/>
  <c r="D14" i="3"/>
  <c r="C32" i="5" s="1"/>
  <c r="E16" i="5"/>
  <c r="D16" i="5"/>
  <c r="E15" i="5"/>
  <c r="F17" i="5"/>
  <c r="G17" i="5"/>
  <c r="C36" i="5"/>
  <c r="D15" i="3"/>
  <c r="C7" i="6"/>
  <c r="C16" i="4"/>
  <c r="C26" i="4"/>
  <c r="D26" i="4" s="1"/>
  <c r="F15" i="5"/>
  <c r="E17" i="5"/>
  <c r="G14" i="5"/>
  <c r="F14" i="5"/>
  <c r="E14" i="5"/>
  <c r="D20" i="5" l="1"/>
  <c r="D21" i="5" s="1"/>
  <c r="D22" i="5" s="1"/>
  <c r="D23" i="5" s="1"/>
  <c r="C34" i="5"/>
  <c r="C33" i="5"/>
  <c r="D33" i="5" s="1"/>
  <c r="C25" i="4"/>
  <c r="D25" i="4" s="1"/>
  <c r="E14" i="3"/>
  <c r="D29" i="6"/>
  <c r="C35" i="5"/>
  <c r="D26" i="5"/>
  <c r="D17" i="6"/>
  <c r="E17" i="6" s="1"/>
  <c r="C11" i="6"/>
  <c r="D16" i="6"/>
  <c r="E16" i="6" s="1"/>
  <c r="F15" i="6"/>
  <c r="G15" i="6" s="1"/>
  <c r="F16" i="6"/>
  <c r="G16" i="6" s="1"/>
  <c r="F18" i="6"/>
  <c r="G18" i="6" s="1"/>
  <c r="F17" i="6"/>
  <c r="G17" i="6" s="1"/>
  <c r="C8" i="6"/>
  <c r="C10" i="6" s="1"/>
  <c r="F19" i="6"/>
  <c r="G19" i="6" s="1"/>
  <c r="D18" i="6"/>
  <c r="E18" i="6" s="1"/>
  <c r="D19" i="6"/>
  <c r="E19" i="6" s="1"/>
  <c r="D15" i="6"/>
  <c r="E15" i="6" s="1"/>
  <c r="D16" i="3"/>
  <c r="E15" i="3"/>
  <c r="E18" i="5"/>
  <c r="E19" i="5" s="1"/>
  <c r="E20" i="5" s="1"/>
  <c r="G18" i="5"/>
  <c r="G19" i="5" s="1"/>
  <c r="G20" i="5" s="1"/>
  <c r="G21" i="5" s="1"/>
  <c r="G22" i="5" s="1"/>
  <c r="G23" i="5" s="1"/>
  <c r="F18" i="5"/>
  <c r="F19" i="5" s="1"/>
  <c r="F20" i="5" s="1"/>
  <c r="F21" i="5" s="1"/>
  <c r="F22" i="5" s="1"/>
  <c r="F23" i="5" s="1"/>
  <c r="D35" i="5" l="1"/>
  <c r="D36" i="5"/>
  <c r="D34" i="5"/>
  <c r="D18" i="3"/>
  <c r="E16" i="3"/>
  <c r="E21" i="5"/>
  <c r="H20" i="5"/>
  <c r="E22" i="5" l="1"/>
  <c r="E23" i="5" s="1"/>
  <c r="H23" i="5" s="1"/>
  <c r="H22" i="5" s="1"/>
  <c r="H21" i="5"/>
  <c r="C5" i="4"/>
  <c r="C6" i="4" s="1"/>
  <c r="D19" i="3"/>
  <c r="E18" i="3"/>
  <c r="E23" i="4"/>
  <c r="F23" i="4" s="1"/>
  <c r="E22" i="4"/>
  <c r="F22" i="4" s="1"/>
  <c r="E24" i="4"/>
  <c r="F24" i="4" s="1"/>
  <c r="D27" i="5"/>
  <c r="E25" i="4"/>
  <c r="F25" i="4" s="1"/>
  <c r="E26" i="4"/>
  <c r="F26" i="4" s="1"/>
  <c r="C7" i="4" l="1"/>
  <c r="D16" i="4" l="1"/>
  <c r="E16" i="4" s="1"/>
  <c r="D15" i="4"/>
  <c r="E15" i="4" s="1"/>
  <c r="D14" i="4"/>
  <c r="D12" i="4"/>
  <c r="E12" i="4" s="1"/>
  <c r="C8" i="4"/>
  <c r="D13" i="4"/>
  <c r="E13" i="4" s="1"/>
  <c r="C24" i="6" l="1"/>
  <c r="C25" i="6" s="1"/>
  <c r="C26" i="6" s="1"/>
  <c r="C27" i="6" s="1"/>
  <c r="E14" i="4"/>
</calcChain>
</file>

<file path=xl/sharedStrings.xml><?xml version="1.0" encoding="utf-8"?>
<sst xmlns="http://schemas.openxmlformats.org/spreadsheetml/2006/main" count="185" uniqueCount="159">
  <si>
    <t>Требуемый рост валовой прибыли</t>
  </si>
  <si>
    <t>Исходные данные брифа TechGourmet</t>
  </si>
  <si>
    <t>Показатель</t>
  </si>
  <si>
    <t>Значение</t>
  </si>
  <si>
    <t>Единица</t>
  </si>
  <si>
    <t>Активные пользователи (MAU)</t>
  </si>
  <si>
    <t>пользователей/мес</t>
  </si>
  <si>
    <t>Frequency (заказов на пользователя в месяц)</t>
  </si>
  <si>
    <t>заказов/мес</t>
  </si>
  <si>
    <t>Заказы в месяц</t>
  </si>
  <si>
    <t>Средний чек</t>
  </si>
  <si>
    <t>руб.</t>
  </si>
  <si>
    <t>Месячная выручка</t>
  </si>
  <si>
    <t>руб./мес</t>
  </si>
  <si>
    <t>Gross Margin (доля выручки)</t>
  </si>
  <si>
    <t>доля</t>
  </si>
  <si>
    <t>Новые пользователи в месяц</t>
  </si>
  <si>
    <t>Месячный Retention Rate</t>
  </si>
  <si>
    <t>Доля заказов, доставленных вовремя</t>
  </si>
  <si>
    <t>Среднее время доставки</t>
  </si>
  <si>
    <t>минут</t>
  </si>
  <si>
    <t>Доля отменённых заказов</t>
  </si>
  <si>
    <t>NPS</t>
  </si>
  <si>
    <t>баллов</t>
  </si>
  <si>
    <t>Доля возвратов и жалоб</t>
  </si>
  <si>
    <t>CPA (стоимость привлечения платящего)</t>
  </si>
  <si>
    <t>Доля органического трафика</t>
  </si>
  <si>
    <t>Conversion Rate на главной странице</t>
  </si>
  <si>
    <t>Статья</t>
  </si>
  <si>
    <t>Месяц</t>
  </si>
  <si>
    <t>Год</t>
  </si>
  <si>
    <t>Активные клиенты, шт</t>
  </si>
  <si>
    <t>перенос из брифа</t>
  </si>
  <si>
    <t>Frequency, заказов/мес</t>
  </si>
  <si>
    <t>Заказы, шт/мес</t>
  </si>
  <si>
    <t>Средний чек, руб.</t>
  </si>
  <si>
    <t>Выручка и прибыль</t>
  </si>
  <si>
    <t>GMV, млн руб.</t>
  </si>
  <si>
    <t>перенос расчёта выше</t>
  </si>
  <si>
    <t>Выручка по брифу, млн руб.</t>
  </si>
  <si>
    <t>Прочая выручка, млн руб.</t>
  </si>
  <si>
    <t>выручка по брифу − GMV</t>
  </si>
  <si>
    <t>Выручка, млн руб.</t>
  </si>
  <si>
    <t>GMV + прочая выручка</t>
  </si>
  <si>
    <t>Валовая прибыль, млн руб.</t>
  </si>
  <si>
    <t>Постоянные OPEX, млн руб.</t>
  </si>
  <si>
    <t>допущение (синий), обоснование ниже</t>
  </si>
  <si>
    <t>Операционная прибыль, млн руб.</t>
  </si>
  <si>
    <t>валовая прибыль − OPEX</t>
  </si>
  <si>
    <t>Маржинальность прибыли</t>
  </si>
  <si>
    <t>Цель +300% и анализ рычагов роста прибыли</t>
  </si>
  <si>
    <t>Блок 1. Целевые значения</t>
  </si>
  <si>
    <t>Базовая операционная прибыль, млн руб./мес</t>
  </si>
  <si>
    <t>Требуемая валовая прибыль, млн руб./мес</t>
  </si>
  <si>
    <t>Блок 2. Требуемое изменение каждого рычага ПО ОТДЕЛЬНОСТИ (остальные на базе)</t>
  </si>
  <si>
    <t>Рычаг</t>
  </si>
  <si>
    <t>База</t>
  </si>
  <si>
    <t>Требуемое значение</t>
  </si>
  <si>
    <t>Изменение</t>
  </si>
  <si>
    <t>Оценка реалистичности</t>
  </si>
  <si>
    <t>Gross Margin, %</t>
  </si>
  <si>
    <t>Прочая выручка, млн руб./мес</t>
  </si>
  <si>
    <t>Блок 3. Эластичность: эффект роста рычага на 10% (остальные на базе)</t>
  </si>
  <si>
    <t>Рычаг (+10%)</t>
  </si>
  <si>
    <t>Драйверы (значения на конец квартала)</t>
  </si>
  <si>
    <t>Драйвер</t>
  </si>
  <si>
    <t>Q0 (база)</t>
  </si>
  <si>
    <t>Q1</t>
  </si>
  <si>
    <t>Q2</t>
  </si>
  <si>
    <t>Q3</t>
  </si>
  <si>
    <t>Q4 (цель)</t>
  </si>
  <si>
    <t>Поквартальный ОПиУ (средние драйверы квартала = середина интервала)</t>
  </si>
  <si>
    <t>Q4</t>
  </si>
  <si>
    <t>Frequency (среднее)</t>
  </si>
  <si>
    <t>Средний чек (среднее)</t>
  </si>
  <si>
    <t>Gross Margin (среднее)</t>
  </si>
  <si>
    <t>Активные клиенты (среднее)</t>
  </si>
  <si>
    <t>Заказы/мес, шт</t>
  </si>
  <si>
    <t>GMV/мес, млн руб.</t>
  </si>
  <si>
    <t>Выручка/мес, млн руб.</t>
  </si>
  <si>
    <t>Валовая прибыль/мес, млн руб.</t>
  </si>
  <si>
    <t>Операционная прибыль/мес, млн руб.</t>
  </si>
  <si>
    <t>Операционная прибыль за квартал, млн руб.</t>
  </si>
  <si>
    <t>Проверка цели (run-rate на выходе года, по целевым значениям драйверов Q4):</t>
  </si>
  <si>
    <t>Прибыль/мес по целевым драйверам, млн руб.</t>
  </si>
  <si>
    <t>цель достигнута</t>
  </si>
  <si>
    <t>Мост роста прибыли (месяц, выход на целевые значения; накопительное применение рычагов)</t>
  </si>
  <si>
    <t>Шаг</t>
  </si>
  <si>
    <t>Прибыль, млн/мес</t>
  </si>
  <si>
    <t>Прирост шага, млн/мес</t>
  </si>
  <si>
    <t>Средняя lifetime клиента, мес</t>
  </si>
  <si>
    <t>при retention 32%/мес</t>
  </si>
  <si>
    <t>Заказов за lifetime</t>
  </si>
  <si>
    <t>Средний доход с заказа, руб.</t>
  </si>
  <si>
    <t>чек + прочая выручка на заказ (100 руб.)</t>
  </si>
  <si>
    <t>LTV (валовая прибыль), руб.</t>
  </si>
  <si>
    <t>CAC (CPA), руб.</t>
  </si>
  <si>
    <t>из брифа</t>
  </si>
  <si>
    <t>Окупаемость CAC из GP, мес</t>
  </si>
  <si>
    <t>Retention</t>
  </si>
  <si>
    <t>Lifetime, мес</t>
  </si>
  <si>
    <t>LTV, руб. (F=1,2)</t>
  </si>
  <si>
    <t>LTV/CAC (F=1,2)</t>
  </si>
  <si>
    <t>LTV, руб. (F=1,68)</t>
  </si>
  <si>
    <t>LTV/CAC (F=1,68)</t>
  </si>
  <si>
    <t>Клиентская база для +300% только привлечением, шт</t>
  </si>
  <si>
    <t>тот же фактор 1,99, что и для frequency/чека</t>
  </si>
  <si>
    <t>Gross-привлечения (замещение оттока 68%/мес + net-рост), шт/мес</t>
  </si>
  <si>
    <t>оценка снизу: реактивации не учтены</t>
  </si>
  <si>
    <t>Маркетинговые затраты, млн руб./мес</t>
  </si>
  <si>
    <t>по CPA 1 200 руб. из брифа</t>
  </si>
  <si>
    <t>Прибыль после маркетинга, млн руб./мес</t>
  </si>
  <si>
    <t>Демпинг (GM −3 п.п.):</t>
  </si>
  <si>
    <t>прибыль при демпинге, млн руб./мес (−54%)</t>
  </si>
  <si>
    <t>Формула</t>
  </si>
  <si>
    <t>Дельта валовой прибыли, млн/мес</t>
  </si>
  <si>
    <t>Дельта прибыли, млн/мес</t>
  </si>
  <si>
    <t>Дельта прибыли, %</t>
  </si>
  <si>
    <t>Почему рост через привлечение противоречит стратегии</t>
  </si>
  <si>
    <t>driver-based модель "снизу вверх", денежные потоки - в млн руб.</t>
  </si>
  <si>
    <t>Вывод: ни один рычаг в отдельности не даёт +300% реалистично - цель достигается только комбинацией рычагов (см. лист "Сценарий стратегии").</t>
  </si>
  <si>
    <t>Драйверы нарастают равномерно по кварталам (линейная рампа). Целевые значения (синие) выбраны по стратегии: главный вклад - frequency и маржа, умеренный - база и чек.</t>
  </si>
  <si>
    <t>средний срок жизни клиента - 1,47 мес &lt; 3,7 мес: не окупается</t>
  </si>
  <si>
    <t>убыток: привлечение "в вакууме" даёт цель, в реальности - нет</t>
  </si>
  <si>
    <t>Базовый упрощённый ОПиУ TechGourmet (месяц/год)</t>
  </si>
  <si>
    <t>прибыль/выручка</t>
  </si>
  <si>
    <t>Эластичность (Дельта% прибыли/10%)</t>
  </si>
  <si>
    <t>LTV/CAC</t>
  </si>
  <si>
    <t>клиенты * frequency</t>
  </si>
  <si>
    <t>GMV (заказы * чек), млн руб./мес</t>
  </si>
  <si>
    <t>заказы * чек/1 000 000</t>
  </si>
  <si>
    <t>выручка * Gross Margin</t>
  </si>
  <si>
    <t>Целевая прибыль (*4, +300%), млн руб./мес</t>
  </si>
  <si>
    <t>Frequency *1,10</t>
  </si>
  <si>
    <t>Средний чек *1,10</t>
  </si>
  <si>
    <t>Активные клиенты *1,10</t>
  </si>
  <si>
    <t>Gross Margin *1,10 (+1,8 п.п.)</t>
  </si>
  <si>
    <t>Прочая выручка *1,10</t>
  </si>
  <si>
    <t>+ Frequency *1,40</t>
  </si>
  <si>
    <t>+ Средний чек *1,05</t>
  </si>
  <si>
    <t>+ Клиенты *1,12</t>
  </si>
  <si>
    <t>lifetime * frequency</t>
  </si>
  <si>
    <t>заказы * доход * маржа</t>
  </si>
  <si>
    <t>2. Чувствительность LTV/CAC к retention и frequency</t>
  </si>
  <si>
    <t>1. LTV и CAC (текущие значения)</t>
  </si>
  <si>
    <t>Почему привлечение не может быть главным рычагом</t>
  </si>
  <si>
    <t>Сценарий "повторные заказы"</t>
  </si>
  <si>
    <t>Конверсия регистрация -&gt; первая покупка</t>
  </si>
  <si>
    <t>1,2 -&gt; 2,39 заказа/мес - физически невозможно без смены модели</t>
  </si>
  <si>
    <t>1 400 -&gt; 2 788 руб. (+99%) - нереально на рынке без скидочных войн</t>
  </si>
  <si>
    <t>18% -&gt; 34,7% (+16,7 п.п.) - за один год недостижимо</t>
  </si>
  <si>
    <t>12 -&gt; 178,7 млн руб. (*15) - не является продуктовым рычагом</t>
  </si>
  <si>
    <t>+ Gross Margin -&gt; 22%</t>
  </si>
  <si>
    <t>Прирост к базе (цель &gt;= +300%)</t>
  </si>
  <si>
    <t>бенчмарк зрелого бизнеса &gt;= 3:1 (McKinsey)</t>
  </si>
  <si>
    <t>Обоснование допущения по OPEX (22,4 млн руб./мес ~= 12,4% выручки): в брифе нет структуры расходов, поэтому постоянные OPEX (офис, разработка, поддержка, базовый маркетинг, IT) заданы допущением так, чтобы операционная прибыль составляла 10 млн руб./мес (5,6% выручки) - правдоподобный уровень для маркетплейса доставки еды после масштабирования. Допущение подлежит уточнению с финансовой командой; целевые значения (+300%) не зависят от его уровня: при любом OPEX цель формулируется через рост валовой прибыли на +92,6%.</t>
  </si>
  <si>
    <t>100 000 -&gt; 199 167 (+99%) - только платным привлечением при LTV/CAC ~= 0,4; см. "Анти-сценарий"</t>
  </si>
  <si>
    <t>Эластичность клиенто-зависимых рычагов (frequency, чек, база) одинакова - все действуют через GMV; маржа эластичнее (действует на всю выручку), но её рост ограничен операционно. Численно цель требует произведения факторов ~= 1,93 к валовой прибыли.</t>
  </si>
  <si>
    <t>Вывод: даже при retention 50% и frequency 1,68 LTV/CAC ~= 0,76 - платное привлечение по CPA 1 200 руб. разрушает стоимость. Параллельно нужно снижать CAC (рост органики с 15%, реферальные механики) до ~500 руб., тогда LTV/CAC при целевых метриках превысит 1,9.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</si>
</sst>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,##0.0"/>
  </numFmts>
  <fonts count="14" x14ac:knownFonts="1">
    <font>
      <sz val="11"/>
      <color theme="1"/>
      <name val="Calibri"/>
      <family val="2"/>
      <scheme val="minor"/>
    </font>
    <font>
      <i/>
      <sz val="9"/>
      <color rgb="FF808080"/>
      <name val="Calibri"/>
    </font>
    <font>
      <sz val="11"/>
      <color rgb="FF0000CC"/>
      <name val="Calibri"/>
    </font>
    <font>
      <sz val="11"/>
      <color rgb="FF008000"/>
      <name val="Calibri"/>
    </font>
    <font>
      <sz val="11"/>
      <color rgb="FF000000"/>
      <name val="Calibri"/>
    </font>
    <font>
      <sz val="11"/>
      <name val="Calibri"/>
    </font>
    <font>
      <b/>
      <sz val="11"/>
      <name val="Calibri"/>
    </font>
    <font>
      <b/>
      <sz val="14"/>
      <name val="Calibri"/>
      <family val="2"/>
      <charset val="204"/>
    </font>
    <font>
      <sz val="11"/>
      <name val="Calibri"/>
      <family val="2"/>
      <charset val="204"/>
      <scheme val="minor"/>
    </font>
    <font>
      <i/>
      <sz val="9"/>
      <name val="Calibri"/>
      <family val="2"/>
      <charset val="204"/>
    </font>
    <font>
      <b/>
      <sz val="11"/>
      <name val="Calibri"/>
      <family val="2"/>
      <charset val="204"/>
    </font>
    <font>
      <sz val="11"/>
      <name val="Calibri"/>
      <family val="2"/>
      <charset val="204"/>
    </font>
    <font>
      <sz val="9"/>
      <name val="Calibri"/>
      <family val="2"/>
      <charset val="204"/>
    </font>
    <font>
      <sz val="10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E2EFDA"/>
      </patternFill>
    </fill>
    <fill>
      <patternFill patternType="solid">
        <fgColor rgb="FFFCE4D6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2">
    <xf numFmtId="0" fontId="0" fillId="0" borderId="0" xfId="0"/>
    <xf numFmtId="0" fontId="0" fillId="0" borderId="0" xfId="0" applyBorder="1"/>
    <xf numFmtId="0" fontId="0" fillId="0" borderId="0" xfId="0" applyBorder="1" applyAlignment="1">
      <alignment vertical="center"/>
    </xf>
    <xf numFmtId="0" fontId="7" fillId="0" borderId="0" xfId="0" applyFont="1" applyBorder="1" applyAlignment="1">
      <alignment vertical="center"/>
    </xf>
    <xf numFmtId="0" fontId="8" fillId="0" borderId="0" xfId="0" applyFont="1" applyBorder="1"/>
    <xf numFmtId="0" fontId="9" fillId="0" borderId="0" xfId="0" applyFont="1" applyBorder="1" applyAlignment="1">
      <alignment vertical="center"/>
    </xf>
    <xf numFmtId="0" fontId="8" fillId="0" borderId="0" xfId="0" applyFont="1" applyBorder="1"/>
    <xf numFmtId="0" fontId="7" fillId="0" borderId="0" xfId="0" applyFont="1" applyFill="1" applyBorder="1" applyAlignment="1">
      <alignment vertical="center"/>
    </xf>
    <xf numFmtId="0" fontId="8" fillId="0" borderId="0" xfId="0" applyFont="1" applyFill="1" applyBorder="1"/>
    <xf numFmtId="0" fontId="9" fillId="0" borderId="0" xfId="0" applyFont="1" applyFill="1" applyBorder="1" applyAlignment="1">
      <alignment vertical="center"/>
    </xf>
    <xf numFmtId="0" fontId="10" fillId="0" borderId="0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vertical="center"/>
    </xf>
    <xf numFmtId="164" fontId="11" fillId="0" borderId="0" xfId="0" applyNumberFormat="1" applyFont="1" applyFill="1" applyBorder="1" applyAlignment="1">
      <alignment horizontal="right" vertical="center"/>
    </xf>
    <xf numFmtId="0" fontId="8" fillId="0" borderId="4" xfId="0" applyFont="1" applyFill="1" applyBorder="1" applyAlignment="1">
      <alignment vertical="center"/>
    </xf>
    <xf numFmtId="0" fontId="8" fillId="0" borderId="5" xfId="0" applyFont="1" applyFill="1" applyBorder="1" applyAlignment="1">
      <alignment vertical="center"/>
    </xf>
    <xf numFmtId="0" fontId="8" fillId="0" borderId="6" xfId="0" applyFont="1" applyFill="1" applyBorder="1" applyAlignment="1">
      <alignment vertical="center"/>
    </xf>
    <xf numFmtId="0" fontId="8" fillId="0" borderId="8" xfId="0" applyFont="1" applyFill="1" applyBorder="1" applyAlignment="1">
      <alignment vertical="center"/>
    </xf>
    <xf numFmtId="0" fontId="10" fillId="0" borderId="9" xfId="0" applyFont="1" applyFill="1" applyBorder="1" applyAlignment="1">
      <alignment horizontal="left" vertical="center" wrapText="1"/>
    </xf>
    <xf numFmtId="0" fontId="10" fillId="0" borderId="11" xfId="0" applyFont="1" applyFill="1" applyBorder="1" applyAlignment="1">
      <alignment horizontal="left" vertical="center" wrapText="1"/>
    </xf>
    <xf numFmtId="0" fontId="10" fillId="0" borderId="1" xfId="0" applyFont="1" applyFill="1" applyBorder="1" applyAlignment="1">
      <alignment horizontal="left" vertical="center" wrapText="1"/>
    </xf>
    <xf numFmtId="3" fontId="11" fillId="0" borderId="12" xfId="0" applyNumberFormat="1" applyFont="1" applyFill="1" applyBorder="1" applyAlignment="1">
      <alignment horizontal="right" vertical="center"/>
    </xf>
    <xf numFmtId="4" fontId="11" fillId="0" borderId="12" xfId="0" applyNumberFormat="1" applyFont="1" applyFill="1" applyBorder="1" applyAlignment="1">
      <alignment horizontal="right" vertical="center"/>
    </xf>
    <xf numFmtId="164" fontId="11" fillId="0" borderId="12" xfId="0" applyNumberFormat="1" applyFont="1" applyFill="1" applyBorder="1" applyAlignment="1">
      <alignment horizontal="right" vertical="center"/>
    </xf>
    <xf numFmtId="164" fontId="11" fillId="0" borderId="13" xfId="0" applyNumberFormat="1" applyFont="1" applyFill="1" applyBorder="1" applyAlignment="1">
      <alignment horizontal="right" vertical="center"/>
    </xf>
    <xf numFmtId="0" fontId="9" fillId="0" borderId="0" xfId="0" applyFont="1" applyFill="1" applyBorder="1" applyAlignment="1">
      <alignment vertical="center" wrapText="1"/>
    </xf>
    <xf numFmtId="0" fontId="8" fillId="0" borderId="0" xfId="0" applyFont="1" applyFill="1" applyBorder="1" applyAlignment="1"/>
    <xf numFmtId="3" fontId="3" fillId="0" borderId="0" xfId="0" applyNumberFormat="1" applyFont="1" applyBorder="1" applyAlignment="1">
      <alignment horizontal="right" vertical="center"/>
    </xf>
    <xf numFmtId="0" fontId="5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12" fillId="0" borderId="0" xfId="0" applyFont="1" applyFill="1" applyBorder="1" applyAlignment="1">
      <alignment vertical="center"/>
    </xf>
    <xf numFmtId="0" fontId="10" fillId="0" borderId="0" xfId="0" applyFont="1" applyBorder="1" applyAlignment="1">
      <alignment vertical="center"/>
    </xf>
    <xf numFmtId="0" fontId="12" fillId="0" borderId="0" xfId="0" applyFont="1" applyBorder="1" applyAlignment="1">
      <alignment vertical="center" wrapText="1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8" xfId="0" applyBorder="1" applyAlignment="1">
      <alignment vertical="center"/>
    </xf>
    <xf numFmtId="0" fontId="12" fillId="0" borderId="12" xfId="0" applyFont="1" applyBorder="1" applyAlignment="1">
      <alignment vertical="center"/>
    </xf>
    <xf numFmtId="0" fontId="12" fillId="0" borderId="13" xfId="0" applyFont="1" applyBorder="1" applyAlignment="1">
      <alignment vertical="center"/>
    </xf>
    <xf numFmtId="3" fontId="3" fillId="0" borderId="12" xfId="0" applyNumberFormat="1" applyFont="1" applyBorder="1" applyAlignment="1">
      <alignment horizontal="right" vertical="center"/>
    </xf>
    <xf numFmtId="4" fontId="3" fillId="0" borderId="12" xfId="0" applyNumberFormat="1" applyFont="1" applyBorder="1" applyAlignment="1">
      <alignment horizontal="right" vertical="center"/>
    </xf>
    <xf numFmtId="3" fontId="4" fillId="0" borderId="12" xfId="0" applyNumberFormat="1" applyFont="1" applyBorder="1" applyAlignment="1">
      <alignment horizontal="right" vertical="center"/>
    </xf>
    <xf numFmtId="165" fontId="4" fillId="0" borderId="13" xfId="0" applyNumberFormat="1" applyFont="1" applyBorder="1" applyAlignment="1">
      <alignment horizontal="right" vertical="center"/>
    </xf>
    <xf numFmtId="0" fontId="5" fillId="0" borderId="2" xfId="0" applyFont="1" applyBorder="1" applyAlignment="1">
      <alignment vertical="center"/>
    </xf>
    <xf numFmtId="165" fontId="4" fillId="0" borderId="3" xfId="0" applyNumberFormat="1" applyFont="1" applyBorder="1" applyAlignment="1">
      <alignment horizontal="right" vertical="center"/>
    </xf>
    <xf numFmtId="0" fontId="5" fillId="0" borderId="4" xfId="0" applyFont="1" applyBorder="1" applyAlignment="1">
      <alignment vertical="center"/>
    </xf>
    <xf numFmtId="165" fontId="4" fillId="0" borderId="5" xfId="0" applyNumberFormat="1" applyFont="1" applyBorder="1" applyAlignment="1">
      <alignment horizontal="right" vertical="center"/>
    </xf>
    <xf numFmtId="0" fontId="6" fillId="0" borderId="4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12" fillId="0" borderId="14" xfId="0" applyFont="1" applyBorder="1" applyAlignment="1">
      <alignment vertical="center"/>
    </xf>
    <xf numFmtId="165" fontId="4" fillId="0" borderId="14" xfId="0" applyNumberFormat="1" applyFont="1" applyBorder="1" applyAlignment="1">
      <alignment horizontal="right" vertical="center"/>
    </xf>
    <xf numFmtId="165" fontId="3" fillId="0" borderId="12" xfId="0" applyNumberFormat="1" applyFont="1" applyBorder="1" applyAlignment="1">
      <alignment horizontal="right" vertical="center"/>
    </xf>
    <xf numFmtId="165" fontId="4" fillId="0" borderId="12" xfId="0" applyNumberFormat="1" applyFont="1" applyBorder="1" applyAlignment="1">
      <alignment horizontal="right" vertical="center"/>
    </xf>
    <xf numFmtId="165" fontId="2" fillId="0" borderId="12" xfId="0" applyNumberFormat="1" applyFont="1" applyBorder="1" applyAlignment="1">
      <alignment horizontal="right" vertical="center"/>
    </xf>
    <xf numFmtId="164" fontId="4" fillId="0" borderId="13" xfId="0" applyNumberFormat="1" applyFont="1" applyBorder="1" applyAlignment="1">
      <alignment horizontal="right" vertical="center"/>
    </xf>
    <xf numFmtId="0" fontId="10" fillId="0" borderId="9" xfId="0" applyFont="1" applyBorder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0" fillId="0" borderId="11" xfId="0" applyFont="1" applyBorder="1" applyAlignment="1">
      <alignment horizontal="left" vertical="center"/>
    </xf>
    <xf numFmtId="165" fontId="5" fillId="0" borderId="0" xfId="0" applyNumberFormat="1" applyFont="1" applyBorder="1" applyAlignment="1">
      <alignment horizontal="right" vertical="center"/>
    </xf>
    <xf numFmtId="165" fontId="6" fillId="0" borderId="0" xfId="0" applyNumberFormat="1" applyFont="1" applyBorder="1" applyAlignment="1">
      <alignment horizontal="right" vertical="center"/>
    </xf>
    <xf numFmtId="165" fontId="11" fillId="0" borderId="0" xfId="0" applyNumberFormat="1" applyFont="1" applyFill="1" applyBorder="1" applyAlignment="1">
      <alignment horizontal="right" vertical="center"/>
    </xf>
    <xf numFmtId="165" fontId="10" fillId="0" borderId="0" xfId="0" applyNumberFormat="1" applyFont="1" applyFill="1" applyBorder="1" applyAlignment="1">
      <alignment horizontal="right" vertical="center"/>
    </xf>
    <xf numFmtId="0" fontId="7" fillId="0" borderId="0" xfId="0" applyFont="1" applyFill="1" applyBorder="1" applyAlignment="1">
      <alignment horizontal="left" vertical="center"/>
    </xf>
    <xf numFmtId="0" fontId="8" fillId="0" borderId="0" xfId="0" applyFont="1" applyFill="1" applyBorder="1" applyAlignment="1">
      <alignment horizontal="left"/>
    </xf>
    <xf numFmtId="0" fontId="10" fillId="0" borderId="0" xfId="0" applyFont="1" applyFill="1" applyBorder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0" fontId="11" fillId="0" borderId="0" xfId="0" applyFont="1" applyBorder="1" applyAlignment="1">
      <alignment vertical="center" wrapText="1"/>
    </xf>
    <xf numFmtId="2" fontId="0" fillId="0" borderId="5" xfId="0" applyNumberFormat="1" applyBorder="1" applyAlignment="1">
      <alignment horizontal="right" vertical="center"/>
    </xf>
    <xf numFmtId="2" fontId="0" fillId="0" borderId="8" xfId="0" applyNumberFormat="1" applyBorder="1" applyAlignment="1">
      <alignment horizontal="right" vertical="center"/>
    </xf>
    <xf numFmtId="4" fontId="0" fillId="0" borderId="4" xfId="0" applyNumberFormat="1" applyBorder="1" applyAlignment="1">
      <alignment horizontal="right" vertical="center"/>
    </xf>
    <xf numFmtId="164" fontId="0" fillId="0" borderId="5" xfId="0" applyNumberFormat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164" fontId="0" fillId="0" borderId="8" xfId="0" applyNumberFormat="1" applyBorder="1" applyAlignment="1">
      <alignment horizontal="right" vertical="center"/>
    </xf>
    <xf numFmtId="4" fontId="0" fillId="0" borderId="12" xfId="0" applyNumberFormat="1" applyBorder="1" applyAlignment="1">
      <alignment horizontal="right" vertical="center"/>
    </xf>
    <xf numFmtId="4" fontId="0" fillId="0" borderId="13" xfId="0" applyNumberFormat="1" applyBorder="1" applyAlignment="1">
      <alignment horizontal="right" vertical="center"/>
    </xf>
    <xf numFmtId="0" fontId="12" fillId="0" borderId="5" xfId="0" applyFont="1" applyBorder="1" applyAlignment="1">
      <alignment vertical="center" wrapText="1"/>
    </xf>
    <xf numFmtId="0" fontId="12" fillId="0" borderId="8" xfId="0" applyFont="1" applyBorder="1" applyAlignment="1">
      <alignment vertical="center" wrapText="1"/>
    </xf>
    <xf numFmtId="4" fontId="3" fillId="0" borderId="4" xfId="0" applyNumberFormat="1" applyFont="1" applyBorder="1" applyAlignment="1">
      <alignment horizontal="right" vertical="center"/>
    </xf>
    <xf numFmtId="3" fontId="3" fillId="0" borderId="4" xfId="0" applyNumberFormat="1" applyFont="1" applyBorder="1" applyAlignment="1">
      <alignment horizontal="right" vertical="center"/>
    </xf>
    <xf numFmtId="164" fontId="3" fillId="0" borderId="4" xfId="0" applyNumberFormat="1" applyFont="1" applyBorder="1" applyAlignment="1">
      <alignment horizontal="right" vertical="center"/>
    </xf>
    <xf numFmtId="165" fontId="3" fillId="0" borderId="6" xfId="0" applyNumberFormat="1" applyFont="1" applyBorder="1" applyAlignment="1">
      <alignment horizontal="right" vertical="center"/>
    </xf>
    <xf numFmtId="3" fontId="0" fillId="0" borderId="12" xfId="0" applyNumberFormat="1" applyBorder="1" applyAlignment="1">
      <alignment horizontal="right" vertical="center"/>
    </xf>
    <xf numFmtId="164" fontId="0" fillId="0" borderId="12" xfId="0" applyNumberFormat="1" applyBorder="1" applyAlignment="1">
      <alignment horizontal="right" vertical="center"/>
    </xf>
    <xf numFmtId="165" fontId="0" fillId="0" borderId="13" xfId="0" applyNumberFormat="1" applyBorder="1" applyAlignment="1">
      <alignment horizontal="right" vertical="center"/>
    </xf>
    <xf numFmtId="3" fontId="5" fillId="0" borderId="0" xfId="0" applyNumberFormat="1" applyFont="1" applyBorder="1" applyAlignment="1">
      <alignment horizontal="right" vertical="center"/>
    </xf>
    <xf numFmtId="164" fontId="6" fillId="2" borderId="0" xfId="0" applyNumberFormat="1" applyFont="1" applyFill="1" applyBorder="1" applyAlignment="1">
      <alignment horizontal="right" vertical="center"/>
    </xf>
    <xf numFmtId="4" fontId="2" fillId="0" borderId="5" xfId="0" applyNumberFormat="1" applyFont="1" applyBorder="1" applyAlignment="1">
      <alignment horizontal="right" vertical="center"/>
    </xf>
    <xf numFmtId="3" fontId="2" fillId="0" borderId="5" xfId="0" applyNumberFormat="1" applyFont="1" applyBorder="1" applyAlignment="1">
      <alignment horizontal="right" vertical="center"/>
    </xf>
    <xf numFmtId="164" fontId="2" fillId="0" borderId="5" xfId="0" applyNumberFormat="1" applyFont="1" applyBorder="1" applyAlignment="1">
      <alignment horizontal="right" vertical="center"/>
    </xf>
    <xf numFmtId="3" fontId="2" fillId="0" borderId="8" xfId="0" applyNumberFormat="1" applyFont="1" applyBorder="1" applyAlignment="1">
      <alignment horizontal="right" vertical="center"/>
    </xf>
    <xf numFmtId="3" fontId="3" fillId="0" borderId="6" xfId="0" applyNumberFormat="1" applyFont="1" applyBorder="1" applyAlignment="1">
      <alignment horizontal="right" vertical="center"/>
    </xf>
    <xf numFmtId="4" fontId="0" fillId="0" borderId="5" xfId="0" applyNumberFormat="1" applyBorder="1" applyAlignment="1">
      <alignment horizontal="right" vertical="center"/>
    </xf>
    <xf numFmtId="3" fontId="0" fillId="0" borderId="4" xfId="0" applyNumberFormat="1" applyBorder="1" applyAlignment="1">
      <alignment horizontal="right" vertical="center"/>
    </xf>
    <xf numFmtId="3" fontId="0" fillId="0" borderId="5" xfId="0" applyNumberFormat="1" applyBorder="1" applyAlignment="1">
      <alignment horizontal="right" vertical="center"/>
    </xf>
    <xf numFmtId="164" fontId="0" fillId="0" borderId="4" xfId="0" applyNumberFormat="1" applyBorder="1" applyAlignment="1">
      <alignment horizontal="right" vertical="center"/>
    </xf>
    <xf numFmtId="3" fontId="0" fillId="0" borderId="6" xfId="0" applyNumberFormat="1" applyBorder="1" applyAlignment="1">
      <alignment horizontal="right" vertical="center"/>
    </xf>
    <xf numFmtId="3" fontId="0" fillId="0" borderId="8" xfId="0" applyNumberFormat="1" applyBorder="1" applyAlignment="1">
      <alignment horizontal="right" vertical="center"/>
    </xf>
    <xf numFmtId="3" fontId="0" fillId="0" borderId="13" xfId="0" applyNumberFormat="1" applyBorder="1" applyAlignment="1">
      <alignment horizontal="right" vertical="center"/>
    </xf>
    <xf numFmtId="0" fontId="11" fillId="0" borderId="4" xfId="0" applyFont="1" applyBorder="1" applyAlignment="1">
      <alignment vertical="center"/>
    </xf>
    <xf numFmtId="0" fontId="0" fillId="0" borderId="5" xfId="0" applyBorder="1"/>
    <xf numFmtId="165" fontId="6" fillId="0" borderId="5" xfId="0" applyNumberFormat="1" applyFont="1" applyBorder="1" applyAlignment="1">
      <alignment horizontal="right" vertical="center"/>
    </xf>
    <xf numFmtId="0" fontId="6" fillId="0" borderId="6" xfId="0" applyFont="1" applyBorder="1" applyAlignment="1">
      <alignment vertical="center"/>
    </xf>
    <xf numFmtId="0" fontId="0" fillId="0" borderId="7" xfId="0" applyBorder="1"/>
    <xf numFmtId="165" fontId="6" fillId="0" borderId="8" xfId="0" applyNumberFormat="1" applyFont="1" applyBorder="1" applyAlignment="1">
      <alignment horizontal="right" vertical="center"/>
    </xf>
    <xf numFmtId="0" fontId="10" fillId="0" borderId="9" xfId="0" applyFont="1" applyFill="1" applyBorder="1" applyAlignment="1">
      <alignment horizontal="left" vertical="center"/>
    </xf>
    <xf numFmtId="0" fontId="8" fillId="0" borderId="10" xfId="0" applyFont="1" applyFill="1" applyBorder="1" applyAlignment="1">
      <alignment horizontal="left" vertical="center"/>
    </xf>
    <xf numFmtId="0" fontId="10" fillId="0" borderId="11" xfId="0" applyFont="1" applyFill="1" applyBorder="1" applyAlignment="1">
      <alignment horizontal="left" vertical="center"/>
    </xf>
    <xf numFmtId="4" fontId="11" fillId="0" borderId="4" xfId="0" applyNumberFormat="1" applyFont="1" applyBorder="1" applyAlignment="1">
      <alignment horizontal="right" vertical="center"/>
    </xf>
    <xf numFmtId="4" fontId="11" fillId="0" borderId="5" xfId="0" applyNumberFormat="1" applyFont="1" applyBorder="1" applyAlignment="1">
      <alignment horizontal="right" vertical="center"/>
    </xf>
    <xf numFmtId="3" fontId="11" fillId="0" borderId="4" xfId="0" applyNumberFormat="1" applyFont="1" applyBorder="1" applyAlignment="1">
      <alignment horizontal="right" vertical="center"/>
    </xf>
    <xf numFmtId="3" fontId="11" fillId="0" borderId="5" xfId="0" applyNumberFormat="1" applyFont="1" applyBorder="1" applyAlignment="1">
      <alignment horizontal="right" vertical="center"/>
    </xf>
    <xf numFmtId="164" fontId="11" fillId="0" borderId="4" xfId="0" applyNumberFormat="1" applyFont="1" applyBorder="1" applyAlignment="1">
      <alignment horizontal="right" vertical="center"/>
    </xf>
    <xf numFmtId="164" fontId="11" fillId="0" borderId="5" xfId="0" applyNumberFormat="1" applyFont="1" applyBorder="1" applyAlignment="1">
      <alignment horizontal="right" vertical="center"/>
    </xf>
    <xf numFmtId="3" fontId="5" fillId="0" borderId="4" xfId="0" applyNumberFormat="1" applyFont="1" applyBorder="1" applyAlignment="1">
      <alignment horizontal="right" vertical="center"/>
    </xf>
    <xf numFmtId="3" fontId="5" fillId="0" borderId="5" xfId="0" applyNumberFormat="1" applyFont="1" applyBorder="1" applyAlignment="1">
      <alignment horizontal="right" vertical="center"/>
    </xf>
    <xf numFmtId="165" fontId="5" fillId="0" borderId="4" xfId="0" applyNumberFormat="1" applyFont="1" applyBorder="1" applyAlignment="1">
      <alignment horizontal="right" vertical="center"/>
    </xf>
    <xf numFmtId="165" fontId="5" fillId="0" borderId="5" xfId="0" applyNumberFormat="1" applyFont="1" applyBorder="1" applyAlignment="1">
      <alignment horizontal="right" vertical="center"/>
    </xf>
    <xf numFmtId="165" fontId="6" fillId="0" borderId="4" xfId="0" applyNumberFormat="1" applyFont="1" applyBorder="1" applyAlignment="1">
      <alignment horizontal="right" vertical="center"/>
    </xf>
    <xf numFmtId="165" fontId="6" fillId="0" borderId="6" xfId="0" applyNumberFormat="1" applyFont="1" applyBorder="1" applyAlignment="1">
      <alignment horizontal="right" vertical="center"/>
    </xf>
    <xf numFmtId="0" fontId="10" fillId="0" borderId="1" xfId="0" applyFont="1" applyFill="1" applyBorder="1" applyAlignment="1">
      <alignment horizontal="left" vertical="center"/>
    </xf>
    <xf numFmtId="4" fontId="11" fillId="0" borderId="12" xfId="0" applyNumberFormat="1" applyFont="1" applyBorder="1" applyAlignment="1">
      <alignment horizontal="right" vertical="center"/>
    </xf>
    <xf numFmtId="3" fontId="11" fillId="0" borderId="12" xfId="0" applyNumberFormat="1" applyFont="1" applyBorder="1" applyAlignment="1">
      <alignment horizontal="right" vertical="center"/>
    </xf>
    <xf numFmtId="164" fontId="11" fillId="0" borderId="12" xfId="0" applyNumberFormat="1" applyFont="1" applyBorder="1" applyAlignment="1">
      <alignment horizontal="right" vertical="center"/>
    </xf>
    <xf numFmtId="3" fontId="5" fillId="0" borderId="12" xfId="0" applyNumberFormat="1" applyFont="1" applyBorder="1" applyAlignment="1">
      <alignment horizontal="right" vertical="center"/>
    </xf>
    <xf numFmtId="165" fontId="5" fillId="0" borderId="12" xfId="0" applyNumberFormat="1" applyFont="1" applyBorder="1" applyAlignment="1">
      <alignment horizontal="right" vertical="center"/>
    </xf>
    <xf numFmtId="165" fontId="6" fillId="0" borderId="12" xfId="0" applyNumberFormat="1" applyFont="1" applyBorder="1" applyAlignment="1">
      <alignment horizontal="right" vertical="center"/>
    </xf>
    <xf numFmtId="165" fontId="6" fillId="0" borderId="13" xfId="0" applyNumberFormat="1" applyFont="1" applyBorder="1" applyAlignment="1">
      <alignment horizontal="right" vertical="center"/>
    </xf>
    <xf numFmtId="165" fontId="0" fillId="0" borderId="5" xfId="0" applyNumberFormat="1" applyBorder="1" applyAlignment="1">
      <alignment horizontal="right" vertical="center"/>
    </xf>
    <xf numFmtId="165" fontId="0" fillId="0" borderId="8" xfId="0" applyNumberFormat="1" applyBorder="1" applyAlignment="1">
      <alignment horizontal="right" vertical="center"/>
    </xf>
    <xf numFmtId="165" fontId="0" fillId="0" borderId="12" xfId="0" applyNumberFormat="1" applyBorder="1" applyAlignment="1">
      <alignment horizontal="right" vertical="center"/>
    </xf>
    <xf numFmtId="0" fontId="11" fillId="0" borderId="0" xfId="0" applyFont="1" applyFill="1" applyBorder="1" applyAlignment="1">
      <alignment vertical="center"/>
    </xf>
    <xf numFmtId="0" fontId="1" fillId="0" borderId="0" xfId="0" applyFont="1" applyBorder="1" applyAlignment="1">
      <alignment vertical="center" wrapText="1"/>
    </xf>
    <xf numFmtId="0" fontId="0" fillId="0" borderId="0" xfId="0" applyBorder="1" applyAlignment="1"/>
    <xf numFmtId="4" fontId="5" fillId="0" borderId="0" xfId="0" applyNumberFormat="1" applyFont="1" applyBorder="1" applyAlignment="1">
      <alignment horizontal="right" vertical="center"/>
    </xf>
    <xf numFmtId="2" fontId="5" fillId="3" borderId="0" xfId="0" applyNumberFormat="1" applyFont="1" applyFill="1" applyBorder="1" applyAlignment="1">
      <alignment horizontal="right" vertical="center"/>
    </xf>
    <xf numFmtId="165" fontId="6" fillId="3" borderId="0" xfId="0" applyNumberFormat="1" applyFont="1" applyFill="1" applyBorder="1" applyAlignment="1">
      <alignment horizontal="right" vertical="center"/>
    </xf>
    <xf numFmtId="10" fontId="11" fillId="0" borderId="0" xfId="0" applyNumberFormat="1" applyFont="1" applyBorder="1" applyAlignment="1">
      <alignment horizontal="right" vertical="center"/>
    </xf>
    <xf numFmtId="2" fontId="0" fillId="2" borderId="5" xfId="0" applyNumberFormat="1" applyFill="1" applyBorder="1" applyAlignment="1">
      <alignment horizontal="right" vertical="center"/>
    </xf>
    <xf numFmtId="164" fontId="11" fillId="0" borderId="6" xfId="0" applyNumberFormat="1" applyFont="1" applyBorder="1" applyAlignment="1">
      <alignment horizontal="right" vertical="center"/>
    </xf>
    <xf numFmtId="0" fontId="0" fillId="0" borderId="0" xfId="0" applyBorder="1" applyAlignment="1">
      <alignment vertical="center" wrapText="1"/>
    </xf>
    <xf numFmtId="0" fontId="13" fillId="0" borderId="0" xfId="0" applyFont="1" applyBorder="1" applyAlignment="1">
      <alignment vertical="center" wrapText="1"/>
    </xf>
    <xf numFmtId="2" fontId="0" fillId="0" borderId="12" xfId="0" applyNumberFormat="1" applyBorder="1" applyAlignment="1">
      <alignment horizontal="right" vertical="center"/>
    </xf>
    <xf numFmtId="2" fontId="0" fillId="0" borderId="13" xfId="0" applyNumberFormat="1" applyBorder="1" applyAlignment="1">
      <alignment horizontal="right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Мост роста операционной прибыли, млн руб./мес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9.6593229166666669E-2"/>
          <c:y val="0.1190625"/>
          <c:w val="0.87915329861111113"/>
          <c:h val="0.73019895833333315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'Сценарий стратегии'!$C$31</c:f>
              <c:strCache>
                <c:ptCount val="1"/>
                <c:pt idx="0">
                  <c:v>Прибыль, млн/мес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invertIfNegative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invertIfNegative val="1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invertIfNegative val="1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invertIfNegative val="1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cat>
            <c:strRef>
              <c:f>'Сценарий стратегии'!$B$32:$B$36</c:f>
              <c:strCache>
                <c:ptCount val="5"/>
                <c:pt idx="0">
                  <c:v>База</c:v>
                </c:pt>
                <c:pt idx="1">
                  <c:v>+ Frequency *1,40</c:v>
                </c:pt>
                <c:pt idx="2">
                  <c:v>+ Средний чек *1,05</c:v>
                </c:pt>
                <c:pt idx="3">
                  <c:v>+ Gross Margin -&gt; 22%</c:v>
                </c:pt>
                <c:pt idx="4">
                  <c:v>+ Клиенты *1,12</c:v>
                </c:pt>
              </c:strCache>
            </c:strRef>
          </c:cat>
          <c:val>
            <c:numRef>
              <c:f>'Сценарий стратегии'!$C$32:$C$36</c:f>
              <c:numCache>
                <c:formatCode>#\ ##0.0</c:formatCode>
                <c:ptCount val="5"/>
                <c:pt idx="0">
                  <c:v>10</c:v>
                </c:pt>
                <c:pt idx="1">
                  <c:v>22.095999999999997</c:v>
                </c:pt>
                <c:pt idx="2">
                  <c:v>24.212800000000009</c:v>
                </c:pt>
                <c:pt idx="3">
                  <c:v>34.571200000000012</c:v>
                </c:pt>
                <c:pt idx="4">
                  <c:v>41.090944000000007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34-4109-96EE-99BB571B94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млн руб./мес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#\ 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314324</xdr:colOff>
      <xdr:row>30</xdr:row>
      <xdr:rowOff>142875</xdr:rowOff>
    </xdr:from>
    <xdr:ext cx="6829425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24"/>
  <sheetViews>
    <sheetView workbookViewId="0">
      <selection activeCell="D28" sqref="D28"/>
    </sheetView>
  </sheetViews>
  <sheetFormatPr defaultRowHeight="15" x14ac:dyDescent="0.25"/>
  <cols>
    <col min="1" max="1" width="2" style="8" customWidth="1"/>
    <col min="2" max="2" width="52" style="8" customWidth="1"/>
    <col min="3" max="3" width="16" style="8" customWidth="1"/>
    <col min="4" max="4" width="19.42578125" style="8" bestFit="1" customWidth="1"/>
    <col min="5" max="5" width="9.140625" style="8" customWidth="1"/>
    <col min="6" max="16384" width="9.140625" style="8"/>
  </cols>
  <sheetData>
    <row r="2" spans="2:5" ht="18.75" x14ac:dyDescent="0.25">
      <c r="B2" s="7" t="s">
        <v>1</v>
      </c>
    </row>
    <row r="3" spans="2:5" x14ac:dyDescent="0.25">
      <c r="B3" s="9"/>
    </row>
    <row r="5" spans="2:5" x14ac:dyDescent="0.25">
      <c r="B5" s="17" t="s">
        <v>2</v>
      </c>
      <c r="C5" s="19" t="s">
        <v>3</v>
      </c>
      <c r="D5" s="18" t="s">
        <v>4</v>
      </c>
      <c r="E5" s="10"/>
    </row>
    <row r="6" spans="2:5" x14ac:dyDescent="0.25">
      <c r="B6" s="13" t="s">
        <v>5</v>
      </c>
      <c r="C6" s="20">
        <v>100000</v>
      </c>
      <c r="D6" s="14" t="s">
        <v>6</v>
      </c>
      <c r="E6" s="11"/>
    </row>
    <row r="7" spans="2:5" x14ac:dyDescent="0.25">
      <c r="B7" s="13" t="s">
        <v>7</v>
      </c>
      <c r="C7" s="21">
        <v>1.2</v>
      </c>
      <c r="D7" s="14" t="s">
        <v>8</v>
      </c>
      <c r="E7" s="11"/>
    </row>
    <row r="8" spans="2:5" x14ac:dyDescent="0.25">
      <c r="B8" s="13" t="s">
        <v>9</v>
      </c>
      <c r="C8" s="20">
        <v>120000</v>
      </c>
      <c r="D8" s="14" t="s">
        <v>8</v>
      </c>
      <c r="E8" s="11"/>
    </row>
    <row r="9" spans="2:5" x14ac:dyDescent="0.25">
      <c r="B9" s="13" t="s">
        <v>10</v>
      </c>
      <c r="C9" s="20">
        <v>1400</v>
      </c>
      <c r="D9" s="14" t="s">
        <v>11</v>
      </c>
      <c r="E9" s="11"/>
    </row>
    <row r="10" spans="2:5" x14ac:dyDescent="0.25">
      <c r="B10" s="13" t="s">
        <v>12</v>
      </c>
      <c r="C10" s="20">
        <v>180000000</v>
      </c>
      <c r="D10" s="14" t="s">
        <v>13</v>
      </c>
      <c r="E10" s="11"/>
    </row>
    <row r="11" spans="2:5" x14ac:dyDescent="0.25">
      <c r="B11" s="13" t="s">
        <v>14</v>
      </c>
      <c r="C11" s="22">
        <v>0.18</v>
      </c>
      <c r="D11" s="14" t="s">
        <v>15</v>
      </c>
      <c r="E11" s="11"/>
    </row>
    <row r="12" spans="2:5" x14ac:dyDescent="0.25">
      <c r="B12" s="13" t="s">
        <v>16</v>
      </c>
      <c r="C12" s="20">
        <v>12000</v>
      </c>
      <c r="D12" s="14" t="s">
        <v>6</v>
      </c>
      <c r="E12" s="11"/>
    </row>
    <row r="13" spans="2:5" x14ac:dyDescent="0.25">
      <c r="B13" s="13" t="s">
        <v>147</v>
      </c>
      <c r="C13" s="22">
        <v>0.1</v>
      </c>
      <c r="D13" s="14" t="s">
        <v>15</v>
      </c>
      <c r="E13" s="11"/>
    </row>
    <row r="14" spans="2:5" x14ac:dyDescent="0.25">
      <c r="B14" s="13" t="s">
        <v>17</v>
      </c>
      <c r="C14" s="22">
        <v>0.32</v>
      </c>
      <c r="D14" s="14" t="s">
        <v>15</v>
      </c>
      <c r="E14" s="11"/>
    </row>
    <row r="15" spans="2:5" x14ac:dyDescent="0.25">
      <c r="B15" s="13" t="s">
        <v>18</v>
      </c>
      <c r="C15" s="22">
        <v>0.89</v>
      </c>
      <c r="D15" s="14" t="s">
        <v>15</v>
      </c>
      <c r="E15" s="11"/>
    </row>
    <row r="16" spans="2:5" x14ac:dyDescent="0.25">
      <c r="B16" s="13" t="s">
        <v>19</v>
      </c>
      <c r="C16" s="20">
        <v>48</v>
      </c>
      <c r="D16" s="14" t="s">
        <v>20</v>
      </c>
      <c r="E16" s="11"/>
    </row>
    <row r="17" spans="2:5" x14ac:dyDescent="0.25">
      <c r="B17" s="13" t="s">
        <v>21</v>
      </c>
      <c r="C17" s="22">
        <v>0.06</v>
      </c>
      <c r="D17" s="14" t="s">
        <v>15</v>
      </c>
      <c r="E17" s="11"/>
    </row>
    <row r="18" spans="2:5" x14ac:dyDescent="0.25">
      <c r="B18" s="13" t="s">
        <v>22</v>
      </c>
      <c r="C18" s="20">
        <v>35</v>
      </c>
      <c r="D18" s="14" t="s">
        <v>23</v>
      </c>
      <c r="E18" s="11"/>
    </row>
    <row r="19" spans="2:5" x14ac:dyDescent="0.25">
      <c r="B19" s="13" t="s">
        <v>24</v>
      </c>
      <c r="C19" s="22">
        <v>0.03</v>
      </c>
      <c r="D19" s="14" t="s">
        <v>15</v>
      </c>
      <c r="E19" s="11"/>
    </row>
    <row r="20" spans="2:5" x14ac:dyDescent="0.25">
      <c r="B20" s="13" t="s">
        <v>25</v>
      </c>
      <c r="C20" s="20">
        <v>1200</v>
      </c>
      <c r="D20" s="14" t="s">
        <v>11</v>
      </c>
      <c r="E20" s="11"/>
    </row>
    <row r="21" spans="2:5" x14ac:dyDescent="0.25">
      <c r="B21" s="13" t="s">
        <v>26</v>
      </c>
      <c r="C21" s="22">
        <v>0.15</v>
      </c>
      <c r="D21" s="14" t="s">
        <v>15</v>
      </c>
      <c r="E21" s="11"/>
    </row>
    <row r="22" spans="2:5" x14ac:dyDescent="0.25">
      <c r="B22" s="15" t="s">
        <v>27</v>
      </c>
      <c r="C22" s="23">
        <v>0.15</v>
      </c>
      <c r="D22" s="16" t="s">
        <v>15</v>
      </c>
      <c r="E22" s="11"/>
    </row>
    <row r="24" spans="2:5" x14ac:dyDescent="0.25">
      <c r="B24" s="24"/>
      <c r="C24" s="25"/>
      <c r="D24" s="25"/>
      <c r="E24" s="25"/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E20"/>
  <sheetViews>
    <sheetView tabSelected="1" workbookViewId="0">
      <selection activeCell="E24" sqref="E24"/>
    </sheetView>
  </sheetViews>
  <sheetFormatPr defaultRowHeight="15" x14ac:dyDescent="0.25"/>
  <cols>
    <col min="1" max="1" width="2" style="1" customWidth="1"/>
    <col min="2" max="2" width="52" style="1" customWidth="1"/>
    <col min="3" max="3" width="46" style="1" customWidth="1"/>
    <col min="4" max="5" width="18" style="1" customWidth="1"/>
    <col min="6" max="16384" width="9.140625" style="1"/>
  </cols>
  <sheetData>
    <row r="2" spans="2:5" ht="18.75" x14ac:dyDescent="0.25">
      <c r="B2" s="7" t="s">
        <v>124</v>
      </c>
      <c r="C2" s="8"/>
      <c r="D2" s="8"/>
      <c r="E2" s="8"/>
    </row>
    <row r="3" spans="2:5" x14ac:dyDescent="0.25">
      <c r="B3" s="29" t="s">
        <v>119</v>
      </c>
      <c r="C3" s="8"/>
      <c r="D3" s="8"/>
      <c r="E3" s="8"/>
    </row>
    <row r="4" spans="2:5" x14ac:dyDescent="0.25">
      <c r="B4" s="8"/>
      <c r="C4" s="8"/>
      <c r="D4" s="8"/>
      <c r="E4" s="8"/>
    </row>
    <row r="5" spans="2:5" x14ac:dyDescent="0.25">
      <c r="B5" s="17" t="s">
        <v>28</v>
      </c>
      <c r="C5" s="19" t="s">
        <v>114</v>
      </c>
      <c r="D5" s="19" t="s">
        <v>29</v>
      </c>
      <c r="E5" s="18" t="s">
        <v>30</v>
      </c>
    </row>
    <row r="6" spans="2:5" x14ac:dyDescent="0.25">
      <c r="B6" s="32" t="s">
        <v>31</v>
      </c>
      <c r="C6" s="36" t="s">
        <v>32</v>
      </c>
      <c r="D6" s="38">
        <f>in_MAU</f>
        <v>100000</v>
      </c>
      <c r="E6" s="33"/>
    </row>
    <row r="7" spans="2:5" x14ac:dyDescent="0.25">
      <c r="B7" s="32" t="s">
        <v>33</v>
      </c>
      <c r="C7" s="36" t="s">
        <v>32</v>
      </c>
      <c r="D7" s="39">
        <f>in_FREQ</f>
        <v>1.2</v>
      </c>
      <c r="E7" s="33"/>
    </row>
    <row r="8" spans="2:5" x14ac:dyDescent="0.25">
      <c r="B8" s="32" t="s">
        <v>34</v>
      </c>
      <c r="C8" s="36" t="s">
        <v>128</v>
      </c>
      <c r="D8" s="40">
        <f>D6*D7</f>
        <v>120000</v>
      </c>
      <c r="E8" s="33"/>
    </row>
    <row r="9" spans="2:5" x14ac:dyDescent="0.25">
      <c r="B9" s="32" t="s">
        <v>35</v>
      </c>
      <c r="C9" s="36" t="s">
        <v>32</v>
      </c>
      <c r="D9" s="38">
        <f>in_CHECK</f>
        <v>1400</v>
      </c>
      <c r="E9" s="33"/>
    </row>
    <row r="10" spans="2:5" x14ac:dyDescent="0.25">
      <c r="B10" s="34" t="s">
        <v>129</v>
      </c>
      <c r="C10" s="37" t="s">
        <v>130</v>
      </c>
      <c r="D10" s="41">
        <f>D8*D9/1000000</f>
        <v>168</v>
      </c>
      <c r="E10" s="35"/>
    </row>
    <row r="11" spans="2:5" x14ac:dyDescent="0.25">
      <c r="B11" s="54" t="s">
        <v>36</v>
      </c>
      <c r="C11" s="55"/>
      <c r="D11" s="55"/>
      <c r="E11" s="56"/>
    </row>
    <row r="12" spans="2:5" x14ac:dyDescent="0.25">
      <c r="B12" s="42" t="s">
        <v>37</v>
      </c>
      <c r="C12" s="48" t="s">
        <v>38</v>
      </c>
      <c r="D12" s="49">
        <f>D10</f>
        <v>168</v>
      </c>
      <c r="E12" s="43">
        <f t="shared" ref="E12:E18" si="0">D12*12</f>
        <v>2016</v>
      </c>
    </row>
    <row r="13" spans="2:5" x14ac:dyDescent="0.25">
      <c r="B13" s="44" t="s">
        <v>39</v>
      </c>
      <c r="C13" s="36" t="s">
        <v>32</v>
      </c>
      <c r="D13" s="50">
        <f>in_REV/1000000</f>
        <v>180</v>
      </c>
      <c r="E13" s="45">
        <f t="shared" si="0"/>
        <v>2160</v>
      </c>
    </row>
    <row r="14" spans="2:5" x14ac:dyDescent="0.25">
      <c r="B14" s="44" t="s">
        <v>40</v>
      </c>
      <c r="C14" s="36" t="s">
        <v>41</v>
      </c>
      <c r="D14" s="51">
        <f>D13-D12</f>
        <v>12</v>
      </c>
      <c r="E14" s="45">
        <f t="shared" si="0"/>
        <v>144</v>
      </c>
    </row>
    <row r="15" spans="2:5" x14ac:dyDescent="0.25">
      <c r="B15" s="46" t="s">
        <v>42</v>
      </c>
      <c r="C15" s="36" t="s">
        <v>43</v>
      </c>
      <c r="D15" s="51">
        <f>D12+D14</f>
        <v>180</v>
      </c>
      <c r="E15" s="45">
        <f t="shared" si="0"/>
        <v>2160</v>
      </c>
    </row>
    <row r="16" spans="2:5" x14ac:dyDescent="0.25">
      <c r="B16" s="44" t="s">
        <v>44</v>
      </c>
      <c r="C16" s="36" t="s">
        <v>131</v>
      </c>
      <c r="D16" s="51">
        <f>D15*in_GMPCT</f>
        <v>32.4</v>
      </c>
      <c r="E16" s="45">
        <f t="shared" si="0"/>
        <v>388.79999999999995</v>
      </c>
    </row>
    <row r="17" spans="2:5" x14ac:dyDescent="0.25">
      <c r="B17" s="44" t="s">
        <v>45</v>
      </c>
      <c r="C17" s="36" t="s">
        <v>46</v>
      </c>
      <c r="D17" s="52">
        <v>22.4</v>
      </c>
      <c r="E17" s="45">
        <f t="shared" si="0"/>
        <v>268.79999999999995</v>
      </c>
    </row>
    <row r="18" spans="2:5" x14ac:dyDescent="0.25">
      <c r="B18" s="46" t="s">
        <v>47</v>
      </c>
      <c r="C18" s="36" t="s">
        <v>48</v>
      </c>
      <c r="D18" s="51">
        <f>D16-D17</f>
        <v>10</v>
      </c>
      <c r="E18" s="45">
        <f t="shared" si="0"/>
        <v>120</v>
      </c>
    </row>
    <row r="19" spans="2:5" x14ac:dyDescent="0.25">
      <c r="B19" s="47" t="s">
        <v>49</v>
      </c>
      <c r="C19" s="37" t="s">
        <v>125</v>
      </c>
      <c r="D19" s="53">
        <f>D18/D15</f>
        <v>5.5555555555555552E-2</v>
      </c>
      <c r="E19" s="35"/>
    </row>
    <row r="20" spans="2:5" ht="66" customHeight="1" x14ac:dyDescent="0.25">
      <c r="B20" s="31" t="s">
        <v>155</v>
      </c>
      <c r="C20" s="6"/>
      <c r="D20" s="6"/>
      <c r="E20" s="6"/>
    </row>
  </sheetData>
  <mergeCells count="2">
    <mergeCell ref="B20:E20"/>
    <mergeCell ref="B11:E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F28"/>
  <sheetViews>
    <sheetView topLeftCell="A16" workbookViewId="0">
      <selection activeCell="D8" sqref="D8"/>
    </sheetView>
  </sheetViews>
  <sheetFormatPr defaultRowHeight="15" x14ac:dyDescent="0.25"/>
  <cols>
    <col min="1" max="1" width="2" style="1" customWidth="1"/>
    <col min="2" max="2" width="46" style="1" customWidth="1"/>
    <col min="3" max="5" width="16" style="1" customWidth="1"/>
    <col min="6" max="6" width="52" style="1" customWidth="1"/>
    <col min="7" max="16384" width="9.140625" style="1"/>
  </cols>
  <sheetData>
    <row r="2" spans="2:6" ht="18.75" x14ac:dyDescent="0.25">
      <c r="B2" s="61" t="s">
        <v>50</v>
      </c>
      <c r="C2" s="62"/>
      <c r="D2" s="62"/>
      <c r="E2" s="62"/>
      <c r="F2" s="62"/>
    </row>
    <row r="3" spans="2:6" x14ac:dyDescent="0.25">
      <c r="B3" s="62"/>
      <c r="C3" s="62"/>
      <c r="D3" s="62"/>
      <c r="E3" s="62"/>
      <c r="F3" s="62"/>
    </row>
    <row r="4" spans="2:6" x14ac:dyDescent="0.25">
      <c r="B4" s="63" t="s">
        <v>51</v>
      </c>
      <c r="C4" s="62"/>
      <c r="D4" s="62"/>
      <c r="E4" s="62"/>
      <c r="F4" s="62"/>
    </row>
    <row r="5" spans="2:6" x14ac:dyDescent="0.25">
      <c r="B5" s="64" t="s">
        <v>52</v>
      </c>
      <c r="C5" s="59">
        <f>base_PROFIT</f>
        <v>10</v>
      </c>
      <c r="E5" s="62"/>
      <c r="F5" s="62"/>
    </row>
    <row r="6" spans="2:6" x14ac:dyDescent="0.25">
      <c r="B6" s="64" t="s">
        <v>132</v>
      </c>
      <c r="C6" s="60">
        <f>C5*4</f>
        <v>40</v>
      </c>
      <c r="E6" s="62"/>
      <c r="F6" s="62"/>
    </row>
    <row r="7" spans="2:6" x14ac:dyDescent="0.25">
      <c r="B7" s="64" t="s">
        <v>53</v>
      </c>
      <c r="C7" s="59">
        <f>C6+asm_OPEX</f>
        <v>62.4</v>
      </c>
      <c r="E7" s="62"/>
      <c r="F7" s="62"/>
    </row>
    <row r="8" spans="2:6" x14ac:dyDescent="0.25">
      <c r="B8" s="64" t="s">
        <v>0</v>
      </c>
      <c r="C8" s="12">
        <f>C7/base_GP-1</f>
        <v>0.92592592592592604</v>
      </c>
      <c r="E8" s="62"/>
      <c r="F8" s="62"/>
    </row>
    <row r="9" spans="2:6" x14ac:dyDescent="0.25">
      <c r="B9" s="62"/>
      <c r="C9" s="62"/>
      <c r="D9" s="62"/>
      <c r="E9" s="62"/>
      <c r="F9" s="62"/>
    </row>
    <row r="10" spans="2:6" x14ac:dyDescent="0.25">
      <c r="B10" s="63" t="s">
        <v>54</v>
      </c>
      <c r="C10" s="62"/>
      <c r="D10" s="62"/>
      <c r="E10" s="62"/>
      <c r="F10" s="62"/>
    </row>
    <row r="11" spans="2:6" ht="30" x14ac:dyDescent="0.25">
      <c r="B11" s="17" t="s">
        <v>55</v>
      </c>
      <c r="C11" s="17" t="s">
        <v>56</v>
      </c>
      <c r="D11" s="19" t="s">
        <v>57</v>
      </c>
      <c r="E11" s="18" t="s">
        <v>58</v>
      </c>
      <c r="F11" s="18" t="s">
        <v>59</v>
      </c>
    </row>
    <row r="12" spans="2:6" ht="24" x14ac:dyDescent="0.25">
      <c r="B12" s="32" t="s">
        <v>33</v>
      </c>
      <c r="C12" s="76">
        <f>in_FREQ</f>
        <v>1.2</v>
      </c>
      <c r="D12" s="72">
        <f>in_FREQ*('Цель и рычаги'!$C$7/in_GMPCT-base_OTHER)/base_GMVP</f>
        <v>2.3904761904761904</v>
      </c>
      <c r="E12" s="69">
        <f>D12/C12-1</f>
        <v>0.99206349206349209</v>
      </c>
      <c r="F12" s="74" t="s">
        <v>148</v>
      </c>
    </row>
    <row r="13" spans="2:6" ht="24" x14ac:dyDescent="0.25">
      <c r="B13" s="32" t="s">
        <v>35</v>
      </c>
      <c r="C13" s="77">
        <f>in_CHECK</f>
        <v>1400</v>
      </c>
      <c r="D13" s="80">
        <f>in_CHECK*('Цель и рычаги'!$C$7/in_GMPCT-base_OTHER)/base_GMVP</f>
        <v>2788.8888888888891</v>
      </c>
      <c r="E13" s="69">
        <f>D13/C13-1</f>
        <v>0.99206349206349231</v>
      </c>
      <c r="F13" s="74" t="s">
        <v>149</v>
      </c>
    </row>
    <row r="14" spans="2:6" ht="24" x14ac:dyDescent="0.25">
      <c r="B14" s="32" t="s">
        <v>31</v>
      </c>
      <c r="C14" s="77">
        <f>in_MAU</f>
        <v>100000</v>
      </c>
      <c r="D14" s="80">
        <f>in_MAU*('Цель и рычаги'!$C$7/in_GMPCT-base_OTHER)/base_GMVP</f>
        <v>199206.3492063492</v>
      </c>
      <c r="E14" s="69">
        <f>D14/C14-1</f>
        <v>0.99206349206349209</v>
      </c>
      <c r="F14" s="74" t="s">
        <v>156</v>
      </c>
    </row>
    <row r="15" spans="2:6" x14ac:dyDescent="0.25">
      <c r="B15" s="32" t="s">
        <v>60</v>
      </c>
      <c r="C15" s="78">
        <f>in_GMPCT</f>
        <v>0.18</v>
      </c>
      <c r="D15" s="81">
        <f>C7/(base_GMVP+base_OTHER)</f>
        <v>0.34666666666666668</v>
      </c>
      <c r="E15" s="69">
        <f>D15/C15-1</f>
        <v>0.92592592592592604</v>
      </c>
      <c r="F15" s="74" t="s">
        <v>150</v>
      </c>
    </row>
    <row r="16" spans="2:6" x14ac:dyDescent="0.25">
      <c r="B16" s="34" t="s">
        <v>61</v>
      </c>
      <c r="C16" s="79">
        <f>base_OTHER</f>
        <v>12</v>
      </c>
      <c r="D16" s="82">
        <f>C7/in_GMPCT-base_GMVP</f>
        <v>178.66666666666669</v>
      </c>
      <c r="E16" s="71">
        <f>D16/C16-1</f>
        <v>13.888888888888891</v>
      </c>
      <c r="F16" s="75" t="s">
        <v>151</v>
      </c>
    </row>
    <row r="18" spans="2:6" ht="27.95" customHeight="1" x14ac:dyDescent="0.25">
      <c r="B18" s="65" t="s">
        <v>120</v>
      </c>
      <c r="C18" s="6"/>
      <c r="D18" s="6"/>
      <c r="E18" s="6"/>
      <c r="F18" s="6"/>
    </row>
    <row r="20" spans="2:6" x14ac:dyDescent="0.25">
      <c r="B20" s="30" t="s">
        <v>62</v>
      </c>
    </row>
    <row r="21" spans="2:6" ht="45" x14ac:dyDescent="0.25">
      <c r="B21" s="17" t="s">
        <v>63</v>
      </c>
      <c r="C21" s="17" t="s">
        <v>115</v>
      </c>
      <c r="D21" s="19" t="s">
        <v>116</v>
      </c>
      <c r="E21" s="18" t="s">
        <v>117</v>
      </c>
      <c r="F21" s="18" t="s">
        <v>126</v>
      </c>
    </row>
    <row r="22" spans="2:6" x14ac:dyDescent="0.25">
      <c r="B22" s="32" t="s">
        <v>133</v>
      </c>
      <c r="C22" s="68">
        <f>0.1*base_GMVP*in_GMPCT</f>
        <v>3.024</v>
      </c>
      <c r="D22" s="72">
        <f>C22</f>
        <v>3.024</v>
      </c>
      <c r="E22" s="69">
        <f>D22/base_PROFIT</f>
        <v>0.3024</v>
      </c>
      <c r="F22" s="66">
        <f>E22/0.1</f>
        <v>3.024</v>
      </c>
    </row>
    <row r="23" spans="2:6" x14ac:dyDescent="0.25">
      <c r="B23" s="32" t="s">
        <v>134</v>
      </c>
      <c r="C23" s="68">
        <f>0.1*base_GMVP*in_GMPCT</f>
        <v>3.024</v>
      </c>
      <c r="D23" s="72">
        <f>C23</f>
        <v>3.024</v>
      </c>
      <c r="E23" s="69">
        <f>D23/base_PROFIT</f>
        <v>0.3024</v>
      </c>
      <c r="F23" s="66">
        <f>E23/0.1</f>
        <v>3.024</v>
      </c>
    </row>
    <row r="24" spans="2:6" x14ac:dyDescent="0.25">
      <c r="B24" s="32" t="s">
        <v>135</v>
      </c>
      <c r="C24" s="68">
        <f>0.1*base_GMVP*in_GMPCT</f>
        <v>3.024</v>
      </c>
      <c r="D24" s="72">
        <f>C24</f>
        <v>3.024</v>
      </c>
      <c r="E24" s="69">
        <f>D24/base_PROFIT</f>
        <v>0.3024</v>
      </c>
      <c r="F24" s="66">
        <f>E24/0.1</f>
        <v>3.024</v>
      </c>
    </row>
    <row r="25" spans="2:6" x14ac:dyDescent="0.25">
      <c r="B25" s="32" t="s">
        <v>136</v>
      </c>
      <c r="C25" s="68">
        <f>0.1*in_GMPCT*(base_GMVP+base_OTHER)</f>
        <v>3.2399999999999998</v>
      </c>
      <c r="D25" s="72">
        <f>C25</f>
        <v>3.2399999999999998</v>
      </c>
      <c r="E25" s="69">
        <f>D25/base_PROFIT</f>
        <v>0.32399999999999995</v>
      </c>
      <c r="F25" s="66">
        <f>E25/0.1</f>
        <v>3.2399999999999993</v>
      </c>
    </row>
    <row r="26" spans="2:6" x14ac:dyDescent="0.25">
      <c r="B26" s="34" t="s">
        <v>137</v>
      </c>
      <c r="C26" s="70">
        <f>0.1*base_OTHER*in_GMPCT</f>
        <v>0.21600000000000003</v>
      </c>
      <c r="D26" s="73">
        <f>C26</f>
        <v>0.21600000000000003</v>
      </c>
      <c r="E26" s="71">
        <f>D26/base_PROFIT</f>
        <v>2.1600000000000001E-2</v>
      </c>
      <c r="F26" s="67">
        <f>E26/0.1</f>
        <v>0.216</v>
      </c>
    </row>
    <row r="28" spans="2:6" ht="39.950000000000003" customHeight="1" x14ac:dyDescent="0.25">
      <c r="B28" s="65" t="s">
        <v>157</v>
      </c>
      <c r="C28" s="6"/>
      <c r="D28" s="6"/>
      <c r="E28" s="6"/>
      <c r="F28" s="6"/>
    </row>
  </sheetData>
  <mergeCells count="2">
    <mergeCell ref="B18:F18"/>
    <mergeCell ref="B28:F2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H38"/>
  <sheetViews>
    <sheetView workbookViewId="0">
      <selection activeCell="F55" sqref="F55"/>
    </sheetView>
  </sheetViews>
  <sheetFormatPr defaultRowHeight="15" x14ac:dyDescent="0.25"/>
  <cols>
    <col min="1" max="1" width="2" style="1" customWidth="1"/>
    <col min="2" max="2" width="44" style="1" customWidth="1"/>
    <col min="3" max="7" width="13" style="1" customWidth="1"/>
    <col min="8" max="8" width="14" style="1" customWidth="1"/>
    <col min="9" max="16384" width="9.140625" style="1"/>
  </cols>
  <sheetData>
    <row r="2" spans="2:8" ht="18.75" x14ac:dyDescent="0.25">
      <c r="B2" s="3" t="s">
        <v>146</v>
      </c>
    </row>
    <row r="3" spans="2:8" x14ac:dyDescent="0.25">
      <c r="B3" s="5" t="s">
        <v>121</v>
      </c>
    </row>
    <row r="5" spans="2:8" x14ac:dyDescent="0.25">
      <c r="B5" s="63" t="s">
        <v>64</v>
      </c>
      <c r="C5" s="62"/>
      <c r="D5" s="62"/>
      <c r="E5" s="62"/>
      <c r="F5" s="62"/>
      <c r="G5" s="62"/>
    </row>
    <row r="6" spans="2:8" x14ac:dyDescent="0.25">
      <c r="B6" s="17" t="s">
        <v>65</v>
      </c>
      <c r="C6" s="17" t="s">
        <v>66</v>
      </c>
      <c r="D6" s="17" t="s">
        <v>67</v>
      </c>
      <c r="E6" s="19" t="s">
        <v>68</v>
      </c>
      <c r="F6" s="18" t="s">
        <v>69</v>
      </c>
      <c r="G6" s="18" t="s">
        <v>70</v>
      </c>
    </row>
    <row r="7" spans="2:8" x14ac:dyDescent="0.25">
      <c r="B7" s="32" t="s">
        <v>33</v>
      </c>
      <c r="C7" s="76">
        <f>in_FREQ</f>
        <v>1.2</v>
      </c>
      <c r="D7" s="68">
        <f>C$7+($G$7-C$7)*1/4</f>
        <v>1.3199999999999998</v>
      </c>
      <c r="E7" s="72">
        <f>C$7+($G$7-C$7)*2/4</f>
        <v>1.44</v>
      </c>
      <c r="F7" s="90">
        <f>C$7+($G$7-C$7)*3/4</f>
        <v>1.56</v>
      </c>
      <c r="G7" s="85">
        <v>1.68</v>
      </c>
    </row>
    <row r="8" spans="2:8" x14ac:dyDescent="0.25">
      <c r="B8" s="32" t="s">
        <v>35</v>
      </c>
      <c r="C8" s="77">
        <f>in_CHECK</f>
        <v>1400</v>
      </c>
      <c r="D8" s="91">
        <f>C$8+($G$8-C$8)*1/4</f>
        <v>1417.5</v>
      </c>
      <c r="E8" s="80">
        <f>C$8+($G$8-C$8)*2/4</f>
        <v>1435</v>
      </c>
      <c r="F8" s="92">
        <f>C$8+($G$8-C$8)*3/4</f>
        <v>1452.5</v>
      </c>
      <c r="G8" s="86">
        <v>1470</v>
      </c>
    </row>
    <row r="9" spans="2:8" x14ac:dyDescent="0.25">
      <c r="B9" s="32" t="s">
        <v>60</v>
      </c>
      <c r="C9" s="78">
        <f>in_GMPCT</f>
        <v>0.18</v>
      </c>
      <c r="D9" s="93">
        <f>C$9+($G$9-C$9)*1/4</f>
        <v>0.19</v>
      </c>
      <c r="E9" s="81">
        <f>C$9+($G$9-C$9)*2/4</f>
        <v>0.2</v>
      </c>
      <c r="F9" s="69">
        <f>C$9+($G$9-C$9)*3/4</f>
        <v>0.21</v>
      </c>
      <c r="G9" s="87">
        <v>0.22</v>
      </c>
    </row>
    <row r="10" spans="2:8" x14ac:dyDescent="0.25">
      <c r="B10" s="34" t="s">
        <v>31</v>
      </c>
      <c r="C10" s="89">
        <f>in_MAU</f>
        <v>100000</v>
      </c>
      <c r="D10" s="94">
        <f>C$10+($G$10-C$10)*1/4</f>
        <v>103000</v>
      </c>
      <c r="E10" s="96">
        <f>C$10+($G$10-C$10)*2/4</f>
        <v>106000</v>
      </c>
      <c r="F10" s="95">
        <f>C$10+($G$10-C$10)*3/4</f>
        <v>109000</v>
      </c>
      <c r="G10" s="88">
        <v>112000</v>
      </c>
    </row>
    <row r="12" spans="2:8" x14ac:dyDescent="0.25">
      <c r="B12" s="63" t="s">
        <v>71</v>
      </c>
      <c r="C12" s="62"/>
      <c r="D12" s="62"/>
      <c r="E12" s="62"/>
      <c r="F12" s="62"/>
      <c r="G12" s="62"/>
      <c r="H12" s="62"/>
    </row>
    <row r="13" spans="2:8" x14ac:dyDescent="0.25">
      <c r="B13" s="103" t="s">
        <v>28</v>
      </c>
      <c r="C13" s="104"/>
      <c r="D13" s="103" t="s">
        <v>67</v>
      </c>
      <c r="E13" s="103" t="s">
        <v>68</v>
      </c>
      <c r="F13" s="118" t="s">
        <v>69</v>
      </c>
      <c r="G13" s="105" t="s">
        <v>72</v>
      </c>
      <c r="H13" s="105" t="s">
        <v>30</v>
      </c>
    </row>
    <row r="14" spans="2:8" x14ac:dyDescent="0.25">
      <c r="B14" s="97" t="s">
        <v>73</v>
      </c>
      <c r="C14" s="4"/>
      <c r="D14" s="106">
        <f t="shared" ref="D14:G17" si="0">(D7+C7)/2</f>
        <v>1.2599999999999998</v>
      </c>
      <c r="E14" s="106">
        <f t="shared" si="0"/>
        <v>1.38</v>
      </c>
      <c r="F14" s="119">
        <f t="shared" si="0"/>
        <v>1.5</v>
      </c>
      <c r="G14" s="107">
        <f t="shared" si="0"/>
        <v>1.62</v>
      </c>
      <c r="H14" s="98"/>
    </row>
    <row r="15" spans="2:8" x14ac:dyDescent="0.25">
      <c r="B15" s="97" t="s">
        <v>74</v>
      </c>
      <c r="C15" s="4"/>
      <c r="D15" s="108">
        <f t="shared" si="0"/>
        <v>1408.75</v>
      </c>
      <c r="E15" s="108">
        <f t="shared" si="0"/>
        <v>1426.25</v>
      </c>
      <c r="F15" s="120">
        <f t="shared" si="0"/>
        <v>1443.75</v>
      </c>
      <c r="G15" s="109">
        <f t="shared" si="0"/>
        <v>1461.25</v>
      </c>
      <c r="H15" s="98"/>
    </row>
    <row r="16" spans="2:8" x14ac:dyDescent="0.25">
      <c r="B16" s="97" t="s">
        <v>75</v>
      </c>
      <c r="C16" s="4"/>
      <c r="D16" s="110">
        <f t="shared" si="0"/>
        <v>0.185</v>
      </c>
      <c r="E16" s="110">
        <f t="shared" si="0"/>
        <v>0.19500000000000001</v>
      </c>
      <c r="F16" s="121">
        <f t="shared" si="0"/>
        <v>0.20500000000000002</v>
      </c>
      <c r="G16" s="111">
        <f t="shared" si="0"/>
        <v>0.215</v>
      </c>
      <c r="H16" s="98"/>
    </row>
    <row r="17" spans="2:8" x14ac:dyDescent="0.25">
      <c r="B17" s="97" t="s">
        <v>76</v>
      </c>
      <c r="C17" s="4"/>
      <c r="D17" s="108">
        <f t="shared" si="0"/>
        <v>101500</v>
      </c>
      <c r="E17" s="108">
        <f t="shared" si="0"/>
        <v>104500</v>
      </c>
      <c r="F17" s="120">
        <f t="shared" si="0"/>
        <v>107500</v>
      </c>
      <c r="G17" s="109">
        <f t="shared" si="0"/>
        <v>110500</v>
      </c>
      <c r="H17" s="98"/>
    </row>
    <row r="18" spans="2:8" x14ac:dyDescent="0.25">
      <c r="B18" s="44" t="s">
        <v>77</v>
      </c>
      <c r="D18" s="112">
        <f>D17*D14</f>
        <v>127889.99999999999</v>
      </c>
      <c r="E18" s="112">
        <f>E17*E14</f>
        <v>144210</v>
      </c>
      <c r="F18" s="122">
        <f>F17*F14</f>
        <v>161250</v>
      </c>
      <c r="G18" s="113">
        <f>G17*G14</f>
        <v>179010</v>
      </c>
      <c r="H18" s="33"/>
    </row>
    <row r="19" spans="2:8" x14ac:dyDescent="0.25">
      <c r="B19" s="44" t="s">
        <v>78</v>
      </c>
      <c r="D19" s="114">
        <f>D18*D15/1000000</f>
        <v>180.16503749999998</v>
      </c>
      <c r="E19" s="114">
        <f>E18*E15/1000000</f>
        <v>205.67951249999999</v>
      </c>
      <c r="F19" s="123">
        <f>F18*F15/1000000</f>
        <v>232.8046875</v>
      </c>
      <c r="G19" s="115">
        <f>G18*G15/1000000</f>
        <v>261.57836250000003</v>
      </c>
      <c r="H19" s="33"/>
    </row>
    <row r="20" spans="2:8" x14ac:dyDescent="0.25">
      <c r="B20" s="44" t="s">
        <v>79</v>
      </c>
      <c r="D20" s="114">
        <f>D19+base_OTHER</f>
        <v>192.16503749999998</v>
      </c>
      <c r="E20" s="114">
        <f>E19+base_OTHER</f>
        <v>217.67951249999999</v>
      </c>
      <c r="F20" s="123">
        <f>F19+base_OTHER</f>
        <v>244.8046875</v>
      </c>
      <c r="G20" s="115">
        <f>G19+base_OTHER</f>
        <v>273.57836250000003</v>
      </c>
      <c r="H20" s="99">
        <f>SUM(D20:G20)</f>
        <v>928.22760000000005</v>
      </c>
    </row>
    <row r="21" spans="2:8" x14ac:dyDescent="0.25">
      <c r="B21" s="44" t="s">
        <v>80</v>
      </c>
      <c r="D21" s="114">
        <f>D20*D16</f>
        <v>35.550531937499997</v>
      </c>
      <c r="E21" s="114">
        <f>E20*E16</f>
        <v>42.4475049375</v>
      </c>
      <c r="F21" s="123">
        <f>F20*F16</f>
        <v>50.184960937500001</v>
      </c>
      <c r="G21" s="115">
        <f>G20*G16</f>
        <v>58.819347937500005</v>
      </c>
      <c r="H21" s="99">
        <f>SUM(D21:G21)</f>
        <v>187.00234574999999</v>
      </c>
    </row>
    <row r="22" spans="2:8" x14ac:dyDescent="0.25">
      <c r="B22" s="46" t="s">
        <v>81</v>
      </c>
      <c r="D22" s="116">
        <f>D21-asm_OPEX</f>
        <v>13.150531937499998</v>
      </c>
      <c r="E22" s="116">
        <f>E21-asm_OPEX</f>
        <v>20.047504937500001</v>
      </c>
      <c r="F22" s="124">
        <f>F21-asm_OPEX</f>
        <v>27.784960937500003</v>
      </c>
      <c r="G22" s="99">
        <f>G21-asm_OPEX</f>
        <v>36.419347937500007</v>
      </c>
      <c r="H22" s="99">
        <f>H23/12</f>
        <v>24.350586437500002</v>
      </c>
    </row>
    <row r="23" spans="2:8" x14ac:dyDescent="0.25">
      <c r="B23" s="100" t="s">
        <v>82</v>
      </c>
      <c r="C23" s="101"/>
      <c r="D23" s="117">
        <f>D22*3</f>
        <v>39.451595812499995</v>
      </c>
      <c r="E23" s="117">
        <f>E22*3</f>
        <v>60.142514812500004</v>
      </c>
      <c r="F23" s="125">
        <f>F22*3</f>
        <v>83.354882812500009</v>
      </c>
      <c r="G23" s="102">
        <f>G22*3</f>
        <v>109.25804381250002</v>
      </c>
      <c r="H23" s="102">
        <f>SUM(D23:G23)</f>
        <v>292.20703725000004</v>
      </c>
    </row>
    <row r="25" spans="2:8" x14ac:dyDescent="0.25">
      <c r="B25" s="30" t="s">
        <v>83</v>
      </c>
    </row>
    <row r="26" spans="2:8" x14ac:dyDescent="0.25">
      <c r="B26" s="2" t="s">
        <v>84</v>
      </c>
      <c r="D26" s="58">
        <f>(G10*G7*G8/1000000+base_OTHER)*G9-asm_OPEX</f>
        <v>41.090943999999993</v>
      </c>
    </row>
    <row r="27" spans="2:8" x14ac:dyDescent="0.25">
      <c r="B27" s="2" t="s">
        <v>153</v>
      </c>
      <c r="D27" s="84">
        <f>D26/base_PROFIT-1</f>
        <v>3.1090943999999991</v>
      </c>
      <c r="E27" s="129" t="s">
        <v>85</v>
      </c>
    </row>
    <row r="28" spans="2:8" x14ac:dyDescent="0.25">
      <c r="B28" s="130"/>
      <c r="C28" s="131"/>
      <c r="D28" s="131"/>
      <c r="E28" s="131"/>
      <c r="F28" s="131"/>
      <c r="G28" s="131"/>
      <c r="H28" s="131"/>
    </row>
    <row r="30" spans="2:8" x14ac:dyDescent="0.25">
      <c r="B30" s="63" t="s">
        <v>86</v>
      </c>
      <c r="C30" s="62"/>
      <c r="D30" s="62"/>
    </row>
    <row r="31" spans="2:8" ht="45" x14ac:dyDescent="0.25">
      <c r="B31" s="17" t="s">
        <v>87</v>
      </c>
      <c r="C31" s="19" t="s">
        <v>88</v>
      </c>
      <c r="D31" s="18" t="s">
        <v>89</v>
      </c>
    </row>
    <row r="32" spans="2:8" x14ac:dyDescent="0.25">
      <c r="B32" s="44" t="s">
        <v>56</v>
      </c>
      <c r="C32" s="128">
        <f>(base_GMVP+base_OTHER)*in_GMPCT-asm_OPEX</f>
        <v>10</v>
      </c>
      <c r="D32" s="33"/>
    </row>
    <row r="33" spans="2:8" x14ac:dyDescent="0.25">
      <c r="B33" s="44" t="s">
        <v>138</v>
      </c>
      <c r="C33" s="128">
        <f>(base_GMVP*1.4+base_OTHER)*in_GMPCT-asm_OPEX</f>
        <v>22.095999999999997</v>
      </c>
      <c r="D33" s="126">
        <f>C33-C32</f>
        <v>12.095999999999997</v>
      </c>
    </row>
    <row r="34" spans="2:8" x14ac:dyDescent="0.25">
      <c r="B34" s="44" t="s">
        <v>139</v>
      </c>
      <c r="C34" s="128">
        <f>(base_GMVP*1.4*1.05+base_OTHER)*in_GMPCT-asm_OPEX</f>
        <v>24.212800000000009</v>
      </c>
      <c r="D34" s="126">
        <f>C34-C33</f>
        <v>2.116800000000012</v>
      </c>
    </row>
    <row r="35" spans="2:8" x14ac:dyDescent="0.25">
      <c r="B35" s="44" t="s">
        <v>152</v>
      </c>
      <c r="C35" s="128">
        <f>(base_GMVP*1.4*1.05+base_OTHER)*0.22-asm_OPEX</f>
        <v>34.571200000000012</v>
      </c>
      <c r="D35" s="126">
        <f>C35-C34</f>
        <v>10.358400000000003</v>
      </c>
    </row>
    <row r="36" spans="2:8" x14ac:dyDescent="0.25">
      <c r="B36" s="100" t="s">
        <v>140</v>
      </c>
      <c r="C36" s="82">
        <f>(base_GMVP*1.4*1.05*1.12+base_OTHER)*0.22-asm_OPEX</f>
        <v>41.090944000000007</v>
      </c>
      <c r="D36" s="127">
        <f>C36-C35</f>
        <v>6.5197439999999958</v>
      </c>
    </row>
    <row r="38" spans="2:8" x14ac:dyDescent="0.25">
      <c r="B38" s="130"/>
      <c r="C38" s="131"/>
      <c r="D38" s="131"/>
      <c r="E38" s="131"/>
      <c r="F38" s="131"/>
      <c r="G38" s="131"/>
      <c r="H38" s="131"/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G29"/>
  <sheetViews>
    <sheetView workbookViewId="0">
      <selection activeCell="G11" sqref="G11"/>
    </sheetView>
  </sheetViews>
  <sheetFormatPr defaultRowHeight="15" x14ac:dyDescent="0.25"/>
  <cols>
    <col min="1" max="1" width="2" style="1" customWidth="1"/>
    <col min="2" max="2" width="35.28515625" style="1" customWidth="1"/>
    <col min="3" max="3" width="16" style="1" customWidth="1"/>
    <col min="4" max="4" width="21.140625" style="1" customWidth="1"/>
    <col min="5" max="6" width="16" style="1" customWidth="1"/>
    <col min="7" max="7" width="40" style="1" customWidth="1"/>
    <col min="8" max="16384" width="9.140625" style="1"/>
  </cols>
  <sheetData>
    <row r="2" spans="2:7" ht="18.75" x14ac:dyDescent="0.25">
      <c r="B2" s="3" t="s">
        <v>145</v>
      </c>
      <c r="C2" s="4"/>
      <c r="D2" s="4"/>
    </row>
    <row r="3" spans="2:7" x14ac:dyDescent="0.25">
      <c r="B3" s="4"/>
      <c r="C3" s="4"/>
      <c r="D3" s="4"/>
    </row>
    <row r="4" spans="2:7" x14ac:dyDescent="0.25">
      <c r="B4" s="30" t="s">
        <v>144</v>
      </c>
      <c r="C4" s="4"/>
      <c r="D4" s="4"/>
    </row>
    <row r="5" spans="2:7" x14ac:dyDescent="0.25">
      <c r="B5" s="27" t="s">
        <v>90</v>
      </c>
      <c r="C5" s="132">
        <f>1/(1-in_RET)</f>
        <v>1.4705882352941178</v>
      </c>
      <c r="D5" s="139" t="s">
        <v>91</v>
      </c>
    </row>
    <row r="6" spans="2:7" x14ac:dyDescent="0.25">
      <c r="B6" s="27" t="s">
        <v>92</v>
      </c>
      <c r="C6" s="132">
        <f>C5*in_FREQ</f>
        <v>1.7647058823529413</v>
      </c>
      <c r="D6" s="139" t="s">
        <v>141</v>
      </c>
    </row>
    <row r="7" spans="2:7" ht="25.5" x14ac:dyDescent="0.25">
      <c r="B7" s="27" t="s">
        <v>93</v>
      </c>
      <c r="C7" s="83">
        <f>in_CHECK+base_OTHER*1000000/in_ORDERS</f>
        <v>1500</v>
      </c>
      <c r="D7" s="139" t="s">
        <v>94</v>
      </c>
    </row>
    <row r="8" spans="2:7" x14ac:dyDescent="0.25">
      <c r="B8" s="27" t="s">
        <v>95</v>
      </c>
      <c r="C8" s="83">
        <f>C6*C7*in_GMPCT</f>
        <v>476.47058823529414</v>
      </c>
      <c r="D8" s="139" t="s">
        <v>142</v>
      </c>
    </row>
    <row r="9" spans="2:7" x14ac:dyDescent="0.25">
      <c r="B9" s="27" t="s">
        <v>96</v>
      </c>
      <c r="C9" s="26">
        <f>in_CPA</f>
        <v>1200</v>
      </c>
      <c r="D9" s="139" t="s">
        <v>97</v>
      </c>
    </row>
    <row r="10" spans="2:7" ht="25.5" x14ac:dyDescent="0.25">
      <c r="B10" s="28" t="s">
        <v>127</v>
      </c>
      <c r="C10" s="133">
        <f>C8/C9</f>
        <v>0.3970588235294118</v>
      </c>
      <c r="D10" s="139" t="s">
        <v>154</v>
      </c>
    </row>
    <row r="11" spans="2:7" ht="38.25" x14ac:dyDescent="0.25">
      <c r="B11" s="27" t="s">
        <v>98</v>
      </c>
      <c r="C11" s="132">
        <f>C9/(in_FREQ*C7*in_GMPCT)</f>
        <v>3.7037037037037037</v>
      </c>
      <c r="D11" s="139" t="s">
        <v>122</v>
      </c>
    </row>
    <row r="13" spans="2:7" x14ac:dyDescent="0.25">
      <c r="B13" s="63" t="s">
        <v>143</v>
      </c>
      <c r="C13" s="62"/>
      <c r="D13" s="62"/>
      <c r="E13" s="62"/>
      <c r="F13" s="62"/>
      <c r="G13" s="62"/>
    </row>
    <row r="14" spans="2:7" ht="30" x14ac:dyDescent="0.25">
      <c r="B14" s="17" t="s">
        <v>99</v>
      </c>
      <c r="C14" s="17" t="s">
        <v>100</v>
      </c>
      <c r="D14" s="17" t="s">
        <v>101</v>
      </c>
      <c r="E14" s="19" t="s">
        <v>102</v>
      </c>
      <c r="F14" s="18" t="s">
        <v>103</v>
      </c>
      <c r="G14" s="18" t="s">
        <v>104</v>
      </c>
    </row>
    <row r="15" spans="2:7" x14ac:dyDescent="0.25">
      <c r="B15" s="110">
        <v>0.32</v>
      </c>
      <c r="C15" s="68">
        <f>1/(1-B15)</f>
        <v>1.4705882352941178</v>
      </c>
      <c r="D15" s="91">
        <f>C15*in_FREQ*$C$7*in_GMPCT</f>
        <v>476.47058823529414</v>
      </c>
      <c r="E15" s="140">
        <f>D15/in_CPA</f>
        <v>0.3970588235294118</v>
      </c>
      <c r="F15" s="92">
        <f>C15*1.68*$C$7*in_GMPCT</f>
        <v>667.05882352941171</v>
      </c>
      <c r="G15" s="66">
        <f>F15/in_CPA</f>
        <v>0.55588235294117638</v>
      </c>
    </row>
    <row r="16" spans="2:7" x14ac:dyDescent="0.25">
      <c r="B16" s="110">
        <v>0.35</v>
      </c>
      <c r="C16" s="68">
        <f>1/(1-B16)</f>
        <v>1.5384615384615383</v>
      </c>
      <c r="D16" s="91">
        <f>C16*in_FREQ*$C$7*in_GMPCT</f>
        <v>498.46153846153834</v>
      </c>
      <c r="E16" s="140">
        <f>D16/in_CPA</f>
        <v>0.4153846153846153</v>
      </c>
      <c r="F16" s="92">
        <f>C16*1.68*$C$7*in_GMPCT</f>
        <v>697.84615384615381</v>
      </c>
      <c r="G16" s="66">
        <f>F16/in_CPA</f>
        <v>0.58153846153846156</v>
      </c>
    </row>
    <row r="17" spans="2:7" x14ac:dyDescent="0.25">
      <c r="B17" s="110">
        <v>0.4</v>
      </c>
      <c r="C17" s="68">
        <f>1/(1-B17)</f>
        <v>1.6666666666666667</v>
      </c>
      <c r="D17" s="91">
        <f>C17*in_FREQ*$C$7*in_GMPCT</f>
        <v>540</v>
      </c>
      <c r="E17" s="140">
        <f>D17/in_CPA</f>
        <v>0.45</v>
      </c>
      <c r="F17" s="92">
        <f>C17*1.68*$C$7*in_GMPCT</f>
        <v>756</v>
      </c>
      <c r="G17" s="136">
        <f>F17/in_CPA</f>
        <v>0.63</v>
      </c>
    </row>
    <row r="18" spans="2:7" x14ac:dyDescent="0.25">
      <c r="B18" s="110">
        <v>0.45</v>
      </c>
      <c r="C18" s="68">
        <f>1/(1-B18)</f>
        <v>1.8181818181818181</v>
      </c>
      <c r="D18" s="91">
        <f>C18*in_FREQ*$C$7*in_GMPCT</f>
        <v>589.09090909090901</v>
      </c>
      <c r="E18" s="140">
        <f>D18/in_CPA</f>
        <v>0.49090909090909085</v>
      </c>
      <c r="F18" s="92">
        <f>C18*1.68*$C$7*in_GMPCT</f>
        <v>824.72727272727252</v>
      </c>
      <c r="G18" s="66">
        <f>F18/in_CPA</f>
        <v>0.68727272727272715</v>
      </c>
    </row>
    <row r="19" spans="2:7" x14ac:dyDescent="0.25">
      <c r="B19" s="137">
        <v>0.5</v>
      </c>
      <c r="C19" s="70">
        <f>1/(1-B19)</f>
        <v>2</v>
      </c>
      <c r="D19" s="94">
        <f>C19*in_FREQ*$C$7*in_GMPCT</f>
        <v>648</v>
      </c>
      <c r="E19" s="141">
        <f>D19/in_CPA</f>
        <v>0.54</v>
      </c>
      <c r="F19" s="95">
        <f>C19*1.68*$C$7*in_GMPCT</f>
        <v>907.19999999999993</v>
      </c>
      <c r="G19" s="67">
        <f>F19/in_CPA</f>
        <v>0.75599999999999989</v>
      </c>
    </row>
    <row r="21" spans="2:7" ht="42" customHeight="1" x14ac:dyDescent="0.25">
      <c r="B21" s="65" t="s">
        <v>158</v>
      </c>
      <c r="C21" s="6"/>
      <c r="D21" s="6"/>
      <c r="E21" s="6"/>
      <c r="F21" s="6"/>
      <c r="G21" s="6"/>
    </row>
    <row r="23" spans="2:7" x14ac:dyDescent="0.25">
      <c r="B23" s="30" t="s">
        <v>118</v>
      </c>
    </row>
    <row r="24" spans="2:7" ht="30" x14ac:dyDescent="0.25">
      <c r="B24" s="138" t="s">
        <v>105</v>
      </c>
      <c r="C24" s="83">
        <f>'Цель и рычаги'!D14</f>
        <v>199206.3492063492</v>
      </c>
      <c r="D24" s="139" t="s">
        <v>106</v>
      </c>
    </row>
    <row r="25" spans="2:7" ht="30" x14ac:dyDescent="0.25">
      <c r="B25" s="138" t="s">
        <v>107</v>
      </c>
      <c r="C25" s="83">
        <f>(1-in_RET)*(in_MAU+C24)/2+(C24-in_MAU)/12</f>
        <v>109997.35449735449</v>
      </c>
      <c r="D25" s="139" t="s">
        <v>108</v>
      </c>
    </row>
    <row r="26" spans="2:7" ht="30" x14ac:dyDescent="0.25">
      <c r="B26" s="138" t="s">
        <v>109</v>
      </c>
      <c r="C26" s="57">
        <f>C25*in_CPA/1000000</f>
        <v>131.99682539682539</v>
      </c>
      <c r="D26" s="139" t="s">
        <v>110</v>
      </c>
    </row>
    <row r="27" spans="2:7" ht="38.25" x14ac:dyDescent="0.25">
      <c r="B27" s="138" t="s">
        <v>111</v>
      </c>
      <c r="C27" s="134">
        <f>'Цель и рычаги'!C6-C26</f>
        <v>-91.996825396825386</v>
      </c>
      <c r="D27" s="139" t="s">
        <v>123</v>
      </c>
    </row>
    <row r="29" spans="2:7" ht="38.25" x14ac:dyDescent="0.25">
      <c r="B29" s="2" t="s">
        <v>112</v>
      </c>
      <c r="C29" s="135">
        <v>0.15</v>
      </c>
      <c r="D29" s="134">
        <f>(base_GMVP+base_OTHER)*C29-asm_OPEX</f>
        <v>4.6000000000000014</v>
      </c>
      <c r="E29" s="139" t="s">
        <v>113</v>
      </c>
    </row>
  </sheetData>
  <mergeCells count="1">
    <mergeCell ref="B21:G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22</vt:i4>
      </vt:variant>
    </vt:vector>
  </HeadingPairs>
  <TitlesOfParts>
    <vt:vector size="27" baseType="lpstr">
      <vt:lpstr>Исходные данные</vt:lpstr>
      <vt:lpstr>Базовый ОПиУ</vt:lpstr>
      <vt:lpstr>Цель и рычаги</vt:lpstr>
      <vt:lpstr>Сценарий стратегии</vt:lpstr>
      <vt:lpstr>Юнит-экономика</vt:lpstr>
      <vt:lpstr>asm_OPEX</vt:lpstr>
      <vt:lpstr>base_GMVP</vt:lpstr>
      <vt:lpstr>base_GP</vt:lpstr>
      <vt:lpstr>base_OTHER</vt:lpstr>
      <vt:lpstr>base_PROFIT</vt:lpstr>
      <vt:lpstr>in_CANCEL</vt:lpstr>
      <vt:lpstr>in_CHECK</vt:lpstr>
      <vt:lpstr>in_COMPLAINT</vt:lpstr>
      <vt:lpstr>in_CONV</vt:lpstr>
      <vt:lpstr>in_CPA</vt:lpstr>
      <vt:lpstr>in_CR</vt:lpstr>
      <vt:lpstr>in_DELIVMIN</vt:lpstr>
      <vt:lpstr>in_FREQ</vt:lpstr>
      <vt:lpstr>in_GMPCT</vt:lpstr>
      <vt:lpstr>in_MAU</vt:lpstr>
      <vt:lpstr>in_NEWUSERS</vt:lpstr>
      <vt:lpstr>in_NPS</vt:lpstr>
      <vt:lpstr>in_ONTIME</vt:lpstr>
      <vt:lpstr>in_ORDERS</vt:lpstr>
      <vt:lpstr>in_ORGANIC</vt:lpstr>
      <vt:lpstr>in_RET</vt:lpstr>
      <vt:lpstr>in_REV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Софья Зименкова</cp:lastModifiedBy>
  <dcterms:created xsi:type="dcterms:W3CDTF">2026-09-27T13:51:06Z</dcterms:created>
  <dcterms:modified xsi:type="dcterms:W3CDTF">2026-09-27T14:08:51Z</dcterms:modified>
</cp:coreProperties>
</file>