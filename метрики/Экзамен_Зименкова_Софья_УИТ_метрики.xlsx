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водные. Основные метрики" sheetId="1" r:id="rId5"/>
    <sheet state="visible" name="Вводные. Канал привлечения" sheetId="2" r:id="rId6"/>
    <sheet state="visible" name="Вводные. Затраты на канал" sheetId="3" r:id="rId7"/>
    <sheet state="visible" name="Retention rate" sheetId="4" r:id="rId8"/>
    <sheet state="visible" name="ARPU" sheetId="5" r:id="rId9"/>
    <sheet state="visible" name="Lifetime" sheetId="6" r:id="rId10"/>
    <sheet state="visible" name="LTV" sheetId="7" r:id="rId11"/>
    <sheet state="visible" name="CAC" sheetId="8" r:id="rId12"/>
    <sheet state="visible" name="ROI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tc={82203689-0023-4344-89c2-4ae280ea1bad}</author>
  </authors>
  <commentList>
    <comment authorId="0" xr:uid="{82203689-0023-4344-89c2-4ae280ea1bad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формула считает countunique, и, видимо, пустое значение это одно уникальное значение, поэтому в этой ячейке он находит одного пользователя в декабре, но в декабре никто не остался, поэтому должно быть 0%. я не знаю, как это поправить
</t>
      </text>
    </comment>
  </commentList>
</comments>
</file>

<file path=xl/sharedStrings.xml><?xml version="1.0" encoding="utf-8"?>
<sst xmlns="http://schemas.openxmlformats.org/spreadsheetml/2006/main" count="2858" uniqueCount="989">
  <si>
    <t>Месяц заказа</t>
  </si>
  <si>
    <t>Фамилия и имя пользователя</t>
  </si>
  <si>
    <t>Идентификатор заказа</t>
  </si>
  <si>
    <t>Общая сумма заказа</t>
  </si>
  <si>
    <t>Август</t>
  </si>
  <si>
    <t>Васильев Александр</t>
  </si>
  <si>
    <t>882bde03-60a6-4698-9de9-6025e37d4fb6</t>
  </si>
  <si>
    <t>Васильев Алексей</t>
  </si>
  <si>
    <t>034cbe5a-b98c-429c-b68e-cc522302691c</t>
  </si>
  <si>
    <t>ad456f89-0723-40a5-b0c1-ac5d095709eb</t>
  </si>
  <si>
    <t>9ba8a6d5-b036-41b0-b98c-85ade1b5552a</t>
  </si>
  <si>
    <t>01603952-add9-4ea7-abe3-d65050516a53</t>
  </si>
  <si>
    <t>Васильев Андрей</t>
  </si>
  <si>
    <t>72ef8561-d849-4e6a-b457-c508cc15d67b</t>
  </si>
  <si>
    <t>b8b2d975-2687-4d8a-8558-d1f2c25c3e60</t>
  </si>
  <si>
    <t>9d512330-370c-4a8f-838b-6996ae2abd82</t>
  </si>
  <si>
    <t>d2793bff-67d5-4ff6-bc05-a3bc6fbf6ed8</t>
  </si>
  <si>
    <t>Васильев Егор</t>
  </si>
  <si>
    <t>5bfb40fd-bbd0-4cbe-8018-311cae9c8b53</t>
  </si>
  <si>
    <t>6b0866b3-3dde-4123-bb8d-e197f7c98124</t>
  </si>
  <si>
    <t>Васильев Кирилл</t>
  </si>
  <si>
    <t>13b74c4e-c8ec-49d9-9d04-b3659eb8e117</t>
  </si>
  <si>
    <t>Иванов Егор</t>
  </si>
  <si>
    <t>b710d2d7-6e8b-4a4f-961c-d5a6b7beee25</t>
  </si>
  <si>
    <t>Кузнецов Андрей</t>
  </si>
  <si>
    <t>92f1a87f-e833-4817-9dbe-fdc9ed49af09</t>
  </si>
  <si>
    <t>Кузнецов Иван</t>
  </si>
  <si>
    <t>d7e29083-1a92-43cb-96bd-43f419562bc4</t>
  </si>
  <si>
    <t>Михайлов Иван</t>
  </si>
  <si>
    <t>9bf2c8a3-443b-4bfc-9b28-e653ccf0a25d</t>
  </si>
  <si>
    <t>Михайлов Максим</t>
  </si>
  <si>
    <t>586cb2a8-cccf-4e95-b9c3-c779800d1063</t>
  </si>
  <si>
    <t>Новиков Александр</t>
  </si>
  <si>
    <t>55d3a2a0-d3e0-4ae6-9081-12691593204a</t>
  </si>
  <si>
    <t>Новиков Дмитрий</t>
  </si>
  <si>
    <t>33ba623a-6529-42c6-8944-9bb56589a689</t>
  </si>
  <si>
    <t>Новиков Кирилл</t>
  </si>
  <si>
    <t>cc3cca60-f6b1-4486-ad05-afec4747c832</t>
  </si>
  <si>
    <t>Новиков Павел</t>
  </si>
  <si>
    <t>85164f6b-ebf0-43bc-b193-5562cd3e4196</t>
  </si>
  <si>
    <t>Петров Михаил</t>
  </si>
  <si>
    <t>a0b96b6f-d284-4102-8140-97a26a5e66cb</t>
  </si>
  <si>
    <t>8b17c32b-e612-43e3-8db8-f59c370746c7</t>
  </si>
  <si>
    <t>68a117a0-4063-49eb-bf14-459feba8d874</t>
  </si>
  <si>
    <t>Попов Александр</t>
  </si>
  <si>
    <t>46838915-7df5-4893-ba20-2af27f51e6e0</t>
  </si>
  <si>
    <t>Попов Дмитрий</t>
  </si>
  <si>
    <t>07c62eca-a291-44fd-ada6-51a283b5fd50</t>
  </si>
  <si>
    <t>f0f1cc26-0689-41e9-bf6a-9825b7ce4afc</t>
  </si>
  <si>
    <t>fc8da6b5-226e-42e1-8fc3-d11a06f43318</t>
  </si>
  <si>
    <t>c693de1a-1f9a-48ba-86df-6536cc4c557b</t>
  </si>
  <si>
    <t>Попов Егор</t>
  </si>
  <si>
    <t>2ade10e2-6c23-4b8e-b776-bfd59a88cc1e</t>
  </si>
  <si>
    <t>2f402882-9a52-463c-9488-1df2dc622a63</t>
  </si>
  <si>
    <t>1ab3ad82-8a7e-4582-a529-61d7e4217371</t>
  </si>
  <si>
    <t>Смирнов Андрей</t>
  </si>
  <si>
    <t>3d1d4f46-3761-4f8f-9aaf-e6aa20708bd1</t>
  </si>
  <si>
    <t>bb8e0573-f159-48e6-bf4d-2d5370ff6387</t>
  </si>
  <si>
    <t>4a5008ce-442d-4430-b33a-7959a5fedb93</t>
  </si>
  <si>
    <t>b08eb258-3941-4941-9231-88a1c35b07d6</t>
  </si>
  <si>
    <t>Смирнов Дмитрий</t>
  </si>
  <si>
    <t>098bf51c-35ba-4257-a282-1596fd37f4b2</t>
  </si>
  <si>
    <t>0490291b-7cb0-47d2-90cc-412e12b7fd77</t>
  </si>
  <si>
    <t>Смирнов Егор</t>
  </si>
  <si>
    <t>d677f152-8858-4d9e-9eb1-42a9ac54842a</t>
  </si>
  <si>
    <t>Смирнов Максим</t>
  </si>
  <si>
    <t>dfcc4301-f017-47ba-8765-de273ea1ebf7</t>
  </si>
  <si>
    <t>55b2d9f0-8818-4e82-a48f-33c04b5976c3</t>
  </si>
  <si>
    <t>50cd23be-9187-4534-9e65-d2ada7efdad6</t>
  </si>
  <si>
    <t>Соколов Иван</t>
  </si>
  <si>
    <t>a9bd5942-c120-43c7-8643-3df6381b3fd2</t>
  </si>
  <si>
    <t>950c66e3-817d-4236-87dd-62e59da526c9</t>
  </si>
  <si>
    <t>e1d57e34-87ba-4054-9224-abe3dfb6bfcf</t>
  </si>
  <si>
    <t>Соколов Михаил</t>
  </si>
  <si>
    <t>03ca0af8-c743-466b-b9ad-9fd15c97c75c</t>
  </si>
  <si>
    <t>1b73744b-cc2f-4aac-a00c-465e90a60bc2</t>
  </si>
  <si>
    <t>Соколов Павел</t>
  </si>
  <si>
    <t>afe5c54c-31a0-4dde-a651-d54f514c4de0</t>
  </si>
  <si>
    <t>Федоров Александр</t>
  </si>
  <si>
    <t>01937a2c-2f71-42d6-9ec3-c0a00856abc0</t>
  </si>
  <si>
    <t>8c2ef895-a09a-46e7-bc88-d1e88b3fa022</t>
  </si>
  <si>
    <t>Апрель</t>
  </si>
  <si>
    <t>8ba41d74-9ccf-43ba-a0c2-96be5a045af1</t>
  </si>
  <si>
    <t>c61da2ca-6af2-4c8e-b170-baec0de49cee</t>
  </si>
  <si>
    <t>7f3e03db-010d-41c7-a5f9-417867a3be04</t>
  </si>
  <si>
    <t>57d8808b-d38b-49a6-8501-0b2ccd5ee197</t>
  </si>
  <si>
    <t>940c94ff-df59-4264-85e3-ba4029b57657</t>
  </si>
  <si>
    <t>ab6a9cfe-ad64-4b87-91cf-b68832ddfbea</t>
  </si>
  <si>
    <t>d6874cc4-6fad-4223-87b5-6dec427356b1</t>
  </si>
  <si>
    <t>b1bcef36-6f04-43a1-9e6f-e42e1fc14974</t>
  </si>
  <si>
    <t>9ebe5656-cb01-45fe-b78a-5d223cc4170e</t>
  </si>
  <si>
    <t>a140fb33-3f96-4496-b845-8c9208c12039</t>
  </si>
  <si>
    <t>a77eba4e-1191-44eb-a384-2cc2843c0756</t>
  </si>
  <si>
    <t>70bf25f2-0c36-4030-a28d-583783e0a1e6</t>
  </si>
  <si>
    <t>Васильев Павел</t>
  </si>
  <si>
    <t>30999294-e7e4-430f-9b2a-8615b2e73173</t>
  </si>
  <si>
    <t>Иванов Андрей</t>
  </si>
  <si>
    <t>b6254794-9aef-4972-a854-0ff25ddc515f</t>
  </si>
  <si>
    <t>bbf79f06-6a69-4e22-a5d9-4b48e9d1a438</t>
  </si>
  <si>
    <t>ee8a2f35-7802-4a35-93ee-8af68461d2fd</t>
  </si>
  <si>
    <t>c2324e8a-9f6b-42da-8ec9-270256647156</t>
  </si>
  <si>
    <t>d4e71131-caf2-485d-a347-6b46b7cd78ca</t>
  </si>
  <si>
    <t>4b622a47-94da-48d4-bfdd-2a820045c132</t>
  </si>
  <si>
    <t>Иванов Михаил</t>
  </si>
  <si>
    <t>44d5594d-0cea-42fb-bd2e-dbc599bbb8f8</t>
  </si>
  <si>
    <t>b5e2653c-55d2-4b51-a6d6-54ee06700a83</t>
  </si>
  <si>
    <t>Иванов Павел</t>
  </si>
  <si>
    <t>82939d62-6f1f-437d-8d8e-dfe7aaa36d20</t>
  </si>
  <si>
    <t>3762d02d-8709-4445-be5c-cfcc8e28387e</t>
  </si>
  <si>
    <t>86273ced-8b06-4fa8-9e0a-e14f91654d69</t>
  </si>
  <si>
    <t>142c9fe8-d679-4b35-b486-9d7c48cf1621</t>
  </si>
  <si>
    <t>96128e25-172d-47a6-b420-a47143e2eee6</t>
  </si>
  <si>
    <t>8f0882ae-683d-430b-b86e-7da3c4f1a77e</t>
  </si>
  <si>
    <t>9be293e5-5462-437e-a229-5eda86a60ed6</t>
  </si>
  <si>
    <t>ff947683-7314-4bff-8e18-b346b51eb272</t>
  </si>
  <si>
    <t>Кузнецов Кирилл</t>
  </si>
  <si>
    <t>2be40178-066c-42c6-9e8e-cf12034076b1</t>
  </si>
  <si>
    <t>65dcb7b2-e07a-430f-abec-451c4ecf394a</t>
  </si>
  <si>
    <t>dd4e9f53-04a3-4d67-9c51-9fb786127aa8</t>
  </si>
  <si>
    <t>5b7d942d-a4b0-4e3d-b2ba-257918cd0b77</t>
  </si>
  <si>
    <t>7607d86e-8d4d-43fd-a951-a7c4a9738a9e</t>
  </si>
  <si>
    <t>5cae7ffb-877e-43f6-9919-175705726e67</t>
  </si>
  <si>
    <t>10516633-00a6-4526-a7c7-16a5f3fcf73a</t>
  </si>
  <si>
    <t>ea29f1be-5757-4124-85fb-d0d5ff949f59</t>
  </si>
  <si>
    <t>84706910-2a6f-467d-b45e-805fe1d83600</t>
  </si>
  <si>
    <t>Михайлов Михаил</t>
  </si>
  <si>
    <t>4995956e-1d87-4f8f-8c71-2c200bbe4c57</t>
  </si>
  <si>
    <t>3b7bcdfa-db1a-4636-9120-c1e857bc553e</t>
  </si>
  <si>
    <t>58810a1a-c29d-45f7-bf9d-395d68ceb753</t>
  </si>
  <si>
    <t>14e44cbf-7589-4371-8839-44f515a5c2d7</t>
  </si>
  <si>
    <t>844bbb17-48b4-41fb-9f58-c7a9587c69c2</t>
  </si>
  <si>
    <t>952b62f1-6b63-4e44-84c4-429deac98067</t>
  </si>
  <si>
    <t>02461d17-0586-4670-a4c3-39f91a79e3ec</t>
  </si>
  <si>
    <t>fd31b365-9bf1-49e2-8e68-3d425cf83e32</t>
  </si>
  <si>
    <t>03191872-35c1-4850-836a-750643ed5860</t>
  </si>
  <si>
    <t>e93a5b25-a4d8-4893-8605-68b149df3ded</t>
  </si>
  <si>
    <t>454c46de-f888-4453-9698-12c17de028b7</t>
  </si>
  <si>
    <t>32fb58b1-50b9-47f3-8eef-db8aae11293e</t>
  </si>
  <si>
    <t>e97c6035-b755-4349-a3fa-b28d57eb6ee0</t>
  </si>
  <si>
    <t>8321f27e-a068-41c9-aab1-c63e3f3a973d</t>
  </si>
  <si>
    <t>Петров Егор</t>
  </si>
  <si>
    <t>70c31ec0-1d05-4f27-a63b-dbf215fb4d73</t>
  </si>
  <si>
    <t>5a09045c-f7f8-4b4a-a853-cf2598515825</t>
  </si>
  <si>
    <t>dd868c48-5576-4b5f-afe9-749ac4ee9a00</t>
  </si>
  <si>
    <t>026da32c-117a-4630-80cb-e2403cf942f6</t>
  </si>
  <si>
    <t>Петров Иван</t>
  </si>
  <si>
    <t>ee771fd0-b8b0-4e3d-b3cc-e84fe95c9e4d</t>
  </si>
  <si>
    <t>e201036b-b960-44f9-a3fe-b86e4db25cd6</t>
  </si>
  <si>
    <t>f282c0d2-8167-4a19-9f75-799b392e36ab</t>
  </si>
  <si>
    <t>8f75453b-6d80-4971-8e30-08c1e8267e85</t>
  </si>
  <si>
    <t>e2eee548-3bc9-4a64-b12c-325a6b5f5501</t>
  </si>
  <si>
    <t>a03130d5-3566-4af5-99da-5de918a189ad</t>
  </si>
  <si>
    <t>a0f80fbf-8ce0-4f99-bbdc-c7796b47661e</t>
  </si>
  <si>
    <t>9373aa87-5bad-4693-85b0-8ce36ace8f7f</t>
  </si>
  <si>
    <t>66882802-afdf-46bb-ae61-ea2066f79e8d</t>
  </si>
  <si>
    <t>ec84b498-145f-4596-98ae-5195b3ba25e5</t>
  </si>
  <si>
    <t>963cbc2d-e476-4170-b29e-42eb4910bdce</t>
  </si>
  <si>
    <t>Попов Иван</t>
  </si>
  <si>
    <t>9f580b71-2cee-4973-8041-f85b143a52cc</t>
  </si>
  <si>
    <t>bc551e4a-3919-4f7a-b2de-ca0fc17bee8e</t>
  </si>
  <si>
    <t>6bcb2e35-6c5d-4065-a680-bec38f1ac611</t>
  </si>
  <si>
    <t>c08d1f3b-187c-4dca-b35f-c9fb135dc1fa</t>
  </si>
  <si>
    <t>97a82d2b-6abe-4372-9cb6-047c7b097c70</t>
  </si>
  <si>
    <t>ad53df63-2904-4dd0-a8af-db26b1374d3b</t>
  </si>
  <si>
    <t>8557719c-b4a8-4780-9189-211cf5f04bfd</t>
  </si>
  <si>
    <t>1a3adaf2-feaf-4a5c-9457-6f5841648bb7</t>
  </si>
  <si>
    <t>1862ab83-d2bf-42c8-a61a-d588a2b295f4</t>
  </si>
  <si>
    <t>543039be-e799-453a-a738-c42660a8432a</t>
  </si>
  <si>
    <t>01dce3f2-fcc5-440f-83c2-487310886b37</t>
  </si>
  <si>
    <t>49ef798c-ed5d-42a8-ad54-cb77e82520f5</t>
  </si>
  <si>
    <t>70351ced-6fb3-4dad-a267-d329110defd4</t>
  </si>
  <si>
    <t>Смирнов Павел</t>
  </si>
  <si>
    <t>59741262-ab06-4eb9-bfec-451891db1c66</t>
  </si>
  <si>
    <t>c1f0feaa-0e65-4219-9c11-6f1047de8771</t>
  </si>
  <si>
    <t>Соколов Александр</t>
  </si>
  <si>
    <t>8315402c-832a-4d45-8ccd-0b2cbd44b4b1</t>
  </si>
  <si>
    <t>8f8f4093-6381-4e5a-b456-8e3357a4271e</t>
  </si>
  <si>
    <t>ef61c4f7-6c54-4e68-895f-48929d335b57</t>
  </si>
  <si>
    <t>824d80f7-bcf9-4ffd-8b23-ab443d8e8135</t>
  </si>
  <si>
    <t>882c9481-2ab7-4e80-a89d-378148fff0bc</t>
  </si>
  <si>
    <t>Соколов Кирилл</t>
  </si>
  <si>
    <t>0ae09b26-61ee-424a-9620-20c7b841936d</t>
  </si>
  <si>
    <t>91e27988-4ee3-4ad6-856f-7a2e0e61c0e1</t>
  </si>
  <si>
    <t>Соколов Максим</t>
  </si>
  <si>
    <t>a5a5ed02-3dc4-4086-a036-69cee9e94c53</t>
  </si>
  <si>
    <t>fc3ffa57-8bdd-459b-a5e8-c1e9e2a6cceb</t>
  </si>
  <si>
    <t>e8ba2f55-4d11-4a92-8b31-ce81f18f6b3c</t>
  </si>
  <si>
    <t>fb65571a-259c-45d5-bffe-3e648eff4bc4</t>
  </si>
  <si>
    <t>22e6279f-214a-48f4-9d66-209d03059454</t>
  </si>
  <si>
    <t>fc3f4e62-3ccf-4612-9f62-c57b08cc6eed</t>
  </si>
  <si>
    <t>6f28c9d7-7aed-4ad9-af3b-f5bf798b115f</t>
  </si>
  <si>
    <t>78d965ac-5d08-404a-b337-4fafd193df0e</t>
  </si>
  <si>
    <t>cd4ce53b-6665-4fe0-b235-ef48d6274e4e</t>
  </si>
  <si>
    <t>84776e07-ee08-4b6f-822b-960ba0d7b8d7</t>
  </si>
  <si>
    <t>852f020a-d9d4-4e2c-95f2-fbe118560c67</t>
  </si>
  <si>
    <t>Федоров Алексей</t>
  </si>
  <si>
    <t>362e302b-12aa-4de7-a3fe-28cf525448d6</t>
  </si>
  <si>
    <t>f2e61927-f498-45ba-835f-1cfd0fad3fd0</t>
  </si>
  <si>
    <t>f3c892b6-5df4-4920-a995-a36865dc46ea</t>
  </si>
  <si>
    <t>Федоров Андрей</t>
  </si>
  <si>
    <t>5c81e06a-1c19-4fe1-8051-29918de05873</t>
  </si>
  <si>
    <t>Федоров Дмитрий</t>
  </si>
  <si>
    <t>975d85ca-3d8e-47ff-8f43-b7eea8278177</t>
  </si>
  <si>
    <t>192c59e5-110f-46a1-9e67-6e4d94f9fa05</t>
  </si>
  <si>
    <t>Федоров Кирилл</t>
  </si>
  <si>
    <t>5edcfb17-e42f-4248-8ba5-4a371a6daa2d</t>
  </si>
  <si>
    <t>6ad1e458-bf67-4a3a-8a8b-82120db9ce14</t>
  </si>
  <si>
    <t>Июль</t>
  </si>
  <si>
    <t>9b309840-4868-4ea9-b978-d4bf42f76bf6</t>
  </si>
  <si>
    <t>1d732515-3246-4d17-8d04-339d6a1d0b1c</t>
  </si>
  <si>
    <t>fb360a4a-a4c7-48fa-8f48-c9fa681b5bbb</t>
  </si>
  <si>
    <t>6fa9ce3e-d2a1-427d-ac7c-69f35ca55c55</t>
  </si>
  <si>
    <t>2d6361a9-a491-4186-b441-e94e4040148b</t>
  </si>
  <si>
    <t>8fad3363-5f12-45f5-b990-184492d20eda</t>
  </si>
  <si>
    <t>c080d09d-792b-45c3-a3f6-bc1293b2023b</t>
  </si>
  <si>
    <t>ed4edcdc-ff8c-4fae-84af-ad446aeccdb6</t>
  </si>
  <si>
    <t>ce29c9c1-db19-43bd-869d-0cea87f5a2e9</t>
  </si>
  <si>
    <t>adc1ae4f-567d-4b18-86ae-fd3c1f96d403</t>
  </si>
  <si>
    <t>94f0d724-01f7-448e-830d-b27c69188d77</t>
  </si>
  <si>
    <t>4224dbc1-815b-4382-ac60-8c228e3f6f08</t>
  </si>
  <si>
    <t>e4004c70-960c-438d-b271-6edc4422672b</t>
  </si>
  <si>
    <t>76f1b2e5-308a-49a9-b598-a9dc1ddeafa8</t>
  </si>
  <si>
    <t>18650ff9-6a41-4332-8145-0d54d0109dc6</t>
  </si>
  <si>
    <t>0ee8b9ff-da2f-4696-ac06-f6f22ec6be7f</t>
  </si>
  <si>
    <t>9ba6be52-2c36-4dcc-b688-d5101dc99453</t>
  </si>
  <si>
    <t>0bf9790e-193c-4409-a56f-bc0986c6dead</t>
  </si>
  <si>
    <t>6e70c0dd-ff85-4312-b23e-342500afe437</t>
  </si>
  <si>
    <t>96591ab9-4e9c-42b4-b3d6-04ec94c9825d</t>
  </si>
  <si>
    <t>616a73d4-6dc4-4c71-abed-614d5d0444f0</t>
  </si>
  <si>
    <t>e6a42ee7-a683-4d84-9a7a-66d92c8f964c</t>
  </si>
  <si>
    <t>34251ea7-7e4d-427a-909e-0ec495bfac18</t>
  </si>
  <si>
    <t>7f68866c-766d-4c9a-b7ec-faa1ca2e8f78</t>
  </si>
  <si>
    <t>712e3a39-b3f6-4c85-a528-8ed9b80b8a7a</t>
  </si>
  <si>
    <t>89d853aa-76b6-485a-897a-d43fe525fef1</t>
  </si>
  <si>
    <t>e8f7dac1-ff1b-42f2-ad63-a085030eca05</t>
  </si>
  <si>
    <t>b9b27d59-d236-4d78-bb47-ee4ae8156ffd</t>
  </si>
  <si>
    <t>5d353980-5222-4106-93c2-dd2ee4055fdc</t>
  </si>
  <si>
    <t>82911817-f871-4e18-9dff-eb679abc1a45</t>
  </si>
  <si>
    <t>21702b60-171d-4660-a85a-7b01cad5e378</t>
  </si>
  <si>
    <t>3442d5ab-6cd4-4147-ada5-4a50a342b7c3</t>
  </si>
  <si>
    <t>6990e716-c89f-440d-a483-fb1042de0fc6</t>
  </si>
  <si>
    <t>0621046b-34ed-4843-b148-7f371e0d07fc</t>
  </si>
  <si>
    <t>19366027-9d7e-4765-9ff8-09297aff5930</t>
  </si>
  <si>
    <t>dba8aa2a-e85f-4fc9-8b47-6e2d064f93b7</t>
  </si>
  <si>
    <t>9a1723f5-a639-4a6c-b686-227af6af196e</t>
  </si>
  <si>
    <t>0044111b-745c-4128-a8f4-53ba5bf33971</t>
  </si>
  <si>
    <t>76a84863-fc28-4fcd-9ed9-881a3798b4e4</t>
  </si>
  <si>
    <t>cd33a048-e701-4b4c-9d43-46e148f4a76c</t>
  </si>
  <si>
    <t>8ed1fc72-f382-477f-8f4a-7ec14eba0e3f</t>
  </si>
  <si>
    <t>528e9ca3-f5fc-499f-82b7-652aabfa63e8</t>
  </si>
  <si>
    <t>d97b5ef7-b78b-44df-a893-0c5bd62a3824</t>
  </si>
  <si>
    <t>18fc3346-f32f-416a-b0bb-b35529eaef24</t>
  </si>
  <si>
    <t>1bba3a50-2db3-45fb-b1b6-27e39c5401cf</t>
  </si>
  <si>
    <t>974ab5b0-f78b-45ad-ae73-585951486b0d</t>
  </si>
  <si>
    <t>1ff164e6-7569-4843-9b82-28d4dba9856d</t>
  </si>
  <si>
    <t>d26f0ffb-d1bf-485f-88f0-37b2315f9244</t>
  </si>
  <si>
    <t>e9eed65e-e222-4029-9c3b-39f030bc9fbd</t>
  </si>
  <si>
    <t>ddde638d-de22-420b-965e-f9b7ed3996de</t>
  </si>
  <si>
    <t>9f47bf7a-52fd-433c-a312-d119c5957688</t>
  </si>
  <si>
    <t>4750715f-497c-4291-a312-dc3e27e940ae</t>
  </si>
  <si>
    <t>eae8096e-aeb2-4e5f-92e5-52f2fd9c9f66</t>
  </si>
  <si>
    <t>44918e19-3613-46cc-9e92-f8b798d1051c</t>
  </si>
  <si>
    <t>eda66e05-1b0a-40d2-b9f0-6db958fb0445</t>
  </si>
  <si>
    <t>453bdcb9-93e2-42d8-b057-55cda07cd8b9</t>
  </si>
  <si>
    <t>9ad92f0b-9e27-49ad-a47a-1838192d4cc6</t>
  </si>
  <si>
    <t>822713b3-c202-4ba5-9208-cdb8d1a4f39a</t>
  </si>
  <si>
    <t>8ae8b1c1-fe83-4509-8414-a9c9108eae5c</t>
  </si>
  <si>
    <t>aa221fe2-bc1e-439d-86bc-958b08b87e61</t>
  </si>
  <si>
    <t>de7f643c-91e0-47cd-b8b6-c73b4edc5a2a</t>
  </si>
  <si>
    <t>9d2a0580-af93-4698-8046-022bab38b27c</t>
  </si>
  <si>
    <t>681a1da3-d1eb-44be-a313-bc6d3a7a9568</t>
  </si>
  <si>
    <t>efad84c6-30fb-488b-b505-bd2320bea6b9</t>
  </si>
  <si>
    <t>876bd3bd-f787-4707-b486-c230444ff214</t>
  </si>
  <si>
    <t>dc96e5c4-8c3a-44c6-b43d-2a022ff4b8a4</t>
  </si>
  <si>
    <t>49c61733-f492-4adf-8413-e6a37ba99517</t>
  </si>
  <si>
    <t>89ce096c-ffec-403d-a11d-9d2807791ce3</t>
  </si>
  <si>
    <t>b7cafabe-4a29-456b-a5a2-38420b595d54</t>
  </si>
  <si>
    <t>e4dff1eb-3f9b-4312-8e82-849638a72eef</t>
  </si>
  <si>
    <t>a1425a2d-8ac7-46d1-8a12-0e924fde630a</t>
  </si>
  <si>
    <t>b14b8e2c-8515-4c6a-9fa4-64f40dd5f3be</t>
  </si>
  <si>
    <t>8737a3d1-dfab-40e2-8707-ffc427c69389</t>
  </si>
  <si>
    <t>fdfaa631-f0b0-49b3-8fdb-33ace373ae20</t>
  </si>
  <si>
    <t>Июнь</t>
  </si>
  <si>
    <t>7466a831-11a5-4f1d-afe9-e20d6010e718</t>
  </si>
  <si>
    <t>28ac2014-3842-44cb-9b6c-7bea5ce46de0</t>
  </si>
  <si>
    <t>dcf8732e-e3cb-4be9-9081-6eb770a58000</t>
  </si>
  <si>
    <t>7d36336a-e6d5-4663-b709-5d8ead9f0045</t>
  </si>
  <si>
    <t>c15f9c76-8ec7-4ee5-a84a-b77b00be5b1a</t>
  </si>
  <si>
    <t>e38adba3-cabf-4ca0-a1dc-73677a3b7a41</t>
  </si>
  <si>
    <t>43fca9cc-6e9c-4f7c-a0ef-a7185cb4f624</t>
  </si>
  <si>
    <t>ed4480ca-71be-496e-8215-7f8baba5f232</t>
  </si>
  <si>
    <t>7f2351cb-bec0-4ff1-a1e6-e2a6d991849f</t>
  </si>
  <si>
    <t>c493145a-612c-4058-a95d-fc60074d5737</t>
  </si>
  <si>
    <t>00095b73-37fc-4f4a-9d45-7ddd4d3e2daf</t>
  </si>
  <si>
    <t>a1e831e2-675e-41ff-a127-42c98dac40d4</t>
  </si>
  <si>
    <t>44b82455-6bd0-44be-b6d9-5ff2331af9f8</t>
  </si>
  <si>
    <t>3c1cb0a7-8f0c-4a75-a355-e9429a11da3d</t>
  </si>
  <si>
    <t>e57c6389-d28c-4df2-9288-921958137aba</t>
  </si>
  <si>
    <t>23906f7e-2f54-4681-a842-d92ea734748f</t>
  </si>
  <si>
    <t>4221622e-11ca-49de-8050-ae75fc1b0fd2</t>
  </si>
  <si>
    <t>4ab052ce-7ebf-4da7-afe1-63812546eb5a</t>
  </si>
  <si>
    <t>02a4ca03-02fd-41a5-bc13-672e4d3e8de1</t>
  </si>
  <si>
    <t>f84b44c4-f052-48da-83b5-c237d48a07dd</t>
  </si>
  <si>
    <t>0b4f876f-7666-4697-a119-703493b7c7bc</t>
  </si>
  <si>
    <t>67da2f39-9b77-4658-a80c-9b8a13d429e8</t>
  </si>
  <si>
    <t>2994bdf4-b2de-4b6d-86b5-602da4b535cc</t>
  </si>
  <si>
    <t>69489889-017b-4410-bbae-df1b06646df4</t>
  </si>
  <si>
    <t>06243828-55d8-4da8-b5d4-48dbfce27f5a</t>
  </si>
  <si>
    <t>a5e0ba56-be74-47ca-997a-fe9ce8ccd672</t>
  </si>
  <si>
    <t>112de9e8-5169-4725-862a-80e50d1b74f3</t>
  </si>
  <si>
    <t>250ba245-0342-4e0a-b894-21171f6c8ac0</t>
  </si>
  <si>
    <t>60bf2767-87ef-428f-8daf-db4c3e9ad634</t>
  </si>
  <si>
    <t>64bc9d66-ed33-4361-845a-c4faae55339e</t>
  </si>
  <si>
    <t>9507702b-89a7-4da0-8cec-4e2ae4c66778</t>
  </si>
  <si>
    <t>11171276-dc50-4b0a-862a-a8720b3a6230</t>
  </si>
  <si>
    <t>d3d7c7b0-b00d-4abb-9743-876e56dcac73</t>
  </si>
  <si>
    <t>ac7de4ce-cc27-4172-ae4f-4c5e8882010f</t>
  </si>
  <si>
    <t>87af77eb-afcf-4d61-b5b7-1bef0bbc8c9e</t>
  </si>
  <si>
    <t>a73e77b2-092e-4167-b6c9-999b02e9087d</t>
  </si>
  <si>
    <t>fa0af670-cb02-448e-8039-5cc8072c1443</t>
  </si>
  <si>
    <t>29dbcb03-2abf-4257-994f-e0ba722e408f</t>
  </si>
  <si>
    <t>d1579b64-ef9d-448b-8344-ea58e4da0cb3</t>
  </si>
  <si>
    <t>5ba765bf-cdbe-4bca-ad00-bf9ef4d3f2e9</t>
  </si>
  <si>
    <t>6f41bfd0-8a48-44da-8e6b-d702bc015f23</t>
  </si>
  <si>
    <t>9e22b8c8-6b42-4ca4-895d-ca73f25965bb</t>
  </si>
  <si>
    <t>1a5e8d78-50ce-4933-a21f-9de1bc53c7dd</t>
  </si>
  <si>
    <t>364026bd-97a5-4f7e-ad88-92c087742e0f</t>
  </si>
  <si>
    <t>17e9311c-4047-4ded-a5e9-b3c9ddbeca1a</t>
  </si>
  <si>
    <t>704d989d-7bd8-4992-9ded-d33ee4979604</t>
  </si>
  <si>
    <t>93f25c48-09ec-4d9c-a0a0-217b81080215</t>
  </si>
  <si>
    <t>627a2f63-0071-4ded-8909-9c131ec11129</t>
  </si>
  <si>
    <t>6d968e99-158e-40f6-898c-f687399ee560</t>
  </si>
  <si>
    <t>5fce5cc7-6918-4e50-841d-dc7f2da06bf0</t>
  </si>
  <si>
    <t>fb12adaf-de9f-44e0-81a8-051291afc989</t>
  </si>
  <si>
    <t>e06900b3-d57b-4979-83f4-d96398339bd5</t>
  </si>
  <si>
    <t>ad1bbfad-38b7-433b-82a9-831f411b7de9</t>
  </si>
  <si>
    <t>1b5f1480-fba9-4fea-8545-76bb7255f714</t>
  </si>
  <si>
    <t>70d6a53b-f3a7-42ee-ad01-71899c703b0b</t>
  </si>
  <si>
    <t>b6eb8d39-f497-4333-9f04-bea36389a0d2</t>
  </si>
  <si>
    <t>3c5eb432-613b-41e7-bdd0-a1c06551da08</t>
  </si>
  <si>
    <t>18984e94-29af-4357-a572-89c6556f0324</t>
  </si>
  <si>
    <t>a7698fb1-458a-435b-ab56-703e585cc19a</t>
  </si>
  <si>
    <t>9f2f557d-2a25-4a1f-8545-e9506ec81494</t>
  </si>
  <si>
    <t>e2439383-02fa-46e6-be67-6493833a5ed2</t>
  </si>
  <si>
    <t>b5c6922c-13d2-4bfc-b08d-0245e13ff60f</t>
  </si>
  <si>
    <t>9d29f579-b31e-4f19-95b3-465b0cd7446c</t>
  </si>
  <si>
    <t>22c55d97-4a42-4ebc-90a5-390dcac1f5cb</t>
  </si>
  <si>
    <t>8ce0b841-cb63-4888-9eff-382dd2982e27</t>
  </si>
  <si>
    <t>887c1110-b087-4bd5-9a0b-e12e76b6ec0d</t>
  </si>
  <si>
    <t>3d50e20d-150f-449e-a293-f43409a66500</t>
  </si>
  <si>
    <t>c4748eb4-8d93-4b88-813f-d37ac3b577e6</t>
  </si>
  <si>
    <t>7d39f0ce-2b4b-434d-ac46-96680d1d5fdf</t>
  </si>
  <si>
    <t>aebbd63e-fc26-4457-b299-b3ed4d5bd90c</t>
  </si>
  <si>
    <t>5a0859c8-b237-4778-92a5-0144325c087c</t>
  </si>
  <si>
    <t>adf147b0-3baf-49e3-b565-89d937f7db35</t>
  </si>
  <si>
    <t>007980be-9822-4778-a182-bc58880d44b9</t>
  </si>
  <si>
    <t>67c3816f-3343-43a4-ba50-9a8cc0ef5877</t>
  </si>
  <si>
    <t>f3dc5708-d83d-42a4-874a-5f1e1f39f130</t>
  </si>
  <si>
    <t>495e5394-576d-4073-954c-dcb0feba72ff</t>
  </si>
  <si>
    <t>d8715217-21f1-4265-a091-e6488c0cc415</t>
  </si>
  <si>
    <t>bfb5d1b6-2865-4fa8-8e96-72ffaa679d58</t>
  </si>
  <si>
    <t>91c16ead-6490-47cb-9a82-2f7091c6b5f0</t>
  </si>
  <si>
    <t>58d82fb9-c09f-44c1-a2a0-0ed4b6a50dd7</t>
  </si>
  <si>
    <t>1dba70db-7a99-45a3-99cd-bd9b22d5faed</t>
  </si>
  <si>
    <t>47267ef0-2872-4fc9-b076-7f3735b7624e</t>
  </si>
  <si>
    <t>1a028481-e430-4a22-a78a-79cc12b21038</t>
  </si>
  <si>
    <t>c1bac16b-7a3e-4fd8-8b5f-cd723d6befc6</t>
  </si>
  <si>
    <t>623892b7-3403-4200-bf32-1fe82f39c850</t>
  </si>
  <si>
    <t>762a9fa0-3185-4d39-9255-15123eb93e2e</t>
  </si>
  <si>
    <t>821abe2b-0486-4e8d-93bc-ca364f38273e</t>
  </si>
  <si>
    <t>Май</t>
  </si>
  <si>
    <t>f0fc721e-bb61-476d-9441-4f5ea4712686</t>
  </si>
  <si>
    <t>726e52f5-5240-4c47-bc22-20d92fc48042</t>
  </si>
  <si>
    <t>68aef118-ddd5-40da-b63b-290320a1f35b</t>
  </si>
  <si>
    <t>6953e917-2973-491d-a7ac-1cc5727a5853</t>
  </si>
  <si>
    <t>68c504e7-cb98-4218-9fc3-996d88f381f2</t>
  </si>
  <si>
    <t>80659dab-16ce-4b43-8e0c-3c826e3c0326</t>
  </si>
  <si>
    <t>ab339a52-9629-48e1-b8f8-5137406e4de2</t>
  </si>
  <si>
    <t>f8df2a0b-26eb-44ff-a77e-e86217293450</t>
  </si>
  <si>
    <t>a3ca0f37-241b-4803-8ec0-0d580e23aecf</t>
  </si>
  <si>
    <t>28be72ef-0224-4d77-b384-474e7d96d881</t>
  </si>
  <si>
    <t>6367aa34-58b5-4ce7-aeed-8e7f906c6f80</t>
  </si>
  <si>
    <t>727b9fba-1de8-49fc-9f7f-24c42adba2ec</t>
  </si>
  <si>
    <t>21f84a48-3a3a-4a22-8400-97900f737250</t>
  </si>
  <si>
    <t>ced5af0f-6359-4c30-a1b2-3aed6dad0dad</t>
  </si>
  <si>
    <t>13b51518-79c5-4cbc-9b6b-dc282f0b6b92</t>
  </si>
  <si>
    <t>a4994cff-ec35-4e95-bd75-f0cc06ba3fcc</t>
  </si>
  <si>
    <t>a1259b7d-9db1-451b-be3a-818e4c4c372d</t>
  </si>
  <si>
    <t>4ac2269d-5a44-4e5f-b699-f97ac1a3dc62</t>
  </si>
  <si>
    <t>8c539fa1-8b33-42a9-a1f2-6d2bddbe72e5</t>
  </si>
  <si>
    <t>255788d3-a46b-42c2-bc93-4c4ac28069ae</t>
  </si>
  <si>
    <t>45c64b88-6371-4d3d-aadc-dc1be569c3f3</t>
  </si>
  <si>
    <t>a82f15ca-fa44-4fc5-ae4c-618da9ae4944</t>
  </si>
  <si>
    <t>e9a3d84b-1841-46d9-8c70-827b0ce4470d</t>
  </si>
  <si>
    <t>590c1d1a-ec5c-483c-87a2-7ea4da46fe9c</t>
  </si>
  <si>
    <t>bbd24e6f-6281-4e9b-a686-0a4591de8001</t>
  </si>
  <si>
    <t>699cdcf7-d7ff-4aaf-aaaf-980a64e29253</t>
  </si>
  <si>
    <t>edcdf8a8-0e4a-451e-bf96-a0dd47b550c1</t>
  </si>
  <si>
    <t>8639962c-9e88-41ab-bd2f-5d43b76f21a5</t>
  </si>
  <si>
    <t>b970df8c-479e-46f1-b70a-9699929a4b5b</t>
  </si>
  <si>
    <t>e6adbf70-1fc6-4698-bc90-0d554513d5a9</t>
  </si>
  <si>
    <t>e6616489-5e01-462e-9a3f-91335953c641</t>
  </si>
  <si>
    <t>1ecb3674-7bf5-4d01-b8d8-bbfcf1ae2152</t>
  </si>
  <si>
    <t>8755e192-1c0a-4db9-8c2e-869469a2fd69</t>
  </si>
  <si>
    <t>7affb25a-f868-4cd4-b3b1-3b78720377b2</t>
  </si>
  <si>
    <t>6e52d984-fa30-4fab-b3cd-97031cbedde8</t>
  </si>
  <si>
    <t>a18473a1-74b3-4525-8759-f2621f5cb29e</t>
  </si>
  <si>
    <t>2a3c95f5-71a3-43ec-88ff-2dd7f43df91c</t>
  </si>
  <si>
    <t>934795be-df98-4e1d-b445-41d94ce291ab</t>
  </si>
  <si>
    <t>665639a2-1243-478a-89f5-51a14f1c5f16</t>
  </si>
  <si>
    <t>30a3ca17-66f3-4968-9e70-37c3e961ca47</t>
  </si>
  <si>
    <t>178e2332-afa4-4dcc-b09c-3a9a027bcc1e</t>
  </si>
  <si>
    <t>ce8ff8ae-892b-41dd-b2c6-03ff37bd9ae6</t>
  </si>
  <si>
    <t>a6452ce5-492c-4aae-a5c3-0935ce90e981</t>
  </si>
  <si>
    <t>8400b157-c6fb-49a5-8d0d-f4ab3715f237</t>
  </si>
  <si>
    <t>74c7e0da-ee38-439a-8e91-5683370c5a9f</t>
  </si>
  <si>
    <t>ce5b92a7-ea85-433f-bb41-7d0f1bc5d26f</t>
  </si>
  <si>
    <t>84cd2c19-3207-4cd6-b268-55fdfbec85fd</t>
  </si>
  <si>
    <t>2570c51d-bf11-410e-b8a9-382e7fae6cee</t>
  </si>
  <si>
    <t>969752c4-6e12-45f4-a9ee-06a4bba6cdb2</t>
  </si>
  <si>
    <t>ef018f2f-ec54-4e52-8398-70b430db5de7</t>
  </si>
  <si>
    <t>e8beae78-dbc1-47c3-aeff-fe0727775bf1</t>
  </si>
  <si>
    <t>cb629f10-1d4c-45b6-9d89-f2f3915486b7</t>
  </si>
  <si>
    <t>b114a397-c9f4-414a-be4f-75604ac1a0d0</t>
  </si>
  <si>
    <t>52d9e58d-77b7-4caf-974e-d39ec110054f</t>
  </si>
  <si>
    <t>dac38204-061b-44d4-b9e4-f84060d00857</t>
  </si>
  <si>
    <t>d9183d97-739f-445c-86ea-7f54ce39b70e</t>
  </si>
  <si>
    <t>d27986ec-f5de-4e79-873f-b80e3621e7e7</t>
  </si>
  <si>
    <t>8bb25055-bbbb-4c2f-8453-3f589a3d686c</t>
  </si>
  <si>
    <t>58bc8f80-201b-467d-afdb-7b9e629dbe76</t>
  </si>
  <si>
    <t>3d0367a7-ba15-4628-bee4-7682157a2cad</t>
  </si>
  <si>
    <t>50aeaf4e-2576-4ab5-8c2f-52f6d7a52054</t>
  </si>
  <si>
    <t>00aca493-217d-4704-8c18-afaf672dcf27</t>
  </si>
  <si>
    <t>beedafc4-b70c-42a6-9782-e62b196a6462</t>
  </si>
  <si>
    <t>506c2c61-e9f1-4550-a578-ab724d05d0e6</t>
  </si>
  <si>
    <t>4396312a-6129-40d4-b387-17cb888ad054</t>
  </si>
  <si>
    <t>ea87e478-9e5e-4622-8b79-05380168eb2b</t>
  </si>
  <si>
    <t>a3bb2ffe-2272-404b-bcd0-8565aafaf1aa</t>
  </si>
  <si>
    <t>f342f9ab-66c1-4ac8-8218-299b494f8d47</t>
  </si>
  <si>
    <t>ea2ea709-cee7-4dea-abda-b85afd5f4ac7</t>
  </si>
  <si>
    <t>d9c10f84-b0ac-46b9-ae54-1430b44ad819</t>
  </si>
  <si>
    <t>5a4e65b3-03c3-4ad9-9222-d0a78fee5630</t>
  </si>
  <si>
    <t>39a3d76f-7a16-487a-9822-19931ffcdea6</t>
  </si>
  <si>
    <t>9eb27d13-e700-4ddf-a76c-f06da06dfea5</t>
  </si>
  <si>
    <t>f414e54f-d9de-4897-9deb-f31dd56d24e7</t>
  </si>
  <si>
    <t>111e1343-ae17-4746-8600-7d6f141d6863</t>
  </si>
  <si>
    <t>06bfadf5-ef03-4fcc-b178-fef7c05bafe9</t>
  </si>
  <si>
    <t>b4238da4-0adc-477e-b541-8ee91a4a1505</t>
  </si>
  <si>
    <t>c1fa437a-86f1-46be-b105-511df4025a7d</t>
  </si>
  <si>
    <t>07f4b336-778d-4e0b-972b-c5f7cf6d6505</t>
  </si>
  <si>
    <t>bb9af290-b80d-46b7-8bc9-571edb4399b0</t>
  </si>
  <si>
    <t>a46f7dd0-f9b1-4db8-816a-2bb4cb2f1ff1</t>
  </si>
  <si>
    <t>3e3e1d8c-2420-455e-b552-7647c02e6a1b</t>
  </si>
  <si>
    <t>2ae718b6-b059-490e-a5b6-49b61d2bab15</t>
  </si>
  <si>
    <t>2b89fae2-69e6-4d75-bd32-0621ac1943bb</t>
  </si>
  <si>
    <t>633a40d4-b539-4b97-8a5b-f9806b2208f7</t>
  </si>
  <si>
    <t>68a46845-264a-45b9-8dc0-a04403b1b82a</t>
  </si>
  <si>
    <t>af9a322d-0b71-4ce9-8cbb-f8943ee764aa</t>
  </si>
  <si>
    <t>98c5d973-b9b0-4198-905f-0d4d79ea1c1f</t>
  </si>
  <si>
    <t>afbbfc11-7cb0-4795-a390-0d08ccd5da92</t>
  </si>
  <si>
    <t>Март</t>
  </si>
  <si>
    <t>a035c3ef-21b5-4011-8663-56209e40d5f1</t>
  </si>
  <si>
    <t>af05a1f0-bdbb-4b97-a306-fe1be9463350</t>
  </si>
  <si>
    <t>d89b81e7-6e88-4bf9-9105-234f2af5c4bc</t>
  </si>
  <si>
    <t>910fb143-d8a1-4fb7-bb49-466aeb11c62e</t>
  </si>
  <si>
    <t>fce5197d-069e-4d20-8ab1-1b100ff783f0</t>
  </si>
  <si>
    <t>ad06f475-a81a-407d-8f0f-d733c06ab94b</t>
  </si>
  <si>
    <t>c7456369-d418-4529-8d75-c0ea4167deae</t>
  </si>
  <si>
    <t>39bba425-6a5a-4e83-966a-53da82e5e583</t>
  </si>
  <si>
    <t>70c5cdbb-acfc-4c0c-92ab-eace464c5711</t>
  </si>
  <si>
    <t>79099193-5db8-40fe-9f9f-916eb5ef873d</t>
  </si>
  <si>
    <t>e4f3a542-86c3-4c57-a367-ddb14ef3fb73</t>
  </si>
  <si>
    <t>ff3cca96-42e7-4dc5-ab5d-b224f4f85047</t>
  </si>
  <si>
    <t>f156cf62-d599-4dea-b010-bb03430a0594</t>
  </si>
  <si>
    <t>3649cf05-a2f9-41f7-aaed-4710353cdf76</t>
  </si>
  <si>
    <t>f7d1ca17-4977-416c-9a87-3fa3e0f6fc9f</t>
  </si>
  <si>
    <t>Иванов Александр</t>
  </si>
  <si>
    <t>449769aa-a7c0-4a67-81da-c4e3a9d4e412</t>
  </si>
  <si>
    <t>8e8c86d7-cb2a-41d6-9abb-4385ebbcffd3</t>
  </si>
  <si>
    <t>f30fa470-1e9c-4484-a64c-d007ea231cb7</t>
  </si>
  <si>
    <t>45ef98dc-dfb2-428a-9eee-7589b56f3f48</t>
  </si>
  <si>
    <t>8360ad33-089e-4336-baeb-da72904b7583</t>
  </si>
  <si>
    <t>308abb31-324e-4935-a227-a8a81b75b269</t>
  </si>
  <si>
    <t>460eaae1-f9c4-4a2b-8163-a8bcf0e7f772</t>
  </si>
  <si>
    <t>92add0fd-954f-45ed-9e89-1705e96e9b91</t>
  </si>
  <si>
    <t>7884daba-9425-413b-9209-b45e28a13d55</t>
  </si>
  <si>
    <t>0e9f470e-10bc-477f-a196-8fa17bc76787</t>
  </si>
  <si>
    <t>50bb9f15-52bc-4571-bc6e-c3f33b62796b</t>
  </si>
  <si>
    <t>297dce16-1f68-4bd9-88b6-f20496e56cc7</t>
  </si>
  <si>
    <t>21e12b69-971d-4d8f-92eb-c3e8cf7f58d8</t>
  </si>
  <si>
    <t>2a03fc8d-1142-449a-9845-598421e784c5</t>
  </si>
  <si>
    <t>e5acef16-53ba-451b-8ad5-d217da213cb1</t>
  </si>
  <si>
    <t>c9b495e1-619e-44fa-ae37-0610d3a48f96</t>
  </si>
  <si>
    <t>ae212303-31ba-48b8-ac55-f5c3bd393700</t>
  </si>
  <si>
    <t>3d3d8f09-a4a4-4b4c-ae5e-68736e766b1f</t>
  </si>
  <si>
    <t>677517c7-0af2-49a6-a7b6-ce53eb98986a</t>
  </si>
  <si>
    <t>707723fa-adc2-474c-9d47-870632ea835a</t>
  </si>
  <si>
    <t>698ee7e7-6efe-440f-bc7a-45e976c3450f</t>
  </si>
  <si>
    <t>Кузнецов Дмитрий</t>
  </si>
  <si>
    <t>1cc2a2c3-9e9e-470b-8364-c01c8deb0c86</t>
  </si>
  <si>
    <t>d43a2624-3987-4070-bf27-f6d9d5e0307f</t>
  </si>
  <si>
    <t>85e592cf-1101-4512-abdb-2786c9bc19dd</t>
  </si>
  <si>
    <t>43fc78b1-3a35-4be6-a221-97be74ef19d9</t>
  </si>
  <si>
    <t>ea958196-a9e1-43c2-b59b-54fb1acd2cdc</t>
  </si>
  <si>
    <t>d80f0f9e-6ffe-48aa-becb-33c9d1151fef</t>
  </si>
  <si>
    <t>2c32dc3c-4fc5-44b1-b002-f97261cd7813</t>
  </si>
  <si>
    <t>57a40374-d785-4ddb-9a98-772a4b32b82d</t>
  </si>
  <si>
    <t>e6b81792-f783-46fe-9ea5-816630dd1d28</t>
  </si>
  <si>
    <t>66c63bb5-019f-4647-a3eb-75eab35091a6</t>
  </si>
  <si>
    <t>8b6b04a8-1b3d-4724-8fff-81cfe8abf085</t>
  </si>
  <si>
    <t>67cf1e50-ead5-4c51-acfe-f3d629187d61</t>
  </si>
  <si>
    <t>549c54d3-7d19-4f09-b76f-c5ca78f46216</t>
  </si>
  <si>
    <t>90bd12f1-797a-4523-96f8-806068231cb5</t>
  </si>
  <si>
    <t>be1ee653-f064-4355-8d27-12e1104d0cbf</t>
  </si>
  <si>
    <t>f2af5f76-faf5-4fb4-8de1-ffb12c4a2d49</t>
  </si>
  <si>
    <t>93d45346-dd4a-40a2-8add-abead9e17725</t>
  </si>
  <si>
    <t>ee49e1cb-5578-4ceb-9faa-1e500a843311</t>
  </si>
  <si>
    <t>66a7078c-628b-4d67-af20-4158568994f6</t>
  </si>
  <si>
    <t>c090e6ef-b46b-48f1-a7ad-e8647ce924d7</t>
  </si>
  <si>
    <t>d465519b-74c2-40a0-b5b7-bd17885ec1b0</t>
  </si>
  <si>
    <t>b369693f-e901-4737-a161-f29d19a313de</t>
  </si>
  <si>
    <t>a31576c1-186c-46d0-b68f-cfd87dcbac29</t>
  </si>
  <si>
    <t>48c371e2-9840-4a5a-aca7-3dbb594ba5e8</t>
  </si>
  <si>
    <t>9b0ded61-9948-4153-83e4-3c9a40e853c5</t>
  </si>
  <si>
    <t>5df488b3-da1b-4705-b6f8-e1bea3c77c87</t>
  </si>
  <si>
    <t>91e9f510-6cc1-4bb7-8532-d32718c097ac</t>
  </si>
  <si>
    <t>420710ce-a52a-4ff8-b4c8-fa1c6da8ac01</t>
  </si>
  <si>
    <t>c41829df-63f4-4e3a-ba55-089843db5934</t>
  </si>
  <si>
    <t>99ffea74-2a52-4e64-8eed-6e0f3d535cbd</t>
  </si>
  <si>
    <t>373f352e-0ae4-46cf-bf07-9e62e8882ba0</t>
  </si>
  <si>
    <t>93ec2bce-85f2-47b4-aa6b-892c7e57e22f</t>
  </si>
  <si>
    <t>364f39be-5a48-48ec-af65-70d7c466abd9</t>
  </si>
  <si>
    <t>9051b1f5-1935-47d2-aab9-b1b9c8cee34e</t>
  </si>
  <si>
    <t>44141d33-edcb-438f-b4d4-fdb04524b175</t>
  </si>
  <si>
    <t>0aaf2fe6-69d5-4861-925d-1422272b773e</t>
  </si>
  <si>
    <t>432263d6-22eb-473e-a861-2d2eaa311ff6</t>
  </si>
  <si>
    <t>b7c6bf8f-fe01-4fb8-91bd-68ef1f02b55d</t>
  </si>
  <si>
    <t>f9232f98-9a04-474b-9fcc-b3699820fb61</t>
  </si>
  <si>
    <t>5cf6f409-695c-4f44-b321-2d4cc71ee9d4</t>
  </si>
  <si>
    <t>a3fe80ca-7b0a-4e3d-82ec-70dd430f11aa</t>
  </si>
  <si>
    <t>3d5995a1-69b6-4376-9c8c-f98b8fb5de6c</t>
  </si>
  <si>
    <t>12b028f1-65fd-41ab-95b3-12248bf3bcc2</t>
  </si>
  <si>
    <t>214944ea-710e-4bf2-b0bb-7cd3a6a2c602</t>
  </si>
  <si>
    <t>7e21ee19-a5dc-4407-bd0f-710eb0f08162</t>
  </si>
  <si>
    <t>b0b55ddf-a77c-44cf-b294-d2917085fd53</t>
  </si>
  <si>
    <t>39679236-6e2b-47f4-a5c1-4f7793ddf559</t>
  </si>
  <si>
    <t>830c10a5-9a0a-4de3-8177-fbe5ebcca115</t>
  </si>
  <si>
    <t>96ca0e0a-4648-4db4-a5f4-82d5c3283f66</t>
  </si>
  <si>
    <t>Смирнов Кирилл</t>
  </si>
  <si>
    <t>1b8e9610-d152-4986-bc95-5923b1da9640</t>
  </si>
  <si>
    <t>70626154-dc1b-4101-b2f0-61bc53353757</t>
  </si>
  <si>
    <t>76dce7d2-515b-4fb0-88bf-e7d66143278a</t>
  </si>
  <si>
    <t>defc3612-1790-4691-8e07-cf46f1f5ddd6</t>
  </si>
  <si>
    <t>2ea2f80c-1c1d-4341-8a58-c2c7f176db05</t>
  </si>
  <si>
    <t>e0f3ffa9-c8f6-4f35-b985-4636295a793c</t>
  </si>
  <si>
    <t>300f48b7-265a-4a78-b95d-ecb904ed601a</t>
  </si>
  <si>
    <t>beeff30e-f21d-4d60-b633-8d97b5f1433e</t>
  </si>
  <si>
    <t>02c70669-d5d6-4747-bfad-ee2bfdec6a1d</t>
  </si>
  <si>
    <t>3f2e3a7a-de5f-411a-b77f-5da4cb7befeb</t>
  </si>
  <si>
    <t>a7e6d50f-6616-474d-a060-b15c3c7f5b03</t>
  </si>
  <si>
    <t>a953cf4c-dbe7-4784-9cff-c2960c6b6943</t>
  </si>
  <si>
    <t>Соколов Дмитрий</t>
  </si>
  <si>
    <t>6f423a54-3d10-45d9-aaa7-a3a0201153af</t>
  </si>
  <si>
    <t>0d1be371-97ea-4be1-acf3-449eec603f0d</t>
  </si>
  <si>
    <t>4bf09948-12a8-4e09-baa9-1f5f42ef8aea</t>
  </si>
  <si>
    <t>2421bc50-48a9-4987-a9e7-9a9b94f6235e</t>
  </si>
  <si>
    <t>371de5b4-ed38-4fea-943d-77b601554840</t>
  </si>
  <si>
    <t>e44efec9-e1ce-4bcb-b9db-31e9fc113521</t>
  </si>
  <si>
    <t>a67dd20c-1630-4557-ba4b-ff9e698e5a9f</t>
  </si>
  <si>
    <t>102b003b-2d9b-4479-ad25-bb85a0294aae</t>
  </si>
  <si>
    <t>445c3784-5ac7-4697-b3f7-50650a630f83</t>
  </si>
  <si>
    <t>3843ead9-85ce-4701-b1a7-34cfafee3992</t>
  </si>
  <si>
    <t>c61a44d8-b400-4eca-91ef-d0cc17fdc312</t>
  </si>
  <si>
    <t>0b14fb18-bc06-4632-8aad-2f4b20ca499c</t>
  </si>
  <si>
    <t>eb4888c4-99ff-483e-ad06-f3d6999b6415</t>
  </si>
  <si>
    <t>00729e05-8159-4595-8473-45709630e02b</t>
  </si>
  <si>
    <t>00fcddc1-59f2-4e5e-9fd4-26b2d9df54cd</t>
  </si>
  <si>
    <t>e7391b01-ad41-4257-829a-3c4a2931504f</t>
  </si>
  <si>
    <t>ba6ed5af-c9dd-46ad-8566-63577a377a53</t>
  </si>
  <si>
    <t>947d20e0-db8e-44b1-a5ac-a12a6372b5f2</t>
  </si>
  <si>
    <t>f5c04697-13d1-4ff3-ad50-7b28692b6156</t>
  </si>
  <si>
    <t>e03578a0-86cf-4d13-bafa-bc100eb9b9da</t>
  </si>
  <si>
    <t>23a554d9-c8a3-460c-a37e-73170d045bc8</t>
  </si>
  <si>
    <t>fba72a04-09c5-40d8-9f23-a3abce624229</t>
  </si>
  <si>
    <t>32607165-c869-4cd2-b3d1-32d929b05b76</t>
  </si>
  <si>
    <t>356216e3-b98a-4dbf-bed0-0747e04246da</t>
  </si>
  <si>
    <t>fabdc1ee-9aaa-4746-a5b3-d658fcdaff7b</t>
  </si>
  <si>
    <t>a03c9b11-2ab9-471a-94d8-9639d7e7e1ae</t>
  </si>
  <si>
    <t>aa797e4f-2ef1-4a22-ba75-4a97a83e99e6</t>
  </si>
  <si>
    <t>c94b530a-a586-4fa7-a810-8f203d266563</t>
  </si>
  <si>
    <t>Ноябрь</t>
  </si>
  <si>
    <t>e17445ae-9756-4337-aa2a-12662f60c58a</t>
  </si>
  <si>
    <t>28f2e693-e65d-4b49-90ac-27fa5ccd3253</t>
  </si>
  <si>
    <t>d623fe15-0fc0-4b03-978d-b1b1186b2200</t>
  </si>
  <si>
    <t>d4e92714-81a4-4bb7-bb1f-21a9d5a44ea5</t>
  </si>
  <si>
    <t>60e3df03-b999-41ea-9c7e-1aa5420b3406</t>
  </si>
  <si>
    <t>3b37cb50-236b-4791-bb55-008867880661</t>
  </si>
  <si>
    <t>78c0e06c-6ae4-4b72-a2e5-02636aebbc80</t>
  </si>
  <si>
    <t>33f8a307-dce9-4dcf-a81c-0f23949f1875</t>
  </si>
  <si>
    <t>15a14c8e-04ee-47f6-995a-3a4bcf75f444</t>
  </si>
  <si>
    <t>d8548804-f539-4b4e-a60b-1c1264489b8d</t>
  </si>
  <si>
    <t>903a0823-c30d-4175-b5b0-ed381426689b</t>
  </si>
  <si>
    <t>Октябрь</t>
  </si>
  <si>
    <t>af2499f1-2bf4-414e-a969-3c890f51253a</t>
  </si>
  <si>
    <t>34132e52-9fcc-45ef-a6e0-623f7585d07d</t>
  </si>
  <si>
    <t>69fd1dd3-e3d2-4d70-8283-1b97325bc34f</t>
  </si>
  <si>
    <t>7a749da9-cb8d-43c5-a842-3ca2d8e32a9e</t>
  </si>
  <si>
    <t>d5006ab2-fd3d-421a-80a0-2c653b7b7c88</t>
  </si>
  <si>
    <t>398a1ec4-c536-41ef-9b40-791d975b26e8</t>
  </si>
  <si>
    <t>b31d78bb-2f9a-4fcb-a8fa-c8d2a035f1f1</t>
  </si>
  <si>
    <t>f5510e07-f898-4abf-8f2d-24921b1dbe79</t>
  </si>
  <si>
    <t>603c00fb-7d6b-4294-883b-ba373b4bc22a</t>
  </si>
  <si>
    <t>cd0f48b4-9a0b-4527-99b9-9aeacfea7050</t>
  </si>
  <si>
    <t>7990d25e-a71e-410f-ba62-b7a37830406a</t>
  </si>
  <si>
    <t>c83351e6-f536-4ce5-8811-812f43ccf21a</t>
  </si>
  <si>
    <t>c4d5f8af-f91d-4f49-bac4-d0e6d2b9971e</t>
  </si>
  <si>
    <t>deb9eaf1-577f-42cb-939a-0e419b12e343</t>
  </si>
  <si>
    <t>999d566a-8017-4952-923a-1bda104e8f22</t>
  </si>
  <si>
    <t>7e725f98-ea6f-4e4c-9d0a-8ccfa4512539</t>
  </si>
  <si>
    <t>aca7fc7e-9fbd-47ae-9b6f-907aeaabdec7</t>
  </si>
  <si>
    <t>3fbc6d18-25fd-41fd-b4fc-ef1ed241bb31</t>
  </si>
  <si>
    <t>7c4eb3fe-1c3f-448d-afd9-bdaed8e187c5</t>
  </si>
  <si>
    <t>e9d0853a-0f5d-4e6e-96d7-fb26348b7a55</t>
  </si>
  <si>
    <t>b56965df-2f62-4369-8f7e-1a1e089c7410</t>
  </si>
  <si>
    <t>75483f31-1d55-46ab-9885-cd6f9f4a45ba</t>
  </si>
  <si>
    <t>9d668dd6-dc21-4ec5-b16f-85fa47c06a1b</t>
  </si>
  <si>
    <t>e1107811-392d-4f61-be3e-dd673afe3cb1</t>
  </si>
  <si>
    <t>db55e37b-8429-4e10-93ba-410b72e7531c</t>
  </si>
  <si>
    <t>a0ce43fe-7245-4ac7-abea-ba942e1ca2c0</t>
  </si>
  <si>
    <t>Сентябрь</t>
  </si>
  <si>
    <t>08148b9c-8fc9-4f25-89f5-906f20cefb79</t>
  </si>
  <si>
    <t>017c5b67-042d-45df-b9ac-bf9aa321e0a0</t>
  </si>
  <si>
    <t>7949afcb-3e2d-4032-a792-b7e3de89d1aa</t>
  </si>
  <si>
    <t>a7fea380-4476-470d-836b-3f77a31fccaf</t>
  </si>
  <si>
    <t>63baf75f-8e45-4ce2-88c5-c14290fcd25f</t>
  </si>
  <si>
    <t>6d4ab34e-aa9c-4917-9c83-84786f13eb77</t>
  </si>
  <si>
    <t>94bcc2f4-b5f1-4cf7-b2f2-349c0c5ec4ad</t>
  </si>
  <si>
    <t>bb971e1a-59c4-414a-ac4d-f1b8564b62f3</t>
  </si>
  <si>
    <t>fb8d122c-eda3-4e6b-aa5d-b084dab90ee6</t>
  </si>
  <si>
    <t>bd7d56bd-f5c1-4b48-81ba-ba692e9547f9</t>
  </si>
  <si>
    <t>ab0d58b4-f4cf-4246-8374-e705ab167aac</t>
  </si>
  <si>
    <t>8a5c335f-cdf1-4f95-966c-d1b5f98c2342</t>
  </si>
  <si>
    <t>affe164a-186b-46b4-bce8-f79ef0e84a98</t>
  </si>
  <si>
    <t>f7b5eb54-e95e-4902-98a7-feacad0ac6c6</t>
  </si>
  <si>
    <t>27e15170-80be-4529-98ca-90044ab0459a</t>
  </si>
  <si>
    <t>76ac6b38-2efc-46d9-8cc4-a907517916af</t>
  </si>
  <si>
    <t>576cdd24-8e50-4a37-9332-68e6546780d3</t>
  </si>
  <si>
    <t>b235168a-f8b5-41b0-b6a1-604c2fdc47b9</t>
  </si>
  <si>
    <t>81c5392d-3f0d-4965-aa9d-c48afc2eae44</t>
  </si>
  <si>
    <t>040a8dcc-8c6d-4ece-8d11-16c43e898192</t>
  </si>
  <si>
    <t>1c23c179-8ce0-4b7e-a9b9-6c8d4117c595</t>
  </si>
  <si>
    <t>6a69b967-0085-48fb-840e-f48d44c6c2dc</t>
  </si>
  <si>
    <t>3e4804ae-5e92-4a4c-9ed1-2b37c0a0f4ed</t>
  </si>
  <si>
    <t>fa32a52d-4df2-4dfa-b6d9-d093b92e57a7</t>
  </si>
  <si>
    <t>6f5c5600-a8ed-4011-8222-49a85c266c99</t>
  </si>
  <si>
    <t>d5c5f694-29b5-400b-ba4f-d3012122b08d</t>
  </si>
  <si>
    <t>310e6b60-dbb0-4812-b9cf-da2f2653c18f</t>
  </si>
  <si>
    <t>aba1dedf-5c3a-478e-b8ee-521de337beb1</t>
  </si>
  <si>
    <t>68f20d89-f4b7-494d-b502-c0666dd86807</t>
  </si>
  <si>
    <t>676b5cf7-be83-458c-af5b-b2d86f013a9b</t>
  </si>
  <si>
    <t>47a95cb1-a696-4937-b373-80e43b3c39bc</t>
  </si>
  <si>
    <t>2c25f2a4-c9ea-4c9a-9133-70094302c571</t>
  </si>
  <si>
    <t>2839b7a9-433a-4e2a-b27f-9dec5f129625</t>
  </si>
  <si>
    <t>822cb2ac-6968-40a6-9ac0-227913461041</t>
  </si>
  <si>
    <t>a5ca4164-54ae-4f03-ad32-b25886aadfc3</t>
  </si>
  <si>
    <t>775b1833-18fd-460a-a79a-e3355e469d7b</t>
  </si>
  <si>
    <t>4334c6b0-183d-4aca-a50a-416363e18c03</t>
  </si>
  <si>
    <t>ecc16be6-b855-4be1-8ec6-b4206c9e1256</t>
  </si>
  <si>
    <t>f5ef39ed-d6be-4d53-bcf5-0b191562cf0e</t>
  </si>
  <si>
    <t>Февраль</t>
  </si>
  <si>
    <t>e9b4a821-a9da-413b-9421-d5142b5c47fa</t>
  </si>
  <si>
    <t>e0c5d23a-e9bd-4d17-8735-d48e87bb8b9b</t>
  </si>
  <si>
    <t>bf2fff17-dc5d-4785-b0fb-df08631cbf64</t>
  </si>
  <si>
    <t>a13ead7b-2b09-40fa-8755-d9b833eb650e</t>
  </si>
  <si>
    <t>48ad25a9-1ee7-47b4-a970-4e97344a11f7</t>
  </si>
  <si>
    <t>e962ebf1-a2ad-474e-bff5-08526a657acd</t>
  </si>
  <si>
    <t>a368d8b4-6d3a-4a1b-82fe-102277f441ff</t>
  </si>
  <si>
    <t>ac7bad4d-3155-4793-83e1-fed96c020e65</t>
  </si>
  <si>
    <t>716be039-247f-4a3a-b734-b860c49a5853</t>
  </si>
  <si>
    <t>9612301f-ddae-45b1-9266-9f571aff63ef</t>
  </si>
  <si>
    <t>86d56dae-fe7a-462a-b486-2432eaaa2cd7</t>
  </si>
  <si>
    <t>79fa1bd2-ddc9-454f-97df-d628dc46e062</t>
  </si>
  <si>
    <t>1cf51741-db9a-4789-ad5b-7fbf89828cc0</t>
  </si>
  <si>
    <t>da13183e-a817-4390-b9b3-b0a21e1fc7d8</t>
  </si>
  <si>
    <t>1ea1bc89-7d61-4761-905f-8b1ba9dd1743</t>
  </si>
  <si>
    <t>43423b98-bc0a-4994-85a2-36d9d868b9ec</t>
  </si>
  <si>
    <t>aaf091ff-3de4-4dba-839e-871979a9a744</t>
  </si>
  <si>
    <t>681698d2-c788-4bd4-a544-9b9d1d07cb21</t>
  </si>
  <si>
    <t>fc853747-4e0b-4bec-b973-18651a44775f</t>
  </si>
  <si>
    <t>bf57a88f-faa3-43d7-aeb1-5d8ea67c9d4d</t>
  </si>
  <si>
    <t>427a1413-a99d-4fca-967b-5381ee8ba7f4</t>
  </si>
  <si>
    <t>e1fd2377-a982-4f6b-a616-98e169213221</t>
  </si>
  <si>
    <t>53ac933d-2a15-4f38-a231-c1e7ac019f11</t>
  </si>
  <si>
    <t>0df6a28a-cc73-4cb6-86e8-4e905ddff9d8</t>
  </si>
  <si>
    <t>00747674-8d29-44e9-986e-d877daa6e17c</t>
  </si>
  <si>
    <t>72f46ff2-640d-4b86-bc31-50ea9a91eb3b</t>
  </si>
  <si>
    <t>99ccc483-f8b7-49bb-8c28-68dcb67b43a9</t>
  </si>
  <si>
    <t>d2a85893-3b13-452c-9268-4fda44a1a7d4</t>
  </si>
  <si>
    <t>0e03f800-c359-4b42-a623-c72119a813ee</t>
  </si>
  <si>
    <t>2de8a399-1b1c-49ff-bc54-a5f713c9ebf7</t>
  </si>
  <si>
    <t>Кузнецов Александр</t>
  </si>
  <si>
    <t>436a8b5f-d7fb-441f-92bf-ab0277eb7b23</t>
  </si>
  <si>
    <t>b393ac07-eda5-46cd-bfb4-8d2f3fe8efce</t>
  </si>
  <si>
    <t>8489991a-c9f6-46ce-a90f-3607c4846aac</t>
  </si>
  <si>
    <t>11ac5775-6328-4d0d-93c5-bda714cc0c2d</t>
  </si>
  <si>
    <t>57cdf220-8f2a-450c-b33e-756a5046ab5d</t>
  </si>
  <si>
    <t>7efbafc3-6a79-4bae-817b-16e45df44f94</t>
  </si>
  <si>
    <t>c8f08433-137f-4658-867f-4558feb8af8f</t>
  </si>
  <si>
    <t>ef395c66-2d14-411b-9419-bd39ed60a080</t>
  </si>
  <si>
    <t>4f2f17ea-a8b3-4bcc-ac87-053c9176312c</t>
  </si>
  <si>
    <t>2ae903ae-92bd-4861-af83-25ae1e7ab836</t>
  </si>
  <si>
    <t>ef474c3b-16f6-4347-8803-bc9583778154</t>
  </si>
  <si>
    <t>284a30ba-7798-4087-80b3-cf076d363308</t>
  </si>
  <si>
    <t>896b157e-d316-4c2e-b17b-79b9477d19b7</t>
  </si>
  <si>
    <t>b51053ac-757d-4246-9049-1c3af24da97c</t>
  </si>
  <si>
    <t>19cc8038-88f3-45fd-8078-ad3789b69afa</t>
  </si>
  <si>
    <t>Михайлов Алексей</t>
  </si>
  <si>
    <t>d3fd2917-38f0-4ee7-a601-20edfc4cb4c4</t>
  </si>
  <si>
    <t>522f7996-8645-43af-964a-b835c14355a6</t>
  </si>
  <si>
    <t>53893f7b-5722-4f4d-9d9d-c4a2cd906d9b</t>
  </si>
  <si>
    <t>05cd4b11-e651-4b07-8c68-ef0be7e42927</t>
  </si>
  <si>
    <t>7cc8db8e-5d54-477b-a055-37f179af891e</t>
  </si>
  <si>
    <t>fd4e255e-7342-4d03-9a66-b6deb8668e81</t>
  </si>
  <si>
    <t>01d761e6-d657-4f74-9d61-6d2802167c14</t>
  </si>
  <si>
    <t>d3d6f6ee-6559-41ea-8c22-4fe8965e1db3</t>
  </si>
  <si>
    <t>317cab18-3758-44f1-a819-d4811eec9eea</t>
  </si>
  <si>
    <t>b2a25cda-9be5-4f5b-8429-e1710a5ff76e</t>
  </si>
  <si>
    <t>d7fc3af8-4d2f-45a1-b05a-1bcc6bac7d40</t>
  </si>
  <si>
    <t>f576e8e6-77b3-4831-8bd0-f4586a17a07e</t>
  </si>
  <si>
    <t>f3fcca4c-fce9-4f87-bf4b-300bf61e9e34</t>
  </si>
  <si>
    <t>2e3f35fb-c755-47ea-bfb5-01c9c61b9977</t>
  </si>
  <si>
    <t>9bd67253-8ffb-4c6d-9afb-f3eedcab87dc</t>
  </si>
  <si>
    <t>a59c4109-7d68-4037-ada9-41bbdeb5471b</t>
  </si>
  <si>
    <t>adc7c1af-3e0a-4174-aecd-14009df525ea</t>
  </si>
  <si>
    <t>c19bb51b-92f5-4e56-a59c-44be0c344749</t>
  </si>
  <si>
    <t>c5336094-76a7-42b7-814e-1a48d356b24e</t>
  </si>
  <si>
    <t>b816467d-1581-4870-be87-02f840591863</t>
  </si>
  <si>
    <t>8045c191-3e97-4f4b-be56-6b2f65f44334</t>
  </si>
  <si>
    <t>44ca0487-b94e-4e4c-8f99-6210d0742a0c</t>
  </si>
  <si>
    <t>ad869a28-7b3d-4e4f-8223-1ff37c820bfe</t>
  </si>
  <si>
    <t>686e7e25-969f-44af-8408-7a8360c211a5</t>
  </si>
  <si>
    <t>a297aca7-7afb-4e7c-9d84-5198276dd7ee</t>
  </si>
  <si>
    <t>4a48e146-01fd-4c2a-b4ad-e821e1703da7</t>
  </si>
  <si>
    <t>bf809139-acbe-4909-852b-b8f1f1ecccb5</t>
  </si>
  <si>
    <t>d76e1f05-4f05-4e1c-9b62-c2b22f395794</t>
  </si>
  <si>
    <t>6d8cf175-ebe0-4b13-b6e6-4f5c1f72fc29</t>
  </si>
  <si>
    <t>18ffb0b2-5410-4f2f-b42b-710ff8a1e22a</t>
  </si>
  <si>
    <t>699c5077-d629-4009-9cd1-01d3a267a44f</t>
  </si>
  <si>
    <t>ad82de6a-e05f-489a-9415-6d7821001932</t>
  </si>
  <si>
    <t>4ac3bb49-f3d1-4eac-9f93-450600816d76</t>
  </si>
  <si>
    <t>0a4293f6-9352-4ad6-8949-dad87af4eaf3</t>
  </si>
  <si>
    <t>ecbb1e5c-1d27-4c07-b661-c4b05ee948eb</t>
  </si>
  <si>
    <t>b79ed0e1-278f-43d9-af6c-2d4e21a35a63</t>
  </si>
  <si>
    <t>39e4dc97-a4d3-4814-b33f-9f5f5a2a7a2d</t>
  </si>
  <si>
    <t>5efd14e8-4e1b-4d1c-a6d1-ca1abef1f96d</t>
  </si>
  <si>
    <t>406e6b61-d173-4974-9c33-93d123f0b6e9</t>
  </si>
  <si>
    <t>0b107ef6-c970-473c-b4cc-2ae9dd48b4a5</t>
  </si>
  <si>
    <t>d6ea9a09-4dc8-4468-991e-19e87e265b78</t>
  </si>
  <si>
    <t>810e4b4a-febf-405e-8c96-a9e7d7793062</t>
  </si>
  <si>
    <t>e5158042-b5b3-46a3-8309-a4fbbde1c0b9</t>
  </si>
  <si>
    <t>74972f6d-ba50-4f52-9922-8c537e0c1d92</t>
  </si>
  <si>
    <t>bacb7e81-77fc-4b50-96a3-d4c3112fe391</t>
  </si>
  <si>
    <t>e59c1ba8-6766-49c2-a7ba-62fd7eb01557</t>
  </si>
  <si>
    <t>f7a2e7bc-9d04-409c-939a-0358e4e097e5</t>
  </si>
  <si>
    <t>eacd8bc7-981a-4a46-99ec-16cb407226ee</t>
  </si>
  <si>
    <t>45c723dd-8efa-4cfd-9492-5dafa6cee54b</t>
  </si>
  <si>
    <t>fe052f7a-1e41-4328-beac-8518438cabe7</t>
  </si>
  <si>
    <t>1d7e4aec-d83f-44da-912c-ebb286ee0bb2</t>
  </si>
  <si>
    <t>cf3a016a-da12-4357-bc5e-269cce5f6ef4</t>
  </si>
  <si>
    <t>90438179-11ae-47ea-96dc-e671df7e21ca</t>
  </si>
  <si>
    <t>3b963b56-e455-4814-aad8-ee189ba4a321</t>
  </si>
  <si>
    <t>2d21745f-47cd-4659-8dee-352ad1aee948</t>
  </si>
  <si>
    <t>180069d2-3f3a-4393-9c7b-edea0f149a91</t>
  </si>
  <si>
    <t>b5ff1157-dff5-4d29-af36-c40c44d17bb4</t>
  </si>
  <si>
    <t>d60aa8bf-4b43-4fa5-9bb0-58a039a178f2</t>
  </si>
  <si>
    <t>b59e05a3-f2b4-4297-8418-634bd6025bfb</t>
  </si>
  <si>
    <t>a575f1f6-aba7-4d84-803a-da9e7cb2ec1e</t>
  </si>
  <si>
    <t>79e5a0dc-0b51-42f4-8244-b8c68c292953</t>
  </si>
  <si>
    <t>70abfab3-924d-4299-b4a3-669674832ca6</t>
  </si>
  <si>
    <t>d60c7cad-cc85-4d4d-a6fe-2435cb3ba0d1</t>
  </si>
  <si>
    <t>c1fe1541-c224-4f32-9141-b662c96cfbbe</t>
  </si>
  <si>
    <t>90b6b363-0ae3-4014-a470-8b4ab32f4a38</t>
  </si>
  <si>
    <t>2707fe0f-9ada-486b-b305-3784a045b149</t>
  </si>
  <si>
    <t>55a92082-8d68-4f70-b782-f1fbdaa629d7</t>
  </si>
  <si>
    <t>1b495588-3ea3-483e-9312-24bb61a266c2</t>
  </si>
  <si>
    <t>5a62b33e-4a37-45d2-b8e6-3f686a80e687</t>
  </si>
  <si>
    <t>26dd39c3-6dd4-4d68-91bf-7387a2d0bb5f</t>
  </si>
  <si>
    <t>1af8c5d8-af6d-43fa-ad79-6ae928de8d28</t>
  </si>
  <si>
    <t>9857b249-bfad-450a-9126-01d79872e3e9</t>
  </si>
  <si>
    <t>920ef164-dd8e-4483-b472-388be7b95524</t>
  </si>
  <si>
    <t>fd574936-6778-4105-9661-7b8e6cf92c44</t>
  </si>
  <si>
    <t>2b5f47d4-b89e-41f8-ad5e-02d737e1e2d4</t>
  </si>
  <si>
    <t>4ec126ca-f5f0-4193-b80b-e670d9e3779d</t>
  </si>
  <si>
    <t>fc5200a6-352d-4a87-8732-c2157992c0f4</t>
  </si>
  <si>
    <t>49889ffa-3cb3-4ff5-82f4-c762a6a8927b</t>
  </si>
  <si>
    <t>d697f3f9-4d24-4afa-a5cb-e40242b1f1f0</t>
  </si>
  <si>
    <t>99608613-edeb-4741-9f9c-286e3bbccd4e</t>
  </si>
  <si>
    <t>e7744528-d891-410f-b5b8-0be224843a82</t>
  </si>
  <si>
    <t>5ef79958-1c6a-45ce-915f-9d35e90c58a4</t>
  </si>
  <si>
    <t>9639d75f-0b01-46ac-a073-c46892279313</t>
  </si>
  <si>
    <t>ce193d1c-3653-4f51-88d5-1f49813acbb1</t>
  </si>
  <si>
    <t>30274a58-255a-48ee-9d93-af226381d0eb</t>
  </si>
  <si>
    <t>Федоров Павел</t>
  </si>
  <si>
    <t>fc764055-ccf2-453b-bd0e-a12d7f8bdaee</t>
  </si>
  <si>
    <t>0ba41fac-307d-425a-b259-ac0dbaa072e6</t>
  </si>
  <si>
    <t>Январь</t>
  </si>
  <si>
    <t>99864462-33ce-4896-b2f1-fa59d0229e10</t>
  </si>
  <si>
    <t>0d69a5c9-640f-4769-8a17-f43d6880261f</t>
  </si>
  <si>
    <t>b6432c18-130e-4f2a-9ace-e63db0de2ee9</t>
  </si>
  <si>
    <t>20f48d98-40d9-4092-8892-9007621c7d01</t>
  </si>
  <si>
    <t>3363b1b8-5d80-4c18-bc8e-01a103fbb2ae</t>
  </si>
  <si>
    <t>f1030acf-a664-45b8-bad3-55c5ab938e8d</t>
  </si>
  <si>
    <t>83622f96-3d31-4d34-b38e-0bf15e06058b</t>
  </si>
  <si>
    <t>5b40716a-e941-4c0d-bb6d-dd53d100a85d</t>
  </si>
  <si>
    <t>015bc6b6-58c2-4c39-8d10-826420f48a4c</t>
  </si>
  <si>
    <t>Васильев Дмитрий</t>
  </si>
  <si>
    <t>80adb2eb-3167-437e-98a4-d77996735f3b</t>
  </si>
  <si>
    <t>1a1d04a9-50f2-47b2-b8d9-7a863eefed26</t>
  </si>
  <si>
    <t>3329939c-9ac7-42e8-86fb-d48d4c6f5ab5</t>
  </si>
  <si>
    <t>47b7d4a3-3961-4265-8569-ba9846be8954</t>
  </si>
  <si>
    <t>7192bd7f-b44d-4679-9093-d091972134dc</t>
  </si>
  <si>
    <t>4d11b9ea-fae3-4528-a1d0-0ad8b6b13b0f</t>
  </si>
  <si>
    <t>Васильев Иван</t>
  </si>
  <si>
    <t>8b8f736a-241d-4278-b115-f78dcb3aa2cd</t>
  </si>
  <si>
    <t>c393a57e-246f-4817-a782-024a811cd0de</t>
  </si>
  <si>
    <t>ffd4847b-9a95-436c-bb13-5c379e1b54fd</t>
  </si>
  <si>
    <t>2a9caaa0-2ded-439e-8448-3b9b75c52d7f</t>
  </si>
  <si>
    <t>ea47214c-0ea2-4d5b-aebb-115b3d995436</t>
  </si>
  <si>
    <t>e872585e-0897-4ae1-91fb-d17428bd09da</t>
  </si>
  <si>
    <t>a589df3c-fe8f-46b6-a7d3-53b335d9c52f</t>
  </si>
  <si>
    <t>b0e6172d-70c4-4db5-af11-42b7a95c0319</t>
  </si>
  <si>
    <t>979c23c8-a522-47b8-b300-65be888030f1</t>
  </si>
  <si>
    <t>66bf33e9-1dcc-4273-895b-8ab5489486dd</t>
  </si>
  <si>
    <t>ec8e464b-bcac-439a-a936-3670e6386e18</t>
  </si>
  <si>
    <t>f2ee2e46-078c-469c-8b59-5115b8b32031</t>
  </si>
  <si>
    <t>6d8967aa-7a18-4f10-8a5e-527bf694f6c4</t>
  </si>
  <si>
    <t>bcfa887a-d55d-43b9-94f6-f83d125c320e</t>
  </si>
  <si>
    <t>ea281e0b-5df8-41b5-b80a-cc7b60b87652</t>
  </si>
  <si>
    <t>e342a922-27c5-4ace-9163-d39e4c93c8a3</t>
  </si>
  <si>
    <t>74f049d1-187e-4d30-af15-8c9a49332862</t>
  </si>
  <si>
    <t>cf23b0d8-487c-49ce-9c50-5ed9f942c414</t>
  </si>
  <si>
    <t>9b949598-9ea7-4ca9-9404-146f44064b1c</t>
  </si>
  <si>
    <t>a653511e-8f4b-4d05-826e-f3eba24c8986</t>
  </si>
  <si>
    <t>acfd11d1-6b12-4835-ae94-e29665d1572d</t>
  </si>
  <si>
    <t>12942960-56b7-4783-89bc-b45c72c7b85f</t>
  </si>
  <si>
    <t>Иванов Максим</t>
  </si>
  <si>
    <t>a410ca61-375c-421b-a29c-6463ce6fc267</t>
  </si>
  <si>
    <t>88a8133a-49d2-4820-a3e6-77cf4d1fc688</t>
  </si>
  <si>
    <t>3569f8ac-d1bb-4ac9-9276-d39ed3144377</t>
  </si>
  <si>
    <t>9a41d4ea-1ea7-45da-977b-f8f39902f75c</t>
  </si>
  <si>
    <t>9005bc0e-1516-44c1-ab59-16d6c05922e6</t>
  </si>
  <si>
    <t>daf52359-b7c4-43e7-a682-398e89cf6604</t>
  </si>
  <si>
    <t>889f7950-b7fb-4e4a-bc19-038c3ae2c1ac</t>
  </si>
  <si>
    <t>349c6a17-13ae-4722-ab1f-3cebc4d64318</t>
  </si>
  <si>
    <t>e41ed5e2-3a3b-4d02-8388-ae851712a152</t>
  </si>
  <si>
    <t>31403eea-e456-4086-b368-53589a96484d</t>
  </si>
  <si>
    <t>baf33582-95f6-4777-828f-8e95c439a2ae</t>
  </si>
  <si>
    <t>63faa98b-9aa0-42fb-b688-7de32162e5bb</t>
  </si>
  <si>
    <t>449e24c7-ad06-469e-a0d1-a83165c744f0</t>
  </si>
  <si>
    <t>5490d6ab-4486-4f9e-9e8a-f5bf672727d0</t>
  </si>
  <si>
    <t>d621259d-2978-43f8-8802-747059558c76</t>
  </si>
  <si>
    <t>9fd78f04-709c-456a-9560-1f6a9ccc594a</t>
  </si>
  <si>
    <t>747343b8-6311-4775-ab11-67c80b57d08f</t>
  </si>
  <si>
    <t>2f6dc187-41d5-4486-ad89-34303bfb9593</t>
  </si>
  <si>
    <t>53ed6dbe-4ba4-4977-b95d-ba9b5273a87b</t>
  </si>
  <si>
    <t>925c5bfb-1dcf-4ba5-a419-37e838dfb546</t>
  </si>
  <si>
    <t>bf01f875-aae6-47f6-aa1d-f6936c81c7da</t>
  </si>
  <si>
    <t>24b589cf-50a5-4e0c-acf4-cdd8d43d3b06</t>
  </si>
  <si>
    <t>481f73d0-240b-4225-b19a-d04b6d9c6e9e</t>
  </si>
  <si>
    <t>4bdd6608-3e85-4480-adee-cebbe2941498</t>
  </si>
  <si>
    <t>1dfb7669-3869-4040-b3d1-48c09891eea2</t>
  </si>
  <si>
    <t>1f745ed9-ebea-4fdc-af0b-8fa284b45093</t>
  </si>
  <si>
    <t>a007287a-d08d-4f15-8781-e6d8fe92c1c8</t>
  </si>
  <si>
    <t>4cde30bb-973a-42c5-b866-7a8912d4f38c</t>
  </si>
  <si>
    <t>4b1d4230-ceaf-4929-a417-04f6cc8bc340</t>
  </si>
  <si>
    <t>882450ab-807e-4d38-a646-433ddbeba715</t>
  </si>
  <si>
    <t>665b40f0-1b38-49cf-8aba-defd9a112f82</t>
  </si>
  <si>
    <t>1ef8c134-766a-4db6-871e-1daadcae45e0</t>
  </si>
  <si>
    <t>3edb4edd-7fda-436b-99e7-854909d4e45d</t>
  </si>
  <si>
    <t>d2219771-f912-401b-8cfa-9ae376506c0d</t>
  </si>
  <si>
    <t>2c5eb3e7-4031-4688-9016-66ab0104e9c7</t>
  </si>
  <si>
    <t>34c38b89-e659-4784-8686-f86eb4a8e499</t>
  </si>
  <si>
    <t>afcb8e53-ab92-4cb2-9dc3-1b4861e2bdeb</t>
  </si>
  <si>
    <t>efcd555d-8912-4a7a-b958-ee54ff18d368</t>
  </si>
  <si>
    <t>9b465daf-12e2-4f79-aa76-8f4a25d73b0d</t>
  </si>
  <si>
    <t>ab053fe1-df41-4f60-84f9-e9ec05757d5c</t>
  </si>
  <si>
    <t>2940cc5d-3cd0-4d8e-906d-18121347c15e</t>
  </si>
  <si>
    <t>afcad5e3-9d8c-42b0-8f1a-5788b139e6cc</t>
  </si>
  <si>
    <t>e85fca49-a3e8-4e59-ba47-41462231ebb6</t>
  </si>
  <si>
    <t>56795a84-ecc4-4823-8853-08f0a455660f</t>
  </si>
  <si>
    <t>de09b1ff-6869-4f1d-8137-27d0ed48194a</t>
  </si>
  <si>
    <t>cc1f96c3-5a1e-4762-bea4-c3116378761f</t>
  </si>
  <si>
    <t>325f1b41-2440-4f2e-a461-30273669b40c</t>
  </si>
  <si>
    <t>4bbc692f-a9b1-4459-ba8d-c6e5c25748a3</t>
  </si>
  <si>
    <t>4a8a3b2a-baed-4117-a05f-9627c084ccd3</t>
  </si>
  <si>
    <t>5a5b7dd9-c3e7-4d89-9ce0-b908aef20f45</t>
  </si>
  <si>
    <t>2175a1c5-6f6e-4600-8b8a-f4cf5c70ec85</t>
  </si>
  <si>
    <t>d0147de6-c151-42ae-a743-4dc74f9ae9ca</t>
  </si>
  <si>
    <t>8b9cb760-8516-4961-829d-136393cb4ef3</t>
  </si>
  <si>
    <t>178fa16c-eccb-474c-92cf-e2e8e1e88202</t>
  </si>
  <si>
    <t>b1dc7a13-55d4-4f7d-b8ba-b7c626a9f4a4</t>
  </si>
  <si>
    <t>23d8eeda-8155-40b2-8596-62bf85eb7a97</t>
  </si>
  <si>
    <t>83273c8c-b2ba-4eca-8a9d-cd01ac0a88b5</t>
  </si>
  <si>
    <t>64360e64-1065-426f-aaf0-3d21b892f4c1</t>
  </si>
  <si>
    <t>ff6bc39f-ad7b-4a71-8343-426aa17f248b</t>
  </si>
  <si>
    <t>d9316afb-a1d0-496c-bf3e-50720d00fa23</t>
  </si>
  <si>
    <t>9e44b668-27fb-40ab-99d1-f4de75a6c2c4</t>
  </si>
  <si>
    <t>9763f4bb-da20-42bf-9545-d76f1a8e5b85</t>
  </si>
  <si>
    <t>81e910f8-001f-4bff-bebf-ab75c3a8b723</t>
  </si>
  <si>
    <t>b48bd93d-fd62-4280-bf16-7308e63d2ef1</t>
  </si>
  <si>
    <t>91110e37-19b9-49d8-96e9-bea5754a6a0c</t>
  </si>
  <si>
    <t>1ce82c54-f8da-4df0-a130-43ab6d3d2768</t>
  </si>
  <si>
    <t>adeab92c-edcd-4476-9204-10a2d8618e68</t>
  </si>
  <si>
    <t>bd2b4640-6ab3-4a9a-a078-4a46124f1d06</t>
  </si>
  <si>
    <t>570b7dd7-1a09-4ea8-ba05-d324e632bded</t>
  </si>
  <si>
    <t>06df6a2c-0380-4461-baac-9d61156d2b73</t>
  </si>
  <si>
    <t>db2b3fc7-d4bd-4e36-a396-e0944e89fad4</t>
  </si>
  <si>
    <t>05fb6d5a-e66f-4e40-a58e-0134eaf9dfe9</t>
  </si>
  <si>
    <t>1e0c2104-2c83-4dc5-b2ed-a4fdfa183332</t>
  </si>
  <si>
    <t>ed104ef6-4444-4b2d-b886-8a660846e68d</t>
  </si>
  <si>
    <t>f638663b-73a4-47cd-98f3-54fac56a4031</t>
  </si>
  <si>
    <t>a009fe23-c3d6-43fb-87d0-5baa70c8056e</t>
  </si>
  <si>
    <t>398018cc-4206-44ba-b11a-ce0063335031</t>
  </si>
  <si>
    <t>a3529e89-11a5-416c-861e-ce9b3e4471a6</t>
  </si>
  <si>
    <t>0b6b3373-fcc0-42d3-bb65-e556bb44f3b0</t>
  </si>
  <si>
    <t>321baa5d-ac0d-49d9-b3a2-9259f17bfe3c</t>
  </si>
  <si>
    <t>32d7628a-0ee7-43e6-8813-92c0d40ac40c</t>
  </si>
  <si>
    <t>01d07034-263a-4074-9ad7-cf073d6286bc</t>
  </si>
  <si>
    <t>bdcf87e5-c0c2-45f1-b297-80b033b670ba</t>
  </si>
  <si>
    <t>cf6df9ba-47b4-42b5-a8a2-325bdec1644e</t>
  </si>
  <si>
    <t>6f6b0b8a-9c25-4b71-91bc-0756f1e8735d</t>
  </si>
  <si>
    <t>e9f0d7ba-174d-4a81-aa25-75c7503c2ad1</t>
  </si>
  <si>
    <t>22c2c2ed-1bce-4132-854a-8043a538a206</t>
  </si>
  <si>
    <t>8521b96e-4787-4875-9b80-81bb14ad9317</t>
  </si>
  <si>
    <t>6af7fd80-e3e5-4d8a-a0b1-2076ab2388f5</t>
  </si>
  <si>
    <t>cb6564f7-691c-42b4-93eb-838d1bf1ff3b</t>
  </si>
  <si>
    <t>66640ac4-9362-4ada-b680-f006ee5c7dd6</t>
  </si>
  <si>
    <t>67c86432-589d-4c21-8c26-a9a1ab68d598</t>
  </si>
  <si>
    <t>Соколов Андрей</t>
  </si>
  <si>
    <t>75b1a866-7805-4a10-b8cf-593075f81727</t>
  </si>
  <si>
    <t>81a8fc08-0c34-4401-941c-3ccfd64c4807</t>
  </si>
  <si>
    <t>6a74301d-d98e-4f0e-bc6c-0aefd4667dab</t>
  </si>
  <si>
    <t>c3839aaf-4978-4df3-9f0d-b5c8107b07b3</t>
  </si>
  <si>
    <t>7a7557bd-f30f-44f5-be4d-91e728ee41fd</t>
  </si>
  <si>
    <t>dfc66e5f-6874-4db5-9d9b-1ee479ea0477</t>
  </si>
  <si>
    <t>b2443ee0-dec7-46a8-beff-20841b727570</t>
  </si>
  <si>
    <t>05f13dd3-c9c0-4ea5-b0c3-f10e808b3778</t>
  </si>
  <si>
    <t>e5815b83-533a-4189-950f-1d38642a652b</t>
  </si>
  <si>
    <t>ff956846-247a-4f22-bd5a-670e1c4cb435</t>
  </si>
  <si>
    <t>d7823761-a4d6-4ace-8185-d2cd55cd3ba6</t>
  </si>
  <si>
    <t>5fa274eb-c368-4669-8915-8ef578d42695</t>
  </si>
  <si>
    <t>8af0c4fe-7714-4fe7-8e4f-48e35ba8f110</t>
  </si>
  <si>
    <t>f8dcd61e-0a09-46be-bbe3-aa364a4265a2</t>
  </si>
  <si>
    <t>dfeebb3a-8eda-432f-84e8-ea08c039b289</t>
  </si>
  <si>
    <t>2df68419-a31d-4b91-8d57-16e9c7af0fc7</t>
  </si>
  <si>
    <t>7aa9e1e7-fa47-4597-aab4-cca89701acb1</t>
  </si>
  <si>
    <t>7cea947e-5b56-4d6e-a883-927cb910f3a3</t>
  </si>
  <si>
    <t>b5d76c3c-4970-431f-ba21-56928f4260f9</t>
  </si>
  <si>
    <t>6a4affdb-9352-4889-9db8-0033258fb0ce</t>
  </si>
  <si>
    <t>588c08f8-1282-451f-82a1-b5d4dbaf395d</t>
  </si>
  <si>
    <t>b33c1481-a46d-4071-904c-3cabff385cf5</t>
  </si>
  <si>
    <t>aae353f0-a8f7-4ab9-9eeb-560670ddf151</t>
  </si>
  <si>
    <t>5cf48bce-8eaf-4e9e-a1ab-0e538cbe5f13</t>
  </si>
  <si>
    <t>5ba5bf5d-f833-4380-a286-24705a5d3f4a</t>
  </si>
  <si>
    <t>Канал привлечения</t>
  </si>
  <si>
    <t>Яндекс.Директ</t>
  </si>
  <si>
    <t>Email-рассылки</t>
  </si>
  <si>
    <t>VK</t>
  </si>
  <si>
    <t>Затраты на канал</t>
  </si>
  <si>
    <t xml:space="preserve">Рассчитай Retention rate по месяцам </t>
  </si>
  <si>
    <t>Месяц</t>
  </si>
  <si>
    <t>Retention rate</t>
  </si>
  <si>
    <t>Декабрь</t>
  </si>
  <si>
    <t>Рассчитай ARPU по месяцам</t>
  </si>
  <si>
    <t>ARPU</t>
  </si>
  <si>
    <t>Как ты думаешь, почему ARPU падает? 
Какой вывод можешь сделать?</t>
  </si>
  <si>
    <t>Ответ: ARPU падает, потому что снижается активная база. Почти каждый месяц снижается процент пользователей, которые делают повторные покупки. Из-за падения числа активных пользователей и частоты покупок падает месячная выручка, а вместе с ней и ARPU, нужно еще проверить Lifetime, скорее всего пользователи стали реже покупать. Нужно увеличивать количество повторных покупок.</t>
  </si>
  <si>
    <t>Среднее значение за 11 месяцев</t>
  </si>
  <si>
    <t>Рассчитай Lifetime</t>
  </si>
  <si>
    <t>Значение</t>
  </si>
  <si>
    <t>Почему получился такой Lifetime?</t>
  </si>
  <si>
    <t>Lifetime</t>
  </si>
  <si>
    <t>Ответ: формула считает среднее количество заказов на пользователя за все время. Таким образом сможем посчитать среднюю прибыль по клиенту (lifetime value) умножением этого значения (lifetime) на среднюю сумму чека.</t>
  </si>
  <si>
    <t>Рассчитай LTV</t>
  </si>
  <si>
    <t>LTV</t>
  </si>
  <si>
    <t>Рассчитай CAC по каналам</t>
  </si>
  <si>
    <t>CAC</t>
  </si>
  <si>
    <t>Рассчитай ROI</t>
  </si>
  <si>
    <t>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</si>
</sst>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1.0"/>
      <color rgb="FF000000"/>
      <name val="Arial"/>
    </font>
    <font>
      <b/>
      <color theme="1"/>
      <name val="Arial"/>
    </font>
    <font/>
    <font>
      <b/>
      <sz val="12.0"/>
      <color rgb="FF222222"/>
      <name val="Arial"/>
    </font>
    <font>
      <b/>
      <sz val="11.0"/>
      <color rgb="FF222222"/>
      <name val="Arial"/>
    </font>
    <font>
      <b/>
      <sz val="12.0"/>
      <color rgb="FF1F1F1F"/>
      <name val="Arial"/>
    </font>
    <font>
      <b/>
      <sz val="11.0"/>
      <color theme="1"/>
      <name val="Arial"/>
    </font>
    <font>
      <color rgb="FFFF0000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Font="1"/>
    <xf borderId="1" fillId="0" fontId="3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/>
    </xf>
    <xf borderId="1" fillId="0" fontId="4" numFmtId="3" xfId="0" applyAlignment="1" applyBorder="1" applyFont="1" applyNumberForma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2" fontId="1" numFmtId="0" xfId="0" applyAlignment="1" applyBorder="1" applyFont="1">
      <alignment horizontal="left"/>
    </xf>
    <xf borderId="0" fillId="0" fontId="2" numFmtId="0" xfId="0" applyAlignment="1" applyFont="1">
      <alignment readingOrder="0" shrinkToFit="0" wrapText="0"/>
    </xf>
    <xf borderId="1" fillId="2" fontId="4" numFmtId="0" xfId="0" applyAlignment="1" applyBorder="1" applyFont="1">
      <alignment horizontal="left" readingOrder="0"/>
    </xf>
    <xf borderId="1" fillId="0" fontId="4" numFmtId="9" xfId="0" applyAlignment="1" applyBorder="1" applyFont="1" applyNumberFormat="1">
      <alignment horizontal="left"/>
    </xf>
    <xf borderId="1" fillId="0" fontId="4" numFmtId="9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9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horizontal="left" readingOrder="0" vertical="bottom"/>
    </xf>
    <xf borderId="1" fillId="0" fontId="4" numFmtId="4" xfId="0" applyAlignment="1" applyBorder="1" applyFont="1" applyNumberFormat="1">
      <alignment horizontal="left"/>
    </xf>
    <xf borderId="2" fillId="0" fontId="4" numFmtId="0" xfId="0" applyAlignment="1" applyBorder="1" applyFont="1">
      <alignment horizontal="left" readingOrder="0" shrinkToFit="0" vertical="top" wrapText="1"/>
    </xf>
    <xf borderId="0" fillId="0" fontId="2" numFmtId="1" xfId="0" applyFont="1" applyNumberFormat="1"/>
    <xf borderId="3" fillId="0" fontId="7" numFmtId="0" xfId="0" applyBorder="1" applyFont="1"/>
    <xf borderId="1" fillId="2" fontId="4" numFmtId="0" xfId="0" applyAlignment="1" applyBorder="1" applyFont="1">
      <alignment horizontal="left" readingOrder="0" shrinkToFit="0" vertical="bottom" wrapText="1"/>
    </xf>
    <xf borderId="4" fillId="0" fontId="7" numFmtId="0" xfId="0" applyBorder="1" applyFont="1"/>
    <xf borderId="0" fillId="0" fontId="4" numFmtId="0" xfId="0" applyAlignment="1" applyFont="1">
      <alignment readingOrder="0" shrinkToFit="0" vertical="bottom" wrapText="1"/>
    </xf>
    <xf borderId="0" fillId="0" fontId="2" numFmtId="1" xfId="0" applyAlignment="1" applyFont="1" applyNumberFormat="1">
      <alignment horizontal="left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/>
    </xf>
    <xf borderId="1" fillId="2" fontId="4" numFmtId="0" xfId="0" applyAlignment="1" applyBorder="1" applyFont="1">
      <alignment horizontal="left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8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0" fontId="4" numFmtId="0" xfId="0" applyFont="1"/>
    <xf borderId="0" fillId="0" fontId="9" numFmtId="0" xfId="0" applyAlignment="1" applyFont="1">
      <alignment readingOrder="0"/>
    </xf>
    <xf borderId="1" fillId="2" fontId="4" numFmtId="0" xfId="0" applyBorder="1" applyFont="1"/>
    <xf borderId="1" fillId="0" fontId="4" numFmtId="4" xfId="0" applyBorder="1" applyFont="1" applyNumberFormat="1"/>
    <xf borderId="0" fillId="0" fontId="2" numFmtId="0" xfId="0" applyAlignment="1" applyFont="1">
      <alignment readingOrder="0" shrinkToFit="0" wrapText="1"/>
    </xf>
    <xf borderId="0" fillId="3" fontId="10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3" xfId="0" applyAlignment="1" applyFont="1" applyNumberFormat="1">
      <alignment horizontal="right" readingOrder="0" vertical="bottom"/>
    </xf>
    <xf borderId="0" fillId="0" fontId="11" numFmtId="0" xfId="0" applyAlignment="1" applyFont="1">
      <alignment horizontal="center" readingOrder="0" shrinkToFit="0" vertical="top" wrapText="0"/>
    </xf>
    <xf borderId="0" fillId="0" fontId="11" numFmtId="0" xfId="0" applyAlignment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5" fillId="2" fontId="1" numFmtId="0" xfId="0" applyAlignment="1" applyBorder="1" applyFont="1">
      <alignment horizontal="left"/>
    </xf>
    <xf borderId="1" fillId="0" fontId="4" numFmtId="10" xfId="0" applyBorder="1" applyFont="1" applyNumberFormat="1"/>
    <xf borderId="1" fillId="2" fontId="3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1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Софья Зименкова" id="{8a2f8843-9f0c-42b3-ac30-8b74184375f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6-02-22T18:59:20.00" personId="{8a2f8843-9f0c-42b3-ac30-8b74184375f4}" id="{82203689-0023-4344-89c2-4ae280ea1bad}" done="0">
    <x18tc:text xml:space="preserve">формула считает countunique, и, видимо, пустое значение это одно уникальное значение, поэтому в этой ячейке он находит одного пользователя в декабре, но в декабре никто не остался, поэтому должно быть 0%. я не знаю, как это поправить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1.63"/>
    <col customWidth="1" min="3" max="3" width="39.88"/>
    <col customWidth="1" min="4" max="4" width="21.0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4">
        <v>555.0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 t="s">
        <v>7</v>
      </c>
      <c r="C3" s="4" t="s">
        <v>8</v>
      </c>
      <c r="D3" s="4">
        <v>904.0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4" t="s">
        <v>7</v>
      </c>
      <c r="C4" s="4" t="s">
        <v>9</v>
      </c>
      <c r="D4" s="4">
        <v>664.0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4" t="s">
        <v>7</v>
      </c>
      <c r="C5" s="4" t="s">
        <v>10</v>
      </c>
      <c r="D5" s="4">
        <v>914.0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</v>
      </c>
      <c r="B6" s="4" t="s">
        <v>7</v>
      </c>
      <c r="C6" s="4" t="s">
        <v>11</v>
      </c>
      <c r="D6" s="4">
        <v>249.0</v>
      </c>
      <c r="E6" s="2"/>
      <c r="F6" s="2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2"/>
      <c r="U6" s="2"/>
      <c r="V6" s="2"/>
      <c r="W6" s="2"/>
      <c r="X6" s="2"/>
      <c r="Y6" s="2"/>
      <c r="Z6" s="2"/>
    </row>
    <row r="7">
      <c r="A7" s="3" t="s">
        <v>4</v>
      </c>
      <c r="B7" s="4" t="s">
        <v>12</v>
      </c>
      <c r="C7" s="4" t="s">
        <v>13</v>
      </c>
      <c r="D7" s="4">
        <v>649.0</v>
      </c>
      <c r="E7" s="2"/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2"/>
      <c r="U7" s="2"/>
      <c r="V7" s="2"/>
      <c r="W7" s="2"/>
      <c r="X7" s="2"/>
      <c r="Y7" s="2"/>
      <c r="Z7" s="2"/>
    </row>
    <row r="8">
      <c r="A8" s="3" t="s">
        <v>4</v>
      </c>
      <c r="B8" s="4" t="s">
        <v>12</v>
      </c>
      <c r="C8" s="4" t="s">
        <v>14</v>
      </c>
      <c r="D8" s="4">
        <v>841.0</v>
      </c>
      <c r="E8" s="2"/>
      <c r="F8" s="2"/>
      <c r="G8" s="7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8"/>
      <c r="T8" s="2"/>
      <c r="U8" s="2"/>
      <c r="V8" s="2"/>
      <c r="W8" s="2"/>
      <c r="X8" s="2"/>
      <c r="Y8" s="2"/>
      <c r="Z8" s="2"/>
    </row>
    <row r="9">
      <c r="A9" s="3" t="s">
        <v>4</v>
      </c>
      <c r="B9" s="4" t="s">
        <v>12</v>
      </c>
      <c r="C9" s="4" t="s">
        <v>15</v>
      </c>
      <c r="D9" s="4">
        <v>827.0</v>
      </c>
      <c r="E9" s="2"/>
      <c r="F9" s="2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8"/>
      <c r="T9" s="2"/>
      <c r="U9" s="2"/>
      <c r="V9" s="2"/>
      <c r="W9" s="2"/>
      <c r="X9" s="2"/>
      <c r="Y9" s="2"/>
      <c r="Z9" s="2"/>
    </row>
    <row r="10">
      <c r="A10" s="3" t="s">
        <v>4</v>
      </c>
      <c r="B10" s="4" t="s">
        <v>12</v>
      </c>
      <c r="C10" s="4" t="s">
        <v>16</v>
      </c>
      <c r="D10" s="4">
        <v>378.0</v>
      </c>
      <c r="E10" s="2"/>
      <c r="F10" s="2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2"/>
      <c r="U10" s="2"/>
      <c r="V10" s="2"/>
      <c r="W10" s="2"/>
      <c r="X10" s="2"/>
      <c r="Y10" s="2"/>
      <c r="Z10" s="2"/>
    </row>
    <row r="11">
      <c r="A11" s="3" t="s">
        <v>4</v>
      </c>
      <c r="B11" s="4" t="s">
        <v>17</v>
      </c>
      <c r="C11" s="4" t="s">
        <v>18</v>
      </c>
      <c r="D11" s="4">
        <v>768.0</v>
      </c>
      <c r="E11" s="2"/>
      <c r="F11" s="2"/>
      <c r="G11" s="7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8"/>
      <c r="T11" s="2"/>
      <c r="U11" s="2"/>
      <c r="V11" s="2"/>
      <c r="W11" s="2"/>
      <c r="X11" s="2"/>
      <c r="Y11" s="2"/>
      <c r="Z11" s="2"/>
    </row>
    <row r="12">
      <c r="A12" s="3" t="s">
        <v>4</v>
      </c>
      <c r="B12" s="4" t="s">
        <v>17</v>
      </c>
      <c r="C12" s="4" t="s">
        <v>19</v>
      </c>
      <c r="D12" s="4">
        <v>354.0</v>
      </c>
      <c r="E12" s="2"/>
      <c r="F12" s="2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2"/>
      <c r="U12" s="2"/>
      <c r="V12" s="2"/>
      <c r="W12" s="2"/>
      <c r="X12" s="2"/>
      <c r="Y12" s="2"/>
      <c r="Z12" s="2"/>
    </row>
    <row r="13">
      <c r="A13" s="3" t="s">
        <v>4</v>
      </c>
      <c r="B13" s="4" t="s">
        <v>20</v>
      </c>
      <c r="C13" s="4" t="s">
        <v>21</v>
      </c>
      <c r="D13" s="4">
        <v>880.0</v>
      </c>
      <c r="E13" s="2"/>
      <c r="F13" s="2"/>
      <c r="G13" s="7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8"/>
      <c r="T13" s="2"/>
      <c r="U13" s="2"/>
      <c r="V13" s="2"/>
      <c r="W13" s="2"/>
      <c r="X13" s="2"/>
      <c r="Y13" s="2"/>
      <c r="Z13" s="2"/>
    </row>
    <row r="14">
      <c r="A14" s="3" t="s">
        <v>4</v>
      </c>
      <c r="B14" s="4" t="s">
        <v>22</v>
      </c>
      <c r="C14" s="4" t="s">
        <v>23</v>
      </c>
      <c r="D14" s="4">
        <v>973.0</v>
      </c>
      <c r="E14" s="2"/>
      <c r="F14" s="2"/>
      <c r="G14" s="7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  <c r="S14" s="8"/>
      <c r="T14" s="2"/>
      <c r="U14" s="2"/>
      <c r="V14" s="2"/>
      <c r="W14" s="2"/>
      <c r="X14" s="2"/>
      <c r="Y14" s="2"/>
      <c r="Z14" s="2"/>
    </row>
    <row r="15">
      <c r="A15" s="3" t="s">
        <v>4</v>
      </c>
      <c r="B15" s="4" t="s">
        <v>24</v>
      </c>
      <c r="C15" s="4" t="s">
        <v>25</v>
      </c>
      <c r="D15" s="4">
        <v>540.0</v>
      </c>
      <c r="E15" s="2"/>
      <c r="F15" s="2"/>
      <c r="G15" s="7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8"/>
      <c r="T15" s="2"/>
      <c r="U15" s="2"/>
      <c r="V15" s="2"/>
      <c r="W15" s="2"/>
      <c r="X15" s="2"/>
      <c r="Y15" s="2"/>
      <c r="Z15" s="2"/>
    </row>
    <row r="16">
      <c r="A16" s="3" t="s">
        <v>4</v>
      </c>
      <c r="B16" s="4" t="s">
        <v>26</v>
      </c>
      <c r="C16" s="4" t="s">
        <v>27</v>
      </c>
      <c r="D16" s="4">
        <v>344.0</v>
      </c>
      <c r="E16" s="2"/>
      <c r="F16" s="2"/>
      <c r="G16" s="7"/>
      <c r="H16" s="8"/>
      <c r="I16" s="8"/>
      <c r="J16" s="8"/>
      <c r="K16" s="9"/>
      <c r="L16" s="9"/>
      <c r="M16" s="9"/>
      <c r="N16" s="9"/>
      <c r="O16" s="9"/>
      <c r="P16" s="9"/>
      <c r="Q16" s="9"/>
      <c r="R16" s="9"/>
      <c r="S16" s="8"/>
      <c r="T16" s="2"/>
      <c r="U16" s="2"/>
      <c r="V16" s="2"/>
      <c r="W16" s="2"/>
      <c r="X16" s="2"/>
      <c r="Y16" s="2"/>
      <c r="Z16" s="2"/>
    </row>
    <row r="17">
      <c r="A17" s="3" t="s">
        <v>4</v>
      </c>
      <c r="B17" s="4" t="s">
        <v>28</v>
      </c>
      <c r="C17" s="4" t="s">
        <v>29</v>
      </c>
      <c r="D17" s="4">
        <v>807.0</v>
      </c>
      <c r="E17" s="2"/>
      <c r="F17" s="2"/>
      <c r="G17" s="7"/>
      <c r="H17" s="8"/>
      <c r="I17" s="8"/>
      <c r="J17" s="8"/>
      <c r="K17" s="8"/>
      <c r="L17" s="8"/>
      <c r="M17" s="8"/>
      <c r="N17" s="9"/>
      <c r="O17" s="9"/>
      <c r="P17" s="9"/>
      <c r="Q17" s="9"/>
      <c r="R17" s="9"/>
      <c r="S17" s="8"/>
      <c r="T17" s="2"/>
      <c r="U17" s="2"/>
      <c r="V17" s="2"/>
      <c r="W17" s="2"/>
      <c r="X17" s="2"/>
      <c r="Y17" s="2"/>
      <c r="Z17" s="2"/>
    </row>
    <row r="18">
      <c r="A18" s="3" t="s">
        <v>4</v>
      </c>
      <c r="B18" s="4" t="s">
        <v>30</v>
      </c>
      <c r="C18" s="4" t="s">
        <v>31</v>
      </c>
      <c r="D18" s="4">
        <v>396.0</v>
      </c>
      <c r="E18" s="2"/>
      <c r="F18" s="2"/>
      <c r="G18" s="7"/>
      <c r="H18" s="8"/>
      <c r="I18" s="8"/>
      <c r="J18" s="8"/>
      <c r="K18" s="8"/>
      <c r="L18" s="8"/>
      <c r="M18" s="8"/>
      <c r="N18" s="8"/>
      <c r="O18" s="8"/>
      <c r="P18" s="9"/>
      <c r="Q18" s="9"/>
      <c r="R18" s="9"/>
      <c r="S18" s="8"/>
      <c r="T18" s="2"/>
      <c r="U18" s="2"/>
      <c r="V18" s="2"/>
      <c r="W18" s="2"/>
      <c r="X18" s="2"/>
      <c r="Y18" s="2"/>
      <c r="Z18" s="2"/>
    </row>
    <row r="19">
      <c r="A19" s="3" t="s">
        <v>4</v>
      </c>
      <c r="B19" s="4" t="s">
        <v>32</v>
      </c>
      <c r="C19" s="4" t="s">
        <v>33</v>
      </c>
      <c r="D19" s="4">
        <v>331.0</v>
      </c>
      <c r="E19" s="2"/>
      <c r="F19" s="2"/>
      <c r="G19" s="7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8"/>
      <c r="T19" s="2"/>
      <c r="U19" s="2"/>
      <c r="V19" s="2"/>
      <c r="W19" s="2"/>
      <c r="X19" s="2"/>
      <c r="Y19" s="2"/>
      <c r="Z19" s="2"/>
    </row>
    <row r="20">
      <c r="A20" s="3" t="s">
        <v>4</v>
      </c>
      <c r="B20" s="4" t="s">
        <v>34</v>
      </c>
      <c r="C20" s="4" t="s">
        <v>35</v>
      </c>
      <c r="D20" s="4">
        <v>931.0</v>
      </c>
      <c r="E20" s="2"/>
      <c r="F20" s="2"/>
      <c r="G20" s="7"/>
      <c r="H20" s="8"/>
      <c r="I20" s="8"/>
      <c r="J20" s="8"/>
      <c r="K20" s="8"/>
      <c r="L20" s="8"/>
      <c r="M20" s="8"/>
      <c r="N20" s="8"/>
      <c r="O20" s="9"/>
      <c r="P20" s="9"/>
      <c r="Q20" s="9"/>
      <c r="R20" s="9"/>
      <c r="S20" s="8"/>
      <c r="T20" s="2"/>
      <c r="U20" s="2"/>
      <c r="V20" s="2"/>
      <c r="W20" s="2"/>
      <c r="X20" s="2"/>
      <c r="Y20" s="2"/>
      <c r="Z20" s="2"/>
    </row>
    <row r="21">
      <c r="A21" s="3" t="s">
        <v>4</v>
      </c>
      <c r="B21" s="4" t="s">
        <v>36</v>
      </c>
      <c r="C21" s="4" t="s">
        <v>37</v>
      </c>
      <c r="D21" s="4">
        <v>241.0</v>
      </c>
      <c r="E21" s="2"/>
      <c r="F21" s="2"/>
      <c r="G21" s="7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8"/>
      <c r="T21" s="2"/>
      <c r="U21" s="2"/>
      <c r="V21" s="2"/>
      <c r="W21" s="2"/>
      <c r="X21" s="2"/>
      <c r="Y21" s="2"/>
      <c r="Z21" s="2"/>
    </row>
    <row r="22">
      <c r="A22" s="3" t="s">
        <v>4</v>
      </c>
      <c r="B22" s="4" t="s">
        <v>38</v>
      </c>
      <c r="C22" s="4" t="s">
        <v>39</v>
      </c>
      <c r="D22" s="4">
        <v>926.0</v>
      </c>
      <c r="E22" s="2"/>
      <c r="F22" s="2"/>
      <c r="G22" s="7"/>
      <c r="H22" s="8"/>
      <c r="I22" s="8"/>
      <c r="J22" s="9"/>
      <c r="K22" s="9"/>
      <c r="L22" s="9"/>
      <c r="M22" s="9"/>
      <c r="N22" s="9"/>
      <c r="O22" s="9"/>
      <c r="P22" s="9"/>
      <c r="Q22" s="9"/>
      <c r="R22" s="9"/>
      <c r="S22" s="8"/>
      <c r="T22" s="2"/>
      <c r="U22" s="2"/>
      <c r="V22" s="2"/>
      <c r="W22" s="2"/>
      <c r="X22" s="2"/>
      <c r="Y22" s="2"/>
      <c r="Z22" s="2"/>
    </row>
    <row r="23">
      <c r="A23" s="3" t="s">
        <v>4</v>
      </c>
      <c r="B23" s="4" t="s">
        <v>40</v>
      </c>
      <c r="C23" s="4" t="s">
        <v>41</v>
      </c>
      <c r="D23" s="4">
        <v>858.0</v>
      </c>
      <c r="E23" s="2"/>
      <c r="F23" s="2"/>
      <c r="G23" s="7"/>
      <c r="H23" s="8"/>
      <c r="I23" s="8"/>
      <c r="J23" s="8"/>
      <c r="K23" s="8"/>
      <c r="L23" s="8"/>
      <c r="M23" s="8"/>
      <c r="N23" s="8"/>
      <c r="O23" s="8"/>
      <c r="P23" s="9"/>
      <c r="Q23" s="9"/>
      <c r="R23" s="9"/>
      <c r="S23" s="8"/>
      <c r="T23" s="2"/>
      <c r="U23" s="2"/>
      <c r="V23" s="2"/>
      <c r="W23" s="2"/>
      <c r="X23" s="2"/>
      <c r="Y23" s="2"/>
      <c r="Z23" s="2"/>
    </row>
    <row r="24">
      <c r="A24" s="3" t="s">
        <v>4</v>
      </c>
      <c r="B24" s="4" t="s">
        <v>40</v>
      </c>
      <c r="C24" s="4" t="s">
        <v>42</v>
      </c>
      <c r="D24" s="4">
        <v>749.0</v>
      </c>
      <c r="E24" s="2"/>
      <c r="F24" s="2"/>
      <c r="G24" s="7"/>
      <c r="H24" s="8"/>
      <c r="I24" s="8"/>
      <c r="J24" s="8"/>
      <c r="K24" s="9"/>
      <c r="L24" s="9"/>
      <c r="M24" s="9"/>
      <c r="N24" s="9"/>
      <c r="O24" s="9"/>
      <c r="P24" s="9"/>
      <c r="Q24" s="9"/>
      <c r="R24" s="9"/>
      <c r="S24" s="8"/>
      <c r="T24" s="2"/>
      <c r="U24" s="2"/>
      <c r="V24" s="2"/>
      <c r="W24" s="2"/>
      <c r="X24" s="2"/>
      <c r="Y24" s="2"/>
      <c r="Z24" s="2"/>
    </row>
    <row r="25">
      <c r="A25" s="3" t="s">
        <v>4</v>
      </c>
      <c r="B25" s="4" t="s">
        <v>40</v>
      </c>
      <c r="C25" s="4" t="s">
        <v>43</v>
      </c>
      <c r="D25" s="4">
        <v>267.0</v>
      </c>
      <c r="E25" s="2"/>
      <c r="F25" s="2"/>
      <c r="G25" s="7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  <c r="S25" s="8"/>
      <c r="T25" s="2"/>
      <c r="U25" s="2"/>
      <c r="V25" s="2"/>
      <c r="W25" s="2"/>
      <c r="X25" s="2"/>
      <c r="Y25" s="2"/>
      <c r="Z25" s="2"/>
    </row>
    <row r="26">
      <c r="A26" s="3" t="s">
        <v>4</v>
      </c>
      <c r="B26" s="4" t="s">
        <v>44</v>
      </c>
      <c r="C26" s="4" t="s">
        <v>45</v>
      </c>
      <c r="D26" s="4">
        <v>534.0</v>
      </c>
      <c r="E26" s="2"/>
      <c r="F26" s="2"/>
      <c r="G26" s="7"/>
      <c r="H26" s="8"/>
      <c r="I26" s="8"/>
      <c r="J26" s="8"/>
      <c r="K26" s="8"/>
      <c r="L26" s="9"/>
      <c r="M26" s="9"/>
      <c r="N26" s="9"/>
      <c r="O26" s="9"/>
      <c r="P26" s="9"/>
      <c r="Q26" s="9"/>
      <c r="R26" s="9"/>
      <c r="S26" s="8"/>
      <c r="T26" s="2"/>
      <c r="U26" s="2"/>
      <c r="V26" s="2"/>
      <c r="W26" s="2"/>
      <c r="X26" s="2"/>
      <c r="Y26" s="2"/>
      <c r="Z26" s="2"/>
    </row>
    <row r="27">
      <c r="A27" s="3" t="s">
        <v>4</v>
      </c>
      <c r="B27" s="4" t="s">
        <v>46</v>
      </c>
      <c r="C27" s="4" t="s">
        <v>47</v>
      </c>
      <c r="D27" s="4">
        <v>580.0</v>
      </c>
      <c r="E27" s="2"/>
      <c r="F27" s="2"/>
      <c r="G27" s="7"/>
      <c r="H27" s="8"/>
      <c r="I27" s="8"/>
      <c r="J27" s="9"/>
      <c r="K27" s="9"/>
      <c r="L27" s="9"/>
      <c r="M27" s="9"/>
      <c r="N27" s="9"/>
      <c r="O27" s="9"/>
      <c r="P27" s="9"/>
      <c r="Q27" s="9"/>
      <c r="R27" s="9"/>
      <c r="S27" s="8"/>
      <c r="T27" s="2"/>
      <c r="U27" s="2"/>
      <c r="V27" s="2"/>
      <c r="W27" s="2"/>
      <c r="X27" s="2"/>
      <c r="Y27" s="2"/>
      <c r="Z27" s="2"/>
    </row>
    <row r="28">
      <c r="A28" s="3" t="s">
        <v>4</v>
      </c>
      <c r="B28" s="4" t="s">
        <v>46</v>
      </c>
      <c r="C28" s="4" t="s">
        <v>48</v>
      </c>
      <c r="D28" s="4">
        <v>240.0</v>
      </c>
      <c r="E28" s="2"/>
      <c r="F28" s="2"/>
      <c r="G28" s="7"/>
      <c r="H28" s="8"/>
      <c r="I28" s="8"/>
      <c r="J28" s="8"/>
      <c r="K28" s="8"/>
      <c r="L28" s="8"/>
      <c r="M28" s="8"/>
      <c r="N28" s="8"/>
      <c r="O28" s="8"/>
      <c r="P28" s="9"/>
      <c r="Q28" s="9"/>
      <c r="R28" s="9"/>
      <c r="S28" s="8"/>
      <c r="T28" s="2"/>
      <c r="U28" s="2"/>
      <c r="V28" s="2"/>
      <c r="W28" s="2"/>
      <c r="X28" s="2"/>
      <c r="Y28" s="2"/>
      <c r="Z28" s="2"/>
    </row>
    <row r="29">
      <c r="A29" s="3" t="s">
        <v>4</v>
      </c>
      <c r="B29" s="4" t="s">
        <v>46</v>
      </c>
      <c r="C29" s="4" t="s">
        <v>49</v>
      </c>
      <c r="D29" s="4">
        <v>926.0</v>
      </c>
      <c r="E29" s="2"/>
      <c r="F29" s="2"/>
      <c r="G29" s="7"/>
      <c r="H29" s="8"/>
      <c r="I29" s="8"/>
      <c r="J29" s="8"/>
      <c r="K29" s="8"/>
      <c r="L29" s="8"/>
      <c r="M29" s="8"/>
      <c r="N29" s="8"/>
      <c r="O29" s="8"/>
      <c r="P29" s="9"/>
      <c r="Q29" s="9"/>
      <c r="R29" s="9"/>
      <c r="S29" s="8"/>
      <c r="T29" s="2"/>
      <c r="U29" s="2"/>
      <c r="V29" s="2"/>
      <c r="W29" s="2"/>
      <c r="X29" s="2"/>
      <c r="Y29" s="2"/>
      <c r="Z29" s="2"/>
    </row>
    <row r="30">
      <c r="A30" s="3" t="s">
        <v>4</v>
      </c>
      <c r="B30" s="4" t="s">
        <v>46</v>
      </c>
      <c r="C30" s="4" t="s">
        <v>50</v>
      </c>
      <c r="D30" s="4">
        <v>203.0</v>
      </c>
      <c r="E30" s="2"/>
      <c r="F30" s="2"/>
      <c r="G30" s="7"/>
      <c r="H30" s="8"/>
      <c r="I30" s="8"/>
      <c r="J30" s="8"/>
      <c r="K30" s="8"/>
      <c r="L30" s="8"/>
      <c r="M30" s="8"/>
      <c r="N30" s="8"/>
      <c r="O30" s="9"/>
      <c r="P30" s="8"/>
      <c r="Q30" s="8"/>
      <c r="R30" s="9"/>
      <c r="S30" s="8"/>
      <c r="T30" s="2"/>
      <c r="U30" s="2"/>
      <c r="V30" s="2"/>
      <c r="W30" s="2"/>
      <c r="X30" s="2"/>
      <c r="Y30" s="2"/>
      <c r="Z30" s="2"/>
    </row>
    <row r="31">
      <c r="A31" s="3" t="s">
        <v>4</v>
      </c>
      <c r="B31" s="4" t="s">
        <v>51</v>
      </c>
      <c r="C31" s="4" t="s">
        <v>52</v>
      </c>
      <c r="D31" s="4">
        <v>427.0</v>
      </c>
      <c r="E31" s="2"/>
      <c r="F31" s="2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S31" s="8"/>
      <c r="T31" s="2"/>
      <c r="U31" s="2"/>
      <c r="V31" s="2"/>
      <c r="W31" s="2"/>
      <c r="X31" s="2"/>
      <c r="Y31" s="2"/>
      <c r="Z31" s="2"/>
    </row>
    <row r="32">
      <c r="A32" s="3" t="s">
        <v>4</v>
      </c>
      <c r="B32" s="4" t="s">
        <v>51</v>
      </c>
      <c r="C32" s="4" t="s">
        <v>53</v>
      </c>
      <c r="D32" s="4">
        <v>349.0</v>
      </c>
      <c r="E32" s="2"/>
      <c r="F32" s="2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2"/>
      <c r="U32" s="2"/>
      <c r="V32" s="2"/>
      <c r="W32" s="2"/>
      <c r="X32" s="2"/>
      <c r="Y32" s="2"/>
      <c r="Z32" s="2"/>
    </row>
    <row r="33">
      <c r="A33" s="3" t="s">
        <v>4</v>
      </c>
      <c r="B33" s="4" t="s">
        <v>51</v>
      </c>
      <c r="C33" s="4" t="s">
        <v>54</v>
      </c>
      <c r="D33" s="4">
        <v>863.0</v>
      </c>
      <c r="E33" s="2"/>
      <c r="F33" s="2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2"/>
      <c r="U33" s="2"/>
      <c r="V33" s="2"/>
      <c r="W33" s="2"/>
      <c r="X33" s="2"/>
      <c r="Y33" s="2"/>
      <c r="Z33" s="2"/>
    </row>
    <row r="34">
      <c r="A34" s="3" t="s">
        <v>4</v>
      </c>
      <c r="B34" s="4" t="s">
        <v>55</v>
      </c>
      <c r="C34" s="4" t="s">
        <v>56</v>
      </c>
      <c r="D34" s="4">
        <v>672.0</v>
      </c>
      <c r="E34" s="2"/>
      <c r="F34" s="2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2"/>
      <c r="U34" s="2"/>
      <c r="V34" s="2"/>
      <c r="W34" s="2"/>
      <c r="X34" s="2"/>
      <c r="Y34" s="2"/>
      <c r="Z34" s="2"/>
    </row>
    <row r="35">
      <c r="A35" s="3" t="s">
        <v>4</v>
      </c>
      <c r="B35" s="4" t="s">
        <v>55</v>
      </c>
      <c r="C35" s="4" t="s">
        <v>57</v>
      </c>
      <c r="D35" s="4">
        <v>159.0</v>
      </c>
      <c r="E35" s="2"/>
      <c r="F35" s="2"/>
      <c r="G35" s="7"/>
      <c r="H35" s="8"/>
      <c r="I35" s="8"/>
      <c r="J35" s="8"/>
      <c r="K35" s="8"/>
      <c r="L35" s="9"/>
      <c r="M35" s="9"/>
      <c r="N35" s="9"/>
      <c r="O35" s="9"/>
      <c r="P35" s="9"/>
      <c r="Q35" s="9"/>
      <c r="R35" s="9"/>
      <c r="S35" s="8"/>
      <c r="T35" s="2"/>
      <c r="U35" s="2"/>
      <c r="V35" s="2"/>
      <c r="W35" s="2"/>
      <c r="X35" s="2"/>
      <c r="Y35" s="2"/>
      <c r="Z35" s="2"/>
    </row>
    <row r="36">
      <c r="A36" s="3" t="s">
        <v>4</v>
      </c>
      <c r="B36" s="4" t="s">
        <v>55</v>
      </c>
      <c r="C36" s="4" t="s">
        <v>58</v>
      </c>
      <c r="D36" s="4">
        <v>275.0</v>
      </c>
      <c r="E36" s="2"/>
      <c r="F36" s="2"/>
      <c r="G36" s="7"/>
      <c r="H36" s="8"/>
      <c r="I36" s="8"/>
      <c r="J36" s="8"/>
      <c r="K36" s="8"/>
      <c r="L36" s="8"/>
      <c r="M36" s="9"/>
      <c r="N36" s="9"/>
      <c r="O36" s="9"/>
      <c r="P36" s="9"/>
      <c r="Q36" s="9"/>
      <c r="R36" s="9"/>
      <c r="S36" s="8"/>
      <c r="T36" s="2"/>
      <c r="U36" s="2"/>
      <c r="V36" s="2"/>
      <c r="W36" s="2"/>
      <c r="X36" s="2"/>
      <c r="Y36" s="2"/>
      <c r="Z36" s="2"/>
    </row>
    <row r="37">
      <c r="A37" s="3" t="s">
        <v>4</v>
      </c>
      <c r="B37" s="4" t="s">
        <v>55</v>
      </c>
      <c r="C37" s="4" t="s">
        <v>59</v>
      </c>
      <c r="D37" s="4">
        <v>614.0</v>
      </c>
      <c r="E37" s="2"/>
      <c r="F37" s="2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2"/>
      <c r="U37" s="2"/>
      <c r="V37" s="2"/>
      <c r="W37" s="2"/>
      <c r="X37" s="2"/>
      <c r="Y37" s="2"/>
      <c r="Z37" s="2"/>
    </row>
    <row r="38">
      <c r="A38" s="3" t="s">
        <v>4</v>
      </c>
      <c r="B38" s="4" t="s">
        <v>60</v>
      </c>
      <c r="C38" s="4" t="s">
        <v>61</v>
      </c>
      <c r="D38" s="4">
        <v>941.0</v>
      </c>
      <c r="E38" s="2"/>
      <c r="F38" s="2"/>
      <c r="G38" s="7"/>
      <c r="H38" s="8"/>
      <c r="I38" s="8"/>
      <c r="J38" s="8"/>
      <c r="K38" s="8"/>
      <c r="L38" s="8"/>
      <c r="M38" s="8"/>
      <c r="N38" s="9"/>
      <c r="O38" s="8"/>
      <c r="P38" s="8"/>
      <c r="Q38" s="8"/>
      <c r="R38" s="9"/>
      <c r="S38" s="8"/>
      <c r="T38" s="2"/>
      <c r="U38" s="2"/>
      <c r="V38" s="2"/>
      <c r="W38" s="2"/>
      <c r="X38" s="2"/>
      <c r="Y38" s="2"/>
      <c r="Z38" s="2"/>
    </row>
    <row r="39">
      <c r="A39" s="3" t="s">
        <v>4</v>
      </c>
      <c r="B39" s="4" t="s">
        <v>60</v>
      </c>
      <c r="C39" s="4" t="s">
        <v>62</v>
      </c>
      <c r="D39" s="4">
        <v>351.0</v>
      </c>
      <c r="E39" s="2"/>
      <c r="F39" s="2"/>
      <c r="G39" s="7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  <c r="S39" s="8"/>
      <c r="T39" s="2"/>
      <c r="U39" s="2"/>
      <c r="V39" s="2"/>
      <c r="W39" s="2"/>
      <c r="X39" s="2"/>
      <c r="Y39" s="2"/>
      <c r="Z39" s="2"/>
    </row>
    <row r="40">
      <c r="A40" s="3" t="s">
        <v>4</v>
      </c>
      <c r="B40" s="4" t="s">
        <v>63</v>
      </c>
      <c r="C40" s="4" t="s">
        <v>64</v>
      </c>
      <c r="D40" s="4">
        <v>532.0</v>
      </c>
      <c r="E40" s="2"/>
      <c r="F40" s="2"/>
      <c r="G40" s="7"/>
      <c r="H40" s="8"/>
      <c r="I40" s="8"/>
      <c r="J40" s="8"/>
      <c r="K40" s="8"/>
      <c r="L40" s="8"/>
      <c r="M40" s="8"/>
      <c r="N40" s="8"/>
      <c r="O40" s="8"/>
      <c r="P40" s="9"/>
      <c r="Q40" s="9"/>
      <c r="R40" s="9"/>
      <c r="S40" s="8"/>
      <c r="T40" s="2"/>
      <c r="U40" s="2"/>
      <c r="V40" s="2"/>
      <c r="W40" s="2"/>
      <c r="X40" s="2"/>
      <c r="Y40" s="2"/>
      <c r="Z40" s="2"/>
    </row>
    <row r="41">
      <c r="A41" s="3" t="s">
        <v>4</v>
      </c>
      <c r="B41" s="4" t="s">
        <v>65</v>
      </c>
      <c r="C41" s="4" t="s">
        <v>66</v>
      </c>
      <c r="D41" s="4">
        <v>471.0</v>
      </c>
      <c r="E41" s="2"/>
      <c r="F41" s="2"/>
      <c r="G41" s="7"/>
      <c r="H41" s="8"/>
      <c r="I41" s="8"/>
      <c r="J41" s="8"/>
      <c r="K41" s="8"/>
      <c r="L41" s="8"/>
      <c r="M41" s="9"/>
      <c r="N41" s="9"/>
      <c r="O41" s="9"/>
      <c r="P41" s="9"/>
      <c r="Q41" s="9"/>
      <c r="R41" s="9"/>
      <c r="S41" s="8"/>
      <c r="T41" s="2"/>
      <c r="U41" s="2"/>
      <c r="V41" s="2"/>
      <c r="W41" s="2"/>
      <c r="X41" s="2"/>
      <c r="Y41" s="2"/>
      <c r="Z41" s="2"/>
    </row>
    <row r="42">
      <c r="A42" s="3" t="s">
        <v>4</v>
      </c>
      <c r="B42" s="4" t="s">
        <v>65</v>
      </c>
      <c r="C42" s="4" t="s">
        <v>67</v>
      </c>
      <c r="D42" s="4">
        <v>656.0</v>
      </c>
      <c r="E42" s="2"/>
      <c r="F42" s="2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2"/>
      <c r="U42" s="2"/>
      <c r="V42" s="2"/>
      <c r="W42" s="2"/>
      <c r="X42" s="2"/>
      <c r="Y42" s="2"/>
      <c r="Z42" s="2"/>
    </row>
    <row r="43">
      <c r="A43" s="3" t="s">
        <v>4</v>
      </c>
      <c r="B43" s="4" t="s">
        <v>65</v>
      </c>
      <c r="C43" s="4" t="s">
        <v>68</v>
      </c>
      <c r="D43" s="4">
        <v>775.0</v>
      </c>
      <c r="E43" s="2"/>
      <c r="F43" s="2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2"/>
      <c r="U43" s="2"/>
      <c r="V43" s="2"/>
      <c r="W43" s="2"/>
      <c r="X43" s="2"/>
      <c r="Y43" s="2"/>
      <c r="Z43" s="2"/>
    </row>
    <row r="44">
      <c r="A44" s="3" t="s">
        <v>4</v>
      </c>
      <c r="B44" s="4" t="s">
        <v>69</v>
      </c>
      <c r="C44" s="4" t="s">
        <v>70</v>
      </c>
      <c r="D44" s="4">
        <v>675.0</v>
      </c>
      <c r="E44" s="2"/>
      <c r="F44" s="2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2"/>
      <c r="U44" s="2"/>
      <c r="V44" s="2"/>
      <c r="W44" s="2"/>
      <c r="X44" s="2"/>
      <c r="Y44" s="2"/>
      <c r="Z44" s="2"/>
    </row>
    <row r="45">
      <c r="A45" s="3" t="s">
        <v>4</v>
      </c>
      <c r="B45" s="4" t="s">
        <v>69</v>
      </c>
      <c r="C45" s="4" t="s">
        <v>71</v>
      </c>
      <c r="D45" s="4">
        <v>190.0</v>
      </c>
      <c r="E45" s="2"/>
      <c r="F45" s="2"/>
      <c r="G45" s="7"/>
      <c r="H45" s="8"/>
      <c r="I45" s="8"/>
      <c r="J45" s="8"/>
      <c r="K45" s="9"/>
      <c r="L45" s="9"/>
      <c r="M45" s="9"/>
      <c r="N45" s="9"/>
      <c r="O45" s="9"/>
      <c r="P45" s="9"/>
      <c r="Q45" s="9"/>
      <c r="R45" s="9"/>
      <c r="S45" s="8"/>
      <c r="T45" s="2"/>
      <c r="U45" s="2"/>
      <c r="V45" s="2"/>
      <c r="W45" s="2"/>
      <c r="X45" s="2"/>
      <c r="Y45" s="2"/>
      <c r="Z45" s="2"/>
    </row>
    <row r="46">
      <c r="A46" s="3" t="s">
        <v>4</v>
      </c>
      <c r="B46" s="4" t="s">
        <v>69</v>
      </c>
      <c r="C46" s="4" t="s">
        <v>72</v>
      </c>
      <c r="D46" s="4">
        <v>676.0</v>
      </c>
      <c r="E46" s="2"/>
      <c r="F46" s="2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2"/>
      <c r="U46" s="2"/>
      <c r="V46" s="2"/>
      <c r="W46" s="2"/>
      <c r="X46" s="2"/>
      <c r="Y46" s="2"/>
      <c r="Z46" s="2"/>
    </row>
    <row r="47">
      <c r="A47" s="3" t="s">
        <v>4</v>
      </c>
      <c r="B47" s="4" t="s">
        <v>73</v>
      </c>
      <c r="C47" s="4" t="s">
        <v>74</v>
      </c>
      <c r="D47" s="4">
        <v>800.0</v>
      </c>
      <c r="E47" s="2"/>
      <c r="F47" s="2"/>
      <c r="G47" s="7"/>
      <c r="H47" s="8"/>
      <c r="I47" s="8"/>
      <c r="J47" s="8"/>
      <c r="K47" s="8"/>
      <c r="L47" s="8"/>
      <c r="M47" s="9"/>
      <c r="N47" s="9"/>
      <c r="O47" s="9"/>
      <c r="P47" s="9"/>
      <c r="Q47" s="9"/>
      <c r="R47" s="9"/>
      <c r="S47" s="8"/>
      <c r="T47" s="2"/>
      <c r="U47" s="2"/>
      <c r="V47" s="2"/>
      <c r="W47" s="2"/>
      <c r="X47" s="2"/>
      <c r="Y47" s="2"/>
      <c r="Z47" s="2"/>
    </row>
    <row r="48">
      <c r="A48" s="3" t="s">
        <v>4</v>
      </c>
      <c r="B48" s="4" t="s">
        <v>73</v>
      </c>
      <c r="C48" s="4" t="s">
        <v>75</v>
      </c>
      <c r="D48" s="4">
        <v>979.0</v>
      </c>
      <c r="E48" s="2"/>
      <c r="F48" s="2"/>
      <c r="G48" s="7"/>
      <c r="H48" s="8"/>
      <c r="I48" s="8"/>
      <c r="J48" s="8"/>
      <c r="K48" s="8"/>
      <c r="L48" s="8"/>
      <c r="M48" s="8"/>
      <c r="N48" s="9"/>
      <c r="O48" s="9"/>
      <c r="P48" s="9"/>
      <c r="Q48" s="9"/>
      <c r="R48" s="9"/>
      <c r="S48" s="8"/>
      <c r="T48" s="2"/>
      <c r="U48" s="2"/>
      <c r="V48" s="2"/>
      <c r="W48" s="2"/>
      <c r="X48" s="2"/>
      <c r="Y48" s="2"/>
      <c r="Z48" s="2"/>
    </row>
    <row r="49">
      <c r="A49" s="3" t="s">
        <v>4</v>
      </c>
      <c r="B49" s="4" t="s">
        <v>76</v>
      </c>
      <c r="C49" s="4" t="s">
        <v>77</v>
      </c>
      <c r="D49" s="4">
        <v>535.0</v>
      </c>
      <c r="E49" s="2"/>
      <c r="F49" s="2"/>
      <c r="G49" s="7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8"/>
      <c r="T49" s="2"/>
      <c r="U49" s="2"/>
      <c r="V49" s="2"/>
      <c r="W49" s="2"/>
      <c r="X49" s="2"/>
      <c r="Y49" s="2"/>
      <c r="Z49" s="2"/>
    </row>
    <row r="50">
      <c r="A50" s="3" t="s">
        <v>4</v>
      </c>
      <c r="B50" s="4" t="s">
        <v>78</v>
      </c>
      <c r="C50" s="4" t="s">
        <v>79</v>
      </c>
      <c r="D50" s="4">
        <v>462.0</v>
      </c>
      <c r="E50" s="2"/>
      <c r="F50" s="2"/>
      <c r="G50" s="7"/>
      <c r="H50" s="8"/>
      <c r="I50" s="8"/>
      <c r="J50" s="8"/>
      <c r="K50" s="9"/>
      <c r="L50" s="9"/>
      <c r="M50" s="9"/>
      <c r="N50" s="9"/>
      <c r="O50" s="9"/>
      <c r="P50" s="9"/>
      <c r="Q50" s="9"/>
      <c r="R50" s="9"/>
      <c r="S50" s="8"/>
      <c r="T50" s="2"/>
      <c r="U50" s="2"/>
      <c r="V50" s="2"/>
      <c r="W50" s="2"/>
      <c r="X50" s="2"/>
      <c r="Y50" s="2"/>
      <c r="Z50" s="2"/>
    </row>
    <row r="51">
      <c r="A51" s="3" t="s">
        <v>4</v>
      </c>
      <c r="B51" s="4" t="s">
        <v>78</v>
      </c>
      <c r="C51" s="4" t="s">
        <v>80</v>
      </c>
      <c r="D51" s="4">
        <v>919.0</v>
      </c>
      <c r="E51" s="2"/>
      <c r="F51" s="2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2"/>
      <c r="U51" s="2"/>
      <c r="V51" s="2"/>
      <c r="W51" s="2"/>
      <c r="X51" s="2"/>
      <c r="Y51" s="2"/>
      <c r="Z51" s="2"/>
    </row>
    <row r="52">
      <c r="A52" s="3" t="s">
        <v>81</v>
      </c>
      <c r="B52" s="4" t="s">
        <v>5</v>
      </c>
      <c r="C52" s="4" t="s">
        <v>82</v>
      </c>
      <c r="D52" s="4">
        <v>951.0</v>
      </c>
      <c r="E52" s="2"/>
      <c r="F52" s="2"/>
      <c r="G52" s="7"/>
      <c r="H52" s="8"/>
      <c r="I52" s="8"/>
      <c r="J52" s="8"/>
      <c r="K52" s="8"/>
      <c r="L52" s="9"/>
      <c r="M52" s="9"/>
      <c r="N52" s="9"/>
      <c r="O52" s="9"/>
      <c r="P52" s="9"/>
      <c r="Q52" s="9"/>
      <c r="R52" s="9"/>
      <c r="S52" s="8"/>
      <c r="T52" s="2"/>
      <c r="U52" s="2"/>
      <c r="V52" s="2"/>
      <c r="W52" s="2"/>
      <c r="X52" s="2"/>
      <c r="Y52" s="2"/>
      <c r="Z52" s="2"/>
    </row>
    <row r="53">
      <c r="A53" s="3" t="s">
        <v>81</v>
      </c>
      <c r="B53" s="4" t="s">
        <v>5</v>
      </c>
      <c r="C53" s="4" t="s">
        <v>83</v>
      </c>
      <c r="D53" s="4">
        <v>484.0</v>
      </c>
      <c r="E53" s="2"/>
      <c r="F53" s="2"/>
      <c r="G53" s="7"/>
      <c r="H53" s="8"/>
      <c r="I53" s="8"/>
      <c r="J53" s="8"/>
      <c r="K53" s="8"/>
      <c r="L53" s="8"/>
      <c r="M53" s="9"/>
      <c r="N53" s="9"/>
      <c r="O53" s="9"/>
      <c r="P53" s="9"/>
      <c r="Q53" s="9"/>
      <c r="R53" s="9"/>
      <c r="S53" s="8"/>
      <c r="T53" s="2"/>
      <c r="U53" s="2"/>
      <c r="V53" s="2"/>
      <c r="W53" s="2"/>
      <c r="X53" s="2"/>
      <c r="Y53" s="2"/>
      <c r="Z53" s="2"/>
    </row>
    <row r="54">
      <c r="A54" s="3" t="s">
        <v>81</v>
      </c>
      <c r="B54" s="4" t="s">
        <v>5</v>
      </c>
      <c r="C54" s="4" t="s">
        <v>84</v>
      </c>
      <c r="D54" s="4">
        <v>945.0</v>
      </c>
      <c r="E54" s="2"/>
      <c r="F54" s="2"/>
      <c r="G54" s="7"/>
      <c r="H54" s="8"/>
      <c r="I54" s="8"/>
      <c r="J54" s="8"/>
      <c r="K54" s="8"/>
      <c r="L54" s="8"/>
      <c r="M54" s="8"/>
      <c r="N54" s="8"/>
      <c r="O54" s="8"/>
      <c r="P54" s="8"/>
      <c r="Q54" s="9"/>
      <c r="R54" s="9"/>
      <c r="S54" s="8"/>
      <c r="T54" s="2"/>
      <c r="U54" s="2"/>
      <c r="V54" s="2"/>
      <c r="W54" s="2"/>
      <c r="X54" s="2"/>
      <c r="Y54" s="2"/>
      <c r="Z54" s="2"/>
    </row>
    <row r="55">
      <c r="A55" s="3" t="s">
        <v>81</v>
      </c>
      <c r="B55" s="4" t="s">
        <v>7</v>
      </c>
      <c r="C55" s="4" t="s">
        <v>85</v>
      </c>
      <c r="D55" s="4">
        <v>694.0</v>
      </c>
      <c r="E55" s="2"/>
      <c r="F55" s="2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8"/>
      <c r="T55" s="2"/>
      <c r="U55" s="2"/>
      <c r="V55" s="2"/>
      <c r="W55" s="2"/>
      <c r="X55" s="2"/>
      <c r="Y55" s="2"/>
      <c r="Z55" s="2"/>
    </row>
    <row r="56">
      <c r="A56" s="3" t="s">
        <v>81</v>
      </c>
      <c r="B56" s="4" t="s">
        <v>7</v>
      </c>
      <c r="C56" s="4" t="s">
        <v>86</v>
      </c>
      <c r="D56" s="4">
        <v>981.0</v>
      </c>
      <c r="E56" s="2"/>
      <c r="F56" s="2"/>
      <c r="G56" s="7"/>
      <c r="H56" s="8"/>
      <c r="I56" s="8"/>
      <c r="J56" s="8"/>
      <c r="K56" s="8"/>
      <c r="L56" s="8"/>
      <c r="M56" s="8"/>
      <c r="N56" s="8"/>
      <c r="O56" s="8"/>
      <c r="P56" s="8"/>
      <c r="Q56" s="9"/>
      <c r="R56" s="9"/>
      <c r="S56" s="8"/>
      <c r="T56" s="2"/>
      <c r="U56" s="2"/>
      <c r="V56" s="2"/>
      <c r="W56" s="2"/>
      <c r="X56" s="2"/>
      <c r="Y56" s="2"/>
      <c r="Z56" s="2"/>
    </row>
    <row r="57">
      <c r="A57" s="3" t="s">
        <v>81</v>
      </c>
      <c r="B57" s="4" t="s">
        <v>7</v>
      </c>
      <c r="C57" s="4" t="s">
        <v>87</v>
      </c>
      <c r="D57" s="4">
        <v>264.0</v>
      </c>
      <c r="E57" s="2"/>
      <c r="F57" s="2"/>
      <c r="G57" s="7"/>
      <c r="H57" s="8"/>
      <c r="I57" s="8"/>
      <c r="J57" s="8"/>
      <c r="K57" s="8"/>
      <c r="L57" s="8"/>
      <c r="M57" s="9"/>
      <c r="N57" s="9"/>
      <c r="O57" s="9"/>
      <c r="P57" s="9"/>
      <c r="Q57" s="9"/>
      <c r="R57" s="9"/>
      <c r="S57" s="8"/>
      <c r="T57" s="2"/>
      <c r="U57" s="2"/>
      <c r="V57" s="2"/>
      <c r="W57" s="2"/>
      <c r="X57" s="2"/>
      <c r="Y57" s="2"/>
      <c r="Z57" s="2"/>
    </row>
    <row r="58">
      <c r="A58" s="3" t="s">
        <v>81</v>
      </c>
      <c r="B58" s="4" t="s">
        <v>7</v>
      </c>
      <c r="C58" s="4" t="s">
        <v>88</v>
      </c>
      <c r="D58" s="4">
        <v>413.0</v>
      </c>
      <c r="E58" s="2"/>
      <c r="F58" s="2"/>
      <c r="G58" s="7"/>
      <c r="H58" s="8"/>
      <c r="I58" s="8"/>
      <c r="J58" s="8"/>
      <c r="K58" s="8"/>
      <c r="L58" s="8"/>
      <c r="M58" s="9"/>
      <c r="N58" s="9"/>
      <c r="O58" s="9"/>
      <c r="P58" s="9"/>
      <c r="Q58" s="9"/>
      <c r="R58" s="9"/>
      <c r="S58" s="8"/>
      <c r="T58" s="2"/>
      <c r="U58" s="2"/>
      <c r="V58" s="2"/>
      <c r="W58" s="2"/>
      <c r="X58" s="2"/>
      <c r="Y58" s="2"/>
      <c r="Z58" s="2"/>
    </row>
    <row r="59">
      <c r="A59" s="3" t="s">
        <v>81</v>
      </c>
      <c r="B59" s="4" t="s">
        <v>12</v>
      </c>
      <c r="C59" s="4" t="s">
        <v>89</v>
      </c>
      <c r="D59" s="4">
        <v>165.0</v>
      </c>
      <c r="E59" s="2"/>
      <c r="F59" s="2"/>
      <c r="G59" s="7"/>
      <c r="H59" s="8"/>
      <c r="I59" s="8"/>
      <c r="J59" s="8"/>
      <c r="K59" s="8"/>
      <c r="L59" s="8"/>
      <c r="M59" s="8"/>
      <c r="N59" s="8"/>
      <c r="O59" s="9"/>
      <c r="P59" s="9"/>
      <c r="Q59" s="9"/>
      <c r="R59" s="9"/>
      <c r="S59" s="8"/>
      <c r="T59" s="2"/>
      <c r="U59" s="2"/>
      <c r="V59" s="2"/>
      <c r="W59" s="2"/>
      <c r="X59" s="2"/>
      <c r="Y59" s="2"/>
      <c r="Z59" s="2"/>
    </row>
    <row r="60">
      <c r="A60" s="3" t="s">
        <v>81</v>
      </c>
      <c r="B60" s="4" t="s">
        <v>12</v>
      </c>
      <c r="C60" s="4" t="s">
        <v>90</v>
      </c>
      <c r="D60" s="4">
        <v>407.0</v>
      </c>
      <c r="E60" s="2"/>
      <c r="F60" s="2"/>
      <c r="G60" s="7"/>
      <c r="H60" s="8"/>
      <c r="I60" s="8"/>
      <c r="J60" s="8"/>
      <c r="K60" s="8"/>
      <c r="L60" s="8"/>
      <c r="M60" s="8"/>
      <c r="N60" s="8"/>
      <c r="O60" s="9"/>
      <c r="P60" s="9"/>
      <c r="Q60" s="9"/>
      <c r="R60" s="9"/>
      <c r="S60" s="8"/>
      <c r="T60" s="2"/>
      <c r="U60" s="2"/>
      <c r="V60" s="2"/>
      <c r="W60" s="2"/>
      <c r="X60" s="2"/>
      <c r="Y60" s="2"/>
      <c r="Z60" s="2"/>
    </row>
    <row r="61">
      <c r="A61" s="3" t="s">
        <v>81</v>
      </c>
      <c r="B61" s="4" t="s">
        <v>17</v>
      </c>
      <c r="C61" s="4" t="s">
        <v>91</v>
      </c>
      <c r="D61" s="4">
        <v>813.0</v>
      </c>
      <c r="E61" s="2"/>
      <c r="F61" s="2"/>
      <c r="G61" s="7"/>
      <c r="H61" s="8"/>
      <c r="I61" s="8"/>
      <c r="J61" s="9"/>
      <c r="K61" s="9"/>
      <c r="L61" s="9"/>
      <c r="M61" s="9"/>
      <c r="N61" s="9"/>
      <c r="O61" s="9"/>
      <c r="P61" s="9"/>
      <c r="Q61" s="9"/>
      <c r="R61" s="9"/>
      <c r="S61" s="8"/>
      <c r="T61" s="2"/>
      <c r="U61" s="2"/>
      <c r="V61" s="2"/>
      <c r="W61" s="2"/>
      <c r="X61" s="2"/>
      <c r="Y61" s="2"/>
      <c r="Z61" s="2"/>
    </row>
    <row r="62">
      <c r="A62" s="3" t="s">
        <v>81</v>
      </c>
      <c r="B62" s="4" t="s">
        <v>17</v>
      </c>
      <c r="C62" s="4" t="s">
        <v>92</v>
      </c>
      <c r="D62" s="4">
        <v>641.0</v>
      </c>
      <c r="E62" s="2"/>
      <c r="F62" s="2"/>
      <c r="G62" s="5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"/>
      <c r="U62" s="2"/>
      <c r="V62" s="2"/>
      <c r="W62" s="2"/>
      <c r="X62" s="2"/>
      <c r="Y62" s="2"/>
      <c r="Z62" s="2"/>
    </row>
    <row r="63">
      <c r="A63" s="3" t="s">
        <v>81</v>
      </c>
      <c r="B63" s="4" t="s">
        <v>20</v>
      </c>
      <c r="C63" s="4" t="s">
        <v>93</v>
      </c>
      <c r="D63" s="4">
        <v>593.0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81</v>
      </c>
      <c r="B64" s="4" t="s">
        <v>94</v>
      </c>
      <c r="C64" s="4" t="s">
        <v>95</v>
      </c>
      <c r="D64" s="4">
        <v>711.0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81</v>
      </c>
      <c r="B65" s="4" t="s">
        <v>96</v>
      </c>
      <c r="C65" s="4" t="s">
        <v>97</v>
      </c>
      <c r="D65" s="4">
        <v>698.0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81</v>
      </c>
      <c r="B66" s="4" t="s">
        <v>96</v>
      </c>
      <c r="C66" s="4" t="s">
        <v>98</v>
      </c>
      <c r="D66" s="4">
        <v>328.0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81</v>
      </c>
      <c r="B67" s="4" t="s">
        <v>96</v>
      </c>
      <c r="C67" s="4" t="s">
        <v>99</v>
      </c>
      <c r="D67" s="4">
        <v>571.0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81</v>
      </c>
      <c r="B68" s="4" t="s">
        <v>22</v>
      </c>
      <c r="C68" s="4" t="s">
        <v>100</v>
      </c>
      <c r="D68" s="4">
        <v>511.0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81</v>
      </c>
      <c r="B69" s="4" t="s">
        <v>22</v>
      </c>
      <c r="C69" s="4" t="s">
        <v>101</v>
      </c>
      <c r="D69" s="4">
        <v>594.0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81</v>
      </c>
      <c r="B70" s="4" t="s">
        <v>22</v>
      </c>
      <c r="C70" s="4" t="s">
        <v>102</v>
      </c>
      <c r="D70" s="4">
        <v>729.0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81</v>
      </c>
      <c r="B71" s="4" t="s">
        <v>103</v>
      </c>
      <c r="C71" s="4" t="s">
        <v>104</v>
      </c>
      <c r="D71" s="4">
        <v>874.0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81</v>
      </c>
      <c r="B72" s="4" t="s">
        <v>103</v>
      </c>
      <c r="C72" s="4" t="s">
        <v>105</v>
      </c>
      <c r="D72" s="4">
        <v>826.0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81</v>
      </c>
      <c r="B73" s="4" t="s">
        <v>106</v>
      </c>
      <c r="C73" s="4" t="s">
        <v>107</v>
      </c>
      <c r="D73" s="4">
        <v>798.0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81</v>
      </c>
      <c r="B74" s="4" t="s">
        <v>106</v>
      </c>
      <c r="C74" s="4" t="s">
        <v>108</v>
      </c>
      <c r="D74" s="4">
        <v>450.0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81</v>
      </c>
      <c r="B75" s="4" t="s">
        <v>24</v>
      </c>
      <c r="C75" s="4" t="s">
        <v>109</v>
      </c>
      <c r="D75" s="4">
        <v>731.0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81</v>
      </c>
      <c r="B76" s="4" t="s">
        <v>24</v>
      </c>
      <c r="C76" s="4" t="s">
        <v>110</v>
      </c>
      <c r="D76" s="4">
        <v>764.0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81</v>
      </c>
      <c r="B77" s="4" t="s">
        <v>24</v>
      </c>
      <c r="C77" s="4" t="s">
        <v>111</v>
      </c>
      <c r="D77" s="4">
        <v>606.0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81</v>
      </c>
      <c r="B78" s="4" t="s">
        <v>24</v>
      </c>
      <c r="C78" s="4" t="s">
        <v>112</v>
      </c>
      <c r="D78" s="4">
        <v>368.0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81</v>
      </c>
      <c r="B79" s="4" t="s">
        <v>26</v>
      </c>
      <c r="C79" s="4" t="s">
        <v>113</v>
      </c>
      <c r="D79" s="4">
        <v>347.0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81</v>
      </c>
      <c r="B80" s="4" t="s">
        <v>26</v>
      </c>
      <c r="C80" s="4" t="s">
        <v>114</v>
      </c>
      <c r="D80" s="4">
        <v>653.0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81</v>
      </c>
      <c r="B81" s="4" t="s">
        <v>115</v>
      </c>
      <c r="C81" s="4" t="s">
        <v>116</v>
      </c>
      <c r="D81" s="4">
        <v>493.0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81</v>
      </c>
      <c r="B82" s="4" t="s">
        <v>28</v>
      </c>
      <c r="C82" s="4" t="s">
        <v>117</v>
      </c>
      <c r="D82" s="4">
        <v>251.0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81</v>
      </c>
      <c r="B83" s="4" t="s">
        <v>28</v>
      </c>
      <c r="C83" s="4" t="s">
        <v>118</v>
      </c>
      <c r="D83" s="4">
        <v>887.0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81</v>
      </c>
      <c r="B84" s="4" t="s">
        <v>28</v>
      </c>
      <c r="C84" s="4" t="s">
        <v>119</v>
      </c>
      <c r="D84" s="4">
        <v>115.0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81</v>
      </c>
      <c r="B85" s="4" t="s">
        <v>28</v>
      </c>
      <c r="C85" s="4" t="s">
        <v>120</v>
      </c>
      <c r="D85" s="4">
        <v>622.0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81</v>
      </c>
      <c r="B86" s="4" t="s">
        <v>30</v>
      </c>
      <c r="C86" s="4" t="s">
        <v>121</v>
      </c>
      <c r="D86" s="4">
        <v>216.0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81</v>
      </c>
      <c r="B87" s="4" t="s">
        <v>30</v>
      </c>
      <c r="C87" s="4" t="s">
        <v>122</v>
      </c>
      <c r="D87" s="4">
        <v>817.0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81</v>
      </c>
      <c r="B88" s="4" t="s">
        <v>30</v>
      </c>
      <c r="C88" s="4" t="s">
        <v>123</v>
      </c>
      <c r="D88" s="4">
        <v>687.0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81</v>
      </c>
      <c r="B89" s="4" t="s">
        <v>30</v>
      </c>
      <c r="C89" s="4" t="s">
        <v>124</v>
      </c>
      <c r="D89" s="4">
        <v>878.0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81</v>
      </c>
      <c r="B90" s="4" t="s">
        <v>125</v>
      </c>
      <c r="C90" s="4" t="s">
        <v>126</v>
      </c>
      <c r="D90" s="4">
        <v>474.0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81</v>
      </c>
      <c r="B91" s="4" t="s">
        <v>125</v>
      </c>
      <c r="C91" s="4" t="s">
        <v>127</v>
      </c>
      <c r="D91" s="4">
        <v>502.0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81</v>
      </c>
      <c r="B92" s="4" t="s">
        <v>125</v>
      </c>
      <c r="C92" s="4" t="s">
        <v>128</v>
      </c>
      <c r="D92" s="4">
        <v>134.0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81</v>
      </c>
      <c r="B93" s="4" t="s">
        <v>125</v>
      </c>
      <c r="C93" s="4" t="s">
        <v>129</v>
      </c>
      <c r="D93" s="4">
        <v>634.0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81</v>
      </c>
      <c r="B94" s="4" t="s">
        <v>32</v>
      </c>
      <c r="C94" s="4" t="s">
        <v>130</v>
      </c>
      <c r="D94" s="4">
        <v>335.0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81</v>
      </c>
      <c r="B95" s="4" t="s">
        <v>32</v>
      </c>
      <c r="C95" s="4" t="s">
        <v>131</v>
      </c>
      <c r="D95" s="4">
        <v>632.0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81</v>
      </c>
      <c r="B96" s="4" t="s">
        <v>32</v>
      </c>
      <c r="C96" s="4" t="s">
        <v>132</v>
      </c>
      <c r="D96" s="4">
        <v>160.0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81</v>
      </c>
      <c r="B97" s="4" t="s">
        <v>34</v>
      </c>
      <c r="C97" s="4" t="s">
        <v>133</v>
      </c>
      <c r="D97" s="4">
        <v>925.0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81</v>
      </c>
      <c r="B98" s="4" t="s">
        <v>34</v>
      </c>
      <c r="C98" s="4" t="s">
        <v>134</v>
      </c>
      <c r="D98" s="4">
        <v>362.0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81</v>
      </c>
      <c r="B99" s="4" t="s">
        <v>36</v>
      </c>
      <c r="C99" s="4" t="s">
        <v>135</v>
      </c>
      <c r="D99" s="4">
        <v>635.0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81</v>
      </c>
      <c r="B100" s="4" t="s">
        <v>36</v>
      </c>
      <c r="C100" s="4" t="s">
        <v>136</v>
      </c>
      <c r="D100" s="4">
        <v>498.0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81</v>
      </c>
      <c r="B101" s="4" t="s">
        <v>38</v>
      </c>
      <c r="C101" s="4" t="s">
        <v>137</v>
      </c>
      <c r="D101" s="4">
        <v>459.0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81</v>
      </c>
      <c r="B102" s="4" t="s">
        <v>38</v>
      </c>
      <c r="C102" s="4" t="s">
        <v>138</v>
      </c>
      <c r="D102" s="4">
        <v>384.0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81</v>
      </c>
      <c r="B103" s="4" t="s">
        <v>38</v>
      </c>
      <c r="C103" s="4" t="s">
        <v>139</v>
      </c>
      <c r="D103" s="4">
        <v>391.0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81</v>
      </c>
      <c r="B104" s="4" t="s">
        <v>140</v>
      </c>
      <c r="C104" s="4" t="s">
        <v>141</v>
      </c>
      <c r="D104" s="4">
        <v>259.0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81</v>
      </c>
      <c r="B105" s="4" t="s">
        <v>140</v>
      </c>
      <c r="C105" s="4" t="s">
        <v>142</v>
      </c>
      <c r="D105" s="4">
        <v>516.0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81</v>
      </c>
      <c r="B106" s="4" t="s">
        <v>140</v>
      </c>
      <c r="C106" s="4" t="s">
        <v>143</v>
      </c>
      <c r="D106" s="4">
        <v>184.0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81</v>
      </c>
      <c r="B107" s="4" t="s">
        <v>140</v>
      </c>
      <c r="C107" s="4" t="s">
        <v>144</v>
      </c>
      <c r="D107" s="4">
        <v>212.0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81</v>
      </c>
      <c r="B108" s="4" t="s">
        <v>145</v>
      </c>
      <c r="C108" s="4" t="s">
        <v>146</v>
      </c>
      <c r="D108" s="4">
        <v>932.0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81</v>
      </c>
      <c r="B109" s="4" t="s">
        <v>40</v>
      </c>
      <c r="C109" s="4" t="s">
        <v>147</v>
      </c>
      <c r="D109" s="4">
        <v>353.0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81</v>
      </c>
      <c r="B110" s="4" t="s">
        <v>40</v>
      </c>
      <c r="C110" s="4" t="s">
        <v>148</v>
      </c>
      <c r="D110" s="4">
        <v>396.0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81</v>
      </c>
      <c r="B111" s="4" t="s">
        <v>44</v>
      </c>
      <c r="C111" s="4" t="s">
        <v>149</v>
      </c>
      <c r="D111" s="4">
        <v>769.0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81</v>
      </c>
      <c r="B112" s="4" t="s">
        <v>44</v>
      </c>
      <c r="C112" s="4" t="s">
        <v>150</v>
      </c>
      <c r="D112" s="4">
        <v>205.0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81</v>
      </c>
      <c r="B113" s="4" t="s">
        <v>46</v>
      </c>
      <c r="C113" s="4" t="s">
        <v>151</v>
      </c>
      <c r="D113" s="4">
        <v>892.0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81</v>
      </c>
      <c r="B114" s="4" t="s">
        <v>46</v>
      </c>
      <c r="C114" s="4" t="s">
        <v>152</v>
      </c>
      <c r="D114" s="4">
        <v>110.0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81</v>
      </c>
      <c r="B115" s="4" t="s">
        <v>46</v>
      </c>
      <c r="C115" s="4" t="s">
        <v>153</v>
      </c>
      <c r="D115" s="4">
        <v>975.0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81</v>
      </c>
      <c r="B116" s="4" t="s">
        <v>46</v>
      </c>
      <c r="C116" s="4" t="s">
        <v>154</v>
      </c>
      <c r="D116" s="4">
        <v>267.0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81</v>
      </c>
      <c r="B117" s="4" t="s">
        <v>51</v>
      </c>
      <c r="C117" s="4" t="s">
        <v>155</v>
      </c>
      <c r="D117" s="4">
        <v>318.0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81</v>
      </c>
      <c r="B118" s="4" t="s">
        <v>51</v>
      </c>
      <c r="C118" s="4" t="s">
        <v>156</v>
      </c>
      <c r="D118" s="4">
        <v>229.0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81</v>
      </c>
      <c r="B119" s="4" t="s">
        <v>157</v>
      </c>
      <c r="C119" s="4" t="s">
        <v>158</v>
      </c>
      <c r="D119" s="4">
        <v>610.0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81</v>
      </c>
      <c r="B120" s="4" t="s">
        <v>55</v>
      </c>
      <c r="C120" s="4" t="s">
        <v>159</v>
      </c>
      <c r="D120" s="4">
        <v>405.0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81</v>
      </c>
      <c r="B121" s="4" t="s">
        <v>55</v>
      </c>
      <c r="C121" s="4" t="s">
        <v>160</v>
      </c>
      <c r="D121" s="4">
        <v>110.0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81</v>
      </c>
      <c r="B122" s="4" t="s">
        <v>55</v>
      </c>
      <c r="C122" s="4" t="s">
        <v>161</v>
      </c>
      <c r="D122" s="4">
        <v>765.0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81</v>
      </c>
      <c r="B123" s="4" t="s">
        <v>60</v>
      </c>
      <c r="C123" s="4" t="s">
        <v>162</v>
      </c>
      <c r="D123" s="4">
        <v>694.0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81</v>
      </c>
      <c r="B124" s="4" t="s">
        <v>60</v>
      </c>
      <c r="C124" s="4" t="s">
        <v>163</v>
      </c>
      <c r="D124" s="4">
        <v>379.0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81</v>
      </c>
      <c r="B125" s="4" t="s">
        <v>63</v>
      </c>
      <c r="C125" s="4" t="s">
        <v>164</v>
      </c>
      <c r="D125" s="4">
        <v>868.0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81</v>
      </c>
      <c r="B126" s="4" t="s">
        <v>63</v>
      </c>
      <c r="C126" s="4" t="s">
        <v>165</v>
      </c>
      <c r="D126" s="4">
        <v>256.0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81</v>
      </c>
      <c r="B127" s="4" t="s">
        <v>63</v>
      </c>
      <c r="C127" s="4" t="s">
        <v>166</v>
      </c>
      <c r="D127" s="4">
        <v>419.0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81</v>
      </c>
      <c r="B128" s="4" t="s">
        <v>65</v>
      </c>
      <c r="C128" s="4" t="s">
        <v>167</v>
      </c>
      <c r="D128" s="4">
        <v>763.0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81</v>
      </c>
      <c r="B129" s="4" t="s">
        <v>65</v>
      </c>
      <c r="C129" s="4" t="s">
        <v>168</v>
      </c>
      <c r="D129" s="4">
        <v>641.0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81</v>
      </c>
      <c r="B130" s="4" t="s">
        <v>65</v>
      </c>
      <c r="C130" s="4" t="s">
        <v>169</v>
      </c>
      <c r="D130" s="4">
        <v>936.0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81</v>
      </c>
      <c r="B131" s="4" t="s">
        <v>65</v>
      </c>
      <c r="C131" s="4" t="s">
        <v>170</v>
      </c>
      <c r="D131" s="4">
        <v>425.0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81</v>
      </c>
      <c r="B132" s="4" t="s">
        <v>171</v>
      </c>
      <c r="C132" s="4" t="s">
        <v>172</v>
      </c>
      <c r="D132" s="4">
        <v>439.0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81</v>
      </c>
      <c r="B133" s="4" t="s">
        <v>171</v>
      </c>
      <c r="C133" s="4" t="s">
        <v>173</v>
      </c>
      <c r="D133" s="4">
        <v>342.0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81</v>
      </c>
      <c r="B134" s="4" t="s">
        <v>174</v>
      </c>
      <c r="C134" s="4" t="s">
        <v>175</v>
      </c>
      <c r="D134" s="4">
        <v>856.0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81</v>
      </c>
      <c r="B135" s="4" t="s">
        <v>174</v>
      </c>
      <c r="C135" s="4" t="s">
        <v>176</v>
      </c>
      <c r="D135" s="4">
        <v>720.0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81</v>
      </c>
      <c r="B136" s="4" t="s">
        <v>174</v>
      </c>
      <c r="C136" s="4" t="s">
        <v>177</v>
      </c>
      <c r="D136" s="4">
        <v>934.0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81</v>
      </c>
      <c r="B137" s="4" t="s">
        <v>69</v>
      </c>
      <c r="C137" s="4" t="s">
        <v>178</v>
      </c>
      <c r="D137" s="4">
        <v>917.0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81</v>
      </c>
      <c r="B138" s="4" t="s">
        <v>69</v>
      </c>
      <c r="C138" s="4" t="s">
        <v>179</v>
      </c>
      <c r="D138" s="4">
        <v>123.0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81</v>
      </c>
      <c r="B139" s="4" t="s">
        <v>180</v>
      </c>
      <c r="C139" s="4" t="s">
        <v>181</v>
      </c>
      <c r="D139" s="4">
        <v>463.0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81</v>
      </c>
      <c r="B140" s="4" t="s">
        <v>180</v>
      </c>
      <c r="C140" s="4" t="s">
        <v>182</v>
      </c>
      <c r="D140" s="4">
        <v>364.0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81</v>
      </c>
      <c r="B141" s="4" t="s">
        <v>183</v>
      </c>
      <c r="C141" s="4" t="s">
        <v>184</v>
      </c>
      <c r="D141" s="4">
        <v>717.0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81</v>
      </c>
      <c r="B142" s="4" t="s">
        <v>183</v>
      </c>
      <c r="C142" s="4" t="s">
        <v>185</v>
      </c>
      <c r="D142" s="4">
        <v>747.0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81</v>
      </c>
      <c r="B143" s="4" t="s">
        <v>183</v>
      </c>
      <c r="C143" s="4" t="s">
        <v>186</v>
      </c>
      <c r="D143" s="4">
        <v>545.0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81</v>
      </c>
      <c r="B144" s="4" t="s">
        <v>183</v>
      </c>
      <c r="C144" s="4" t="s">
        <v>187</v>
      </c>
      <c r="D144" s="4">
        <v>531.0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81</v>
      </c>
      <c r="B145" s="4" t="s">
        <v>73</v>
      </c>
      <c r="C145" s="4" t="s">
        <v>188</v>
      </c>
      <c r="D145" s="4">
        <v>922.0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81</v>
      </c>
      <c r="B146" s="4" t="s">
        <v>76</v>
      </c>
      <c r="C146" s="4" t="s">
        <v>189</v>
      </c>
      <c r="D146" s="4">
        <v>973.0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81</v>
      </c>
      <c r="B147" s="4" t="s">
        <v>76</v>
      </c>
      <c r="C147" s="4" t="s">
        <v>190</v>
      </c>
      <c r="D147" s="4">
        <v>289.0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81</v>
      </c>
      <c r="B148" s="4" t="s">
        <v>76</v>
      </c>
      <c r="C148" s="4" t="s">
        <v>191</v>
      </c>
      <c r="D148" s="4">
        <v>179.0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81</v>
      </c>
      <c r="B149" s="4" t="s">
        <v>78</v>
      </c>
      <c r="C149" s="4" t="s">
        <v>192</v>
      </c>
      <c r="D149" s="4">
        <v>228.0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81</v>
      </c>
      <c r="B150" s="4" t="s">
        <v>78</v>
      </c>
      <c r="C150" s="4" t="s">
        <v>193</v>
      </c>
      <c r="D150" s="4">
        <v>141.0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81</v>
      </c>
      <c r="B151" s="4" t="s">
        <v>78</v>
      </c>
      <c r="C151" s="4" t="s">
        <v>194</v>
      </c>
      <c r="D151" s="4">
        <v>834.0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81</v>
      </c>
      <c r="B152" s="4" t="s">
        <v>195</v>
      </c>
      <c r="C152" s="4" t="s">
        <v>196</v>
      </c>
      <c r="D152" s="4">
        <v>280.0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81</v>
      </c>
      <c r="B153" s="4" t="s">
        <v>195</v>
      </c>
      <c r="C153" s="4" t="s">
        <v>197</v>
      </c>
      <c r="D153" s="4">
        <v>591.0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81</v>
      </c>
      <c r="B154" s="4" t="s">
        <v>195</v>
      </c>
      <c r="C154" s="4" t="s">
        <v>198</v>
      </c>
      <c r="D154" s="4">
        <v>120.0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81</v>
      </c>
      <c r="B155" s="4" t="s">
        <v>199</v>
      </c>
      <c r="C155" s="4" t="s">
        <v>200</v>
      </c>
      <c r="D155" s="4">
        <v>534.0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81</v>
      </c>
      <c r="B156" s="4" t="s">
        <v>201</v>
      </c>
      <c r="C156" s="4" t="s">
        <v>202</v>
      </c>
      <c r="D156" s="4">
        <v>977.0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81</v>
      </c>
      <c r="B157" s="4" t="s">
        <v>201</v>
      </c>
      <c r="C157" s="4" t="s">
        <v>203</v>
      </c>
      <c r="D157" s="4">
        <v>791.0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81</v>
      </c>
      <c r="B158" s="4" t="s">
        <v>204</v>
      </c>
      <c r="C158" s="4" t="s">
        <v>205</v>
      </c>
      <c r="D158" s="4">
        <v>735.0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81</v>
      </c>
      <c r="B159" s="4" t="s">
        <v>204</v>
      </c>
      <c r="C159" s="4" t="s">
        <v>206</v>
      </c>
      <c r="D159" s="4">
        <v>891.0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207</v>
      </c>
      <c r="B160" s="4" t="s">
        <v>5</v>
      </c>
      <c r="C160" s="4" t="s">
        <v>208</v>
      </c>
      <c r="D160" s="4">
        <v>384.0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207</v>
      </c>
      <c r="B161" s="4" t="s">
        <v>5</v>
      </c>
      <c r="C161" s="4" t="s">
        <v>209</v>
      </c>
      <c r="D161" s="4">
        <v>777.0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207</v>
      </c>
      <c r="B162" s="4" t="s">
        <v>5</v>
      </c>
      <c r="C162" s="4" t="s">
        <v>210</v>
      </c>
      <c r="D162" s="4">
        <v>421.0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207</v>
      </c>
      <c r="B163" s="4" t="s">
        <v>5</v>
      </c>
      <c r="C163" s="4" t="s">
        <v>211</v>
      </c>
      <c r="D163" s="4">
        <v>239.0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207</v>
      </c>
      <c r="B164" s="4" t="s">
        <v>7</v>
      </c>
      <c r="C164" s="4" t="s">
        <v>212</v>
      </c>
      <c r="D164" s="4">
        <v>687.0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207</v>
      </c>
      <c r="B165" s="4" t="s">
        <v>12</v>
      </c>
      <c r="C165" s="4" t="s">
        <v>213</v>
      </c>
      <c r="D165" s="4">
        <v>371.0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207</v>
      </c>
      <c r="B166" s="4" t="s">
        <v>12</v>
      </c>
      <c r="C166" s="4" t="s">
        <v>214</v>
      </c>
      <c r="D166" s="4">
        <v>560.0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207</v>
      </c>
      <c r="B167" s="4" t="s">
        <v>12</v>
      </c>
      <c r="C167" s="4" t="s">
        <v>215</v>
      </c>
      <c r="D167" s="4">
        <v>568.0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207</v>
      </c>
      <c r="B168" s="4" t="s">
        <v>17</v>
      </c>
      <c r="C168" s="4" t="s">
        <v>216</v>
      </c>
      <c r="D168" s="4">
        <v>359.0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207</v>
      </c>
      <c r="B169" s="4" t="s">
        <v>17</v>
      </c>
      <c r="C169" s="4" t="s">
        <v>217</v>
      </c>
      <c r="D169" s="4">
        <v>915.0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207</v>
      </c>
      <c r="B170" s="4" t="s">
        <v>17</v>
      </c>
      <c r="C170" s="4" t="s">
        <v>218</v>
      </c>
      <c r="D170" s="4">
        <v>115.0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207</v>
      </c>
      <c r="B171" s="4" t="s">
        <v>20</v>
      </c>
      <c r="C171" s="4" t="s">
        <v>219</v>
      </c>
      <c r="D171" s="4">
        <v>274.0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207</v>
      </c>
      <c r="B172" s="4" t="s">
        <v>22</v>
      </c>
      <c r="C172" s="4" t="s">
        <v>220</v>
      </c>
      <c r="D172" s="4">
        <v>269.0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207</v>
      </c>
      <c r="B173" s="4" t="s">
        <v>22</v>
      </c>
      <c r="C173" s="4" t="s">
        <v>221</v>
      </c>
      <c r="D173" s="4">
        <v>250.0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207</v>
      </c>
      <c r="B174" s="4" t="s">
        <v>103</v>
      </c>
      <c r="C174" s="4" t="s">
        <v>222</v>
      </c>
      <c r="D174" s="4">
        <v>553.0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207</v>
      </c>
      <c r="B175" s="4" t="s">
        <v>24</v>
      </c>
      <c r="C175" s="4" t="s">
        <v>223</v>
      </c>
      <c r="D175" s="4">
        <v>858.0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207</v>
      </c>
      <c r="B176" s="4" t="s">
        <v>24</v>
      </c>
      <c r="C176" s="4" t="s">
        <v>224</v>
      </c>
      <c r="D176" s="4">
        <v>332.0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207</v>
      </c>
      <c r="B177" s="4" t="s">
        <v>24</v>
      </c>
      <c r="C177" s="4" t="s">
        <v>225</v>
      </c>
      <c r="D177" s="4">
        <v>756.0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207</v>
      </c>
      <c r="B178" s="4" t="s">
        <v>24</v>
      </c>
      <c r="C178" s="4" t="s">
        <v>226</v>
      </c>
      <c r="D178" s="4">
        <v>133.0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207</v>
      </c>
      <c r="B179" s="4" t="s">
        <v>26</v>
      </c>
      <c r="C179" s="4" t="s">
        <v>227</v>
      </c>
      <c r="D179" s="4">
        <v>586.0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207</v>
      </c>
      <c r="B180" s="4" t="s">
        <v>28</v>
      </c>
      <c r="C180" s="4" t="s">
        <v>228</v>
      </c>
      <c r="D180" s="4">
        <v>458.0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207</v>
      </c>
      <c r="B181" s="4" t="s">
        <v>28</v>
      </c>
      <c r="C181" s="4" t="s">
        <v>229</v>
      </c>
      <c r="D181" s="4">
        <v>799.0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207</v>
      </c>
      <c r="B182" s="4" t="s">
        <v>30</v>
      </c>
      <c r="C182" s="4" t="s">
        <v>230</v>
      </c>
      <c r="D182" s="4">
        <v>268.0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207</v>
      </c>
      <c r="B183" s="4" t="s">
        <v>30</v>
      </c>
      <c r="C183" s="4" t="s">
        <v>231</v>
      </c>
      <c r="D183" s="4">
        <v>891.0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207</v>
      </c>
      <c r="B184" s="4" t="s">
        <v>30</v>
      </c>
      <c r="C184" s="4" t="s">
        <v>232</v>
      </c>
      <c r="D184" s="4">
        <v>926.0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207</v>
      </c>
      <c r="B185" s="4" t="s">
        <v>125</v>
      </c>
      <c r="C185" s="4" t="s">
        <v>233</v>
      </c>
      <c r="D185" s="4">
        <v>510.0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207</v>
      </c>
      <c r="B186" s="4" t="s">
        <v>125</v>
      </c>
      <c r="C186" s="4" t="s">
        <v>234</v>
      </c>
      <c r="D186" s="4">
        <v>267.0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207</v>
      </c>
      <c r="B187" s="4" t="s">
        <v>125</v>
      </c>
      <c r="C187" s="4" t="s">
        <v>235</v>
      </c>
      <c r="D187" s="4">
        <v>289.0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207</v>
      </c>
      <c r="B188" s="4" t="s">
        <v>32</v>
      </c>
      <c r="C188" s="4" t="s">
        <v>236</v>
      </c>
      <c r="D188" s="4">
        <v>848.0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207</v>
      </c>
      <c r="B189" s="4" t="s">
        <v>32</v>
      </c>
      <c r="C189" s="4" t="s">
        <v>237</v>
      </c>
      <c r="D189" s="4">
        <v>525.0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207</v>
      </c>
      <c r="B190" s="4" t="s">
        <v>34</v>
      </c>
      <c r="C190" s="4" t="s">
        <v>238</v>
      </c>
      <c r="D190" s="4">
        <v>816.0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207</v>
      </c>
      <c r="B191" s="4" t="s">
        <v>34</v>
      </c>
      <c r="C191" s="4" t="s">
        <v>239</v>
      </c>
      <c r="D191" s="4">
        <v>870.0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207</v>
      </c>
      <c r="B192" s="4" t="s">
        <v>34</v>
      </c>
      <c r="C192" s="4" t="s">
        <v>240</v>
      </c>
      <c r="D192" s="4">
        <v>962.0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207</v>
      </c>
      <c r="B193" s="4" t="s">
        <v>34</v>
      </c>
      <c r="C193" s="4" t="s">
        <v>241</v>
      </c>
      <c r="D193" s="4">
        <v>701.0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207</v>
      </c>
      <c r="B194" s="4" t="s">
        <v>36</v>
      </c>
      <c r="C194" s="4" t="s">
        <v>242</v>
      </c>
      <c r="D194" s="4">
        <v>510.0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207</v>
      </c>
      <c r="B195" s="4" t="s">
        <v>36</v>
      </c>
      <c r="C195" s="4" t="s">
        <v>243</v>
      </c>
      <c r="D195" s="4">
        <v>729.0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207</v>
      </c>
      <c r="B196" s="4" t="s">
        <v>36</v>
      </c>
      <c r="C196" s="4" t="s">
        <v>244</v>
      </c>
      <c r="D196" s="4">
        <v>642.0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207</v>
      </c>
      <c r="B197" s="4" t="s">
        <v>36</v>
      </c>
      <c r="C197" s="4" t="s">
        <v>245</v>
      </c>
      <c r="D197" s="4">
        <v>662.0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207</v>
      </c>
      <c r="B198" s="4" t="s">
        <v>38</v>
      </c>
      <c r="C198" s="4" t="s">
        <v>246</v>
      </c>
      <c r="D198" s="4">
        <v>753.0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207</v>
      </c>
      <c r="B199" s="4" t="s">
        <v>38</v>
      </c>
      <c r="C199" s="4" t="s">
        <v>247</v>
      </c>
      <c r="D199" s="4">
        <v>376.0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207</v>
      </c>
      <c r="B200" s="4" t="s">
        <v>38</v>
      </c>
      <c r="C200" s="4" t="s">
        <v>248</v>
      </c>
      <c r="D200" s="4">
        <v>333.0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207</v>
      </c>
      <c r="B201" s="4" t="s">
        <v>38</v>
      </c>
      <c r="C201" s="4" t="s">
        <v>249</v>
      </c>
      <c r="D201" s="4">
        <v>379.0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207</v>
      </c>
      <c r="B202" s="4" t="s">
        <v>40</v>
      </c>
      <c r="C202" s="4" t="s">
        <v>250</v>
      </c>
      <c r="D202" s="4">
        <v>433.0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207</v>
      </c>
      <c r="B203" s="4" t="s">
        <v>46</v>
      </c>
      <c r="C203" s="4" t="s">
        <v>251</v>
      </c>
      <c r="D203" s="4">
        <v>890.0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207</v>
      </c>
      <c r="B204" s="4" t="s">
        <v>46</v>
      </c>
      <c r="C204" s="4" t="s">
        <v>252</v>
      </c>
      <c r="D204" s="4">
        <v>821.0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207</v>
      </c>
      <c r="B205" s="4" t="s">
        <v>46</v>
      </c>
      <c r="C205" s="4" t="s">
        <v>253</v>
      </c>
      <c r="D205" s="4">
        <v>877.0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207</v>
      </c>
      <c r="B206" s="4" t="s">
        <v>46</v>
      </c>
      <c r="C206" s="4" t="s">
        <v>254</v>
      </c>
      <c r="D206" s="4">
        <v>851.0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207</v>
      </c>
      <c r="B207" s="4" t="s">
        <v>51</v>
      </c>
      <c r="C207" s="4" t="s">
        <v>255</v>
      </c>
      <c r="D207" s="4">
        <v>643.0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207</v>
      </c>
      <c r="B208" s="4" t="s">
        <v>55</v>
      </c>
      <c r="C208" s="4" t="s">
        <v>256</v>
      </c>
      <c r="D208" s="4">
        <v>534.0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207</v>
      </c>
      <c r="B209" s="4" t="s">
        <v>55</v>
      </c>
      <c r="C209" s="4" t="s">
        <v>257</v>
      </c>
      <c r="D209" s="4">
        <v>855.0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207</v>
      </c>
      <c r="B210" s="4" t="s">
        <v>55</v>
      </c>
      <c r="C210" s="4" t="s">
        <v>258</v>
      </c>
      <c r="D210" s="4">
        <v>386.0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207</v>
      </c>
      <c r="B211" s="4" t="s">
        <v>60</v>
      </c>
      <c r="C211" s="4" t="s">
        <v>259</v>
      </c>
      <c r="D211" s="4">
        <v>113.0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207</v>
      </c>
      <c r="B212" s="4" t="s">
        <v>60</v>
      </c>
      <c r="C212" s="4" t="s">
        <v>260</v>
      </c>
      <c r="D212" s="4">
        <v>201.0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207</v>
      </c>
      <c r="B213" s="4" t="s">
        <v>63</v>
      </c>
      <c r="C213" s="4" t="s">
        <v>261</v>
      </c>
      <c r="D213" s="4">
        <v>754.0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207</v>
      </c>
      <c r="B214" s="4" t="s">
        <v>63</v>
      </c>
      <c r="C214" s="4" t="s">
        <v>262</v>
      </c>
      <c r="D214" s="4">
        <v>774.0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207</v>
      </c>
      <c r="B215" s="4" t="s">
        <v>63</v>
      </c>
      <c r="C215" s="4" t="s">
        <v>263</v>
      </c>
      <c r="D215" s="4">
        <v>534.0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207</v>
      </c>
      <c r="B216" s="4" t="s">
        <v>63</v>
      </c>
      <c r="C216" s="4" t="s">
        <v>264</v>
      </c>
      <c r="D216" s="4">
        <v>358.0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207</v>
      </c>
      <c r="B217" s="4" t="s">
        <v>65</v>
      </c>
      <c r="C217" s="4" t="s">
        <v>265</v>
      </c>
      <c r="D217" s="4">
        <v>744.0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207</v>
      </c>
      <c r="B218" s="4" t="s">
        <v>65</v>
      </c>
      <c r="C218" s="4" t="s">
        <v>266</v>
      </c>
      <c r="D218" s="4">
        <v>699.0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207</v>
      </c>
      <c r="B219" s="4" t="s">
        <v>65</v>
      </c>
      <c r="C219" s="4" t="s">
        <v>267</v>
      </c>
      <c r="D219" s="4">
        <v>861.0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207</v>
      </c>
      <c r="B220" s="4" t="s">
        <v>65</v>
      </c>
      <c r="C220" s="4" t="s">
        <v>268</v>
      </c>
      <c r="D220" s="4">
        <v>156.0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207</v>
      </c>
      <c r="B221" s="4" t="s">
        <v>69</v>
      </c>
      <c r="C221" s="4" t="s">
        <v>269</v>
      </c>
      <c r="D221" s="4">
        <v>836.0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207</v>
      </c>
      <c r="B222" s="4" t="s">
        <v>69</v>
      </c>
      <c r="C222" s="4" t="s">
        <v>270</v>
      </c>
      <c r="D222" s="4">
        <v>218.0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207</v>
      </c>
      <c r="B223" s="4" t="s">
        <v>69</v>
      </c>
      <c r="C223" s="4" t="s">
        <v>271</v>
      </c>
      <c r="D223" s="4">
        <v>503.0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207</v>
      </c>
      <c r="B224" s="4" t="s">
        <v>69</v>
      </c>
      <c r="C224" s="4" t="s">
        <v>272</v>
      </c>
      <c r="D224" s="4">
        <v>607.0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207</v>
      </c>
      <c r="B225" s="4" t="s">
        <v>73</v>
      </c>
      <c r="C225" s="4" t="s">
        <v>273</v>
      </c>
      <c r="D225" s="4">
        <v>732.0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207</v>
      </c>
      <c r="B226" s="4" t="s">
        <v>76</v>
      </c>
      <c r="C226" s="4" t="s">
        <v>274</v>
      </c>
      <c r="D226" s="4">
        <v>641.0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207</v>
      </c>
      <c r="B227" s="4" t="s">
        <v>76</v>
      </c>
      <c r="C227" s="4" t="s">
        <v>275</v>
      </c>
      <c r="D227" s="4">
        <v>283.0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207</v>
      </c>
      <c r="B228" s="4" t="s">
        <v>78</v>
      </c>
      <c r="C228" s="4" t="s">
        <v>276</v>
      </c>
      <c r="D228" s="4">
        <v>111.0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207</v>
      </c>
      <c r="B229" s="4" t="s">
        <v>78</v>
      </c>
      <c r="C229" s="4" t="s">
        <v>277</v>
      </c>
      <c r="D229" s="4">
        <v>297.0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207</v>
      </c>
      <c r="B230" s="4" t="s">
        <v>201</v>
      </c>
      <c r="C230" s="4" t="s">
        <v>278</v>
      </c>
      <c r="D230" s="4">
        <v>338.0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207</v>
      </c>
      <c r="B231" s="4" t="s">
        <v>201</v>
      </c>
      <c r="C231" s="4" t="s">
        <v>279</v>
      </c>
      <c r="D231" s="4">
        <v>778.0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207</v>
      </c>
      <c r="B232" s="4" t="s">
        <v>204</v>
      </c>
      <c r="C232" s="4" t="s">
        <v>280</v>
      </c>
      <c r="D232" s="4">
        <v>313.0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207</v>
      </c>
      <c r="B233" s="4" t="s">
        <v>204</v>
      </c>
      <c r="C233" s="4" t="s">
        <v>281</v>
      </c>
      <c r="D233" s="4">
        <v>949.0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282</v>
      </c>
      <c r="B234" s="4" t="s">
        <v>5</v>
      </c>
      <c r="C234" s="4" t="s">
        <v>283</v>
      </c>
      <c r="D234" s="4">
        <v>343.0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282</v>
      </c>
      <c r="B235" s="4" t="s">
        <v>5</v>
      </c>
      <c r="C235" s="4" t="s">
        <v>284</v>
      </c>
      <c r="D235" s="4">
        <v>872.0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282</v>
      </c>
      <c r="B236" s="4" t="s">
        <v>5</v>
      </c>
      <c r="C236" s="4" t="s">
        <v>285</v>
      </c>
      <c r="D236" s="4">
        <v>567.0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282</v>
      </c>
      <c r="B237" s="4" t="s">
        <v>7</v>
      </c>
      <c r="C237" s="4" t="s">
        <v>286</v>
      </c>
      <c r="D237" s="4">
        <v>309.0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282</v>
      </c>
      <c r="B238" s="4" t="s">
        <v>7</v>
      </c>
      <c r="C238" s="4" t="s">
        <v>287</v>
      </c>
      <c r="D238" s="4">
        <v>290.0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282</v>
      </c>
      <c r="B239" s="4" t="s">
        <v>7</v>
      </c>
      <c r="C239" s="4" t="s">
        <v>288</v>
      </c>
      <c r="D239" s="4">
        <v>422.0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282</v>
      </c>
      <c r="B240" s="4" t="s">
        <v>12</v>
      </c>
      <c r="C240" s="4" t="s">
        <v>289</v>
      </c>
      <c r="D240" s="4">
        <v>528.0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282</v>
      </c>
      <c r="B241" s="4" t="s">
        <v>12</v>
      </c>
      <c r="C241" s="4" t="s">
        <v>290</v>
      </c>
      <c r="D241" s="4">
        <v>341.0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282</v>
      </c>
      <c r="B242" s="4" t="s">
        <v>12</v>
      </c>
      <c r="C242" s="4" t="s">
        <v>291</v>
      </c>
      <c r="D242" s="4">
        <v>722.0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282</v>
      </c>
      <c r="B243" s="4" t="s">
        <v>12</v>
      </c>
      <c r="C243" s="4" t="s">
        <v>292</v>
      </c>
      <c r="D243" s="4">
        <v>225.0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282</v>
      </c>
      <c r="B244" s="4" t="s">
        <v>17</v>
      </c>
      <c r="C244" s="4" t="s">
        <v>293</v>
      </c>
      <c r="D244" s="4">
        <v>941.0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282</v>
      </c>
      <c r="B245" s="4" t="s">
        <v>17</v>
      </c>
      <c r="C245" s="4" t="s">
        <v>294</v>
      </c>
      <c r="D245" s="4">
        <v>986.0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282</v>
      </c>
      <c r="B246" s="4" t="s">
        <v>20</v>
      </c>
      <c r="C246" s="4" t="s">
        <v>295</v>
      </c>
      <c r="D246" s="4">
        <v>312.0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282</v>
      </c>
      <c r="B247" s="4" t="s">
        <v>20</v>
      </c>
      <c r="C247" s="4" t="s">
        <v>296</v>
      </c>
      <c r="D247" s="4">
        <v>504.0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282</v>
      </c>
      <c r="B248" s="4" t="s">
        <v>20</v>
      </c>
      <c r="C248" s="4" t="s">
        <v>297</v>
      </c>
      <c r="D248" s="4">
        <v>179.0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282</v>
      </c>
      <c r="B249" s="4" t="s">
        <v>96</v>
      </c>
      <c r="C249" s="4" t="s">
        <v>298</v>
      </c>
      <c r="D249" s="4">
        <v>464.0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282</v>
      </c>
      <c r="B250" s="4" t="s">
        <v>22</v>
      </c>
      <c r="C250" s="4" t="s">
        <v>299</v>
      </c>
      <c r="D250" s="4">
        <v>605.0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282</v>
      </c>
      <c r="B251" s="4" t="s">
        <v>22</v>
      </c>
      <c r="C251" s="4" t="s">
        <v>300</v>
      </c>
      <c r="D251" s="4">
        <v>542.0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282</v>
      </c>
      <c r="B252" s="4" t="s">
        <v>22</v>
      </c>
      <c r="C252" s="4" t="s">
        <v>301</v>
      </c>
      <c r="D252" s="4">
        <v>113.0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282</v>
      </c>
      <c r="B253" s="4" t="s">
        <v>22</v>
      </c>
      <c r="C253" s="4" t="s">
        <v>302</v>
      </c>
      <c r="D253" s="4">
        <v>446.0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282</v>
      </c>
      <c r="B254" s="4" t="s">
        <v>103</v>
      </c>
      <c r="C254" s="4" t="s">
        <v>303</v>
      </c>
      <c r="D254" s="4">
        <v>128.0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282</v>
      </c>
      <c r="B255" s="4" t="s">
        <v>24</v>
      </c>
      <c r="C255" s="4" t="s">
        <v>304</v>
      </c>
      <c r="D255" s="4">
        <v>742.0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282</v>
      </c>
      <c r="B256" s="4" t="s">
        <v>24</v>
      </c>
      <c r="C256" s="4" t="s">
        <v>305</v>
      </c>
      <c r="D256" s="4">
        <v>115.0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282</v>
      </c>
      <c r="B257" s="4" t="s">
        <v>24</v>
      </c>
      <c r="C257" s="4" t="s">
        <v>306</v>
      </c>
      <c r="D257" s="4">
        <v>284.0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282</v>
      </c>
      <c r="B258" s="4" t="s">
        <v>26</v>
      </c>
      <c r="C258" s="4" t="s">
        <v>307</v>
      </c>
      <c r="D258" s="4">
        <v>902.0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282</v>
      </c>
      <c r="B259" s="4" t="s">
        <v>26</v>
      </c>
      <c r="C259" s="4" t="s">
        <v>308</v>
      </c>
      <c r="D259" s="4">
        <v>794.0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282</v>
      </c>
      <c r="B260" s="4" t="s">
        <v>28</v>
      </c>
      <c r="C260" s="4" t="s">
        <v>309</v>
      </c>
      <c r="D260" s="4">
        <v>220.0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282</v>
      </c>
      <c r="B261" s="4" t="s">
        <v>28</v>
      </c>
      <c r="C261" s="4" t="s">
        <v>310</v>
      </c>
      <c r="D261" s="4">
        <v>770.0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282</v>
      </c>
      <c r="B262" s="4" t="s">
        <v>28</v>
      </c>
      <c r="C262" s="4" t="s">
        <v>311</v>
      </c>
      <c r="D262" s="4">
        <v>526.0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282</v>
      </c>
      <c r="B263" s="4" t="s">
        <v>28</v>
      </c>
      <c r="C263" s="4" t="s">
        <v>312</v>
      </c>
      <c r="D263" s="4">
        <v>141.0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282</v>
      </c>
      <c r="B264" s="4" t="s">
        <v>30</v>
      </c>
      <c r="C264" s="4" t="s">
        <v>313</v>
      </c>
      <c r="D264" s="4">
        <v>289.0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282</v>
      </c>
      <c r="B265" s="4" t="s">
        <v>125</v>
      </c>
      <c r="C265" s="4" t="s">
        <v>314</v>
      </c>
      <c r="D265" s="4">
        <v>140.0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282</v>
      </c>
      <c r="B266" s="4" t="s">
        <v>125</v>
      </c>
      <c r="C266" s="4" t="s">
        <v>315</v>
      </c>
      <c r="D266" s="4">
        <v>989.0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282</v>
      </c>
      <c r="B267" s="4" t="s">
        <v>32</v>
      </c>
      <c r="C267" s="4" t="s">
        <v>316</v>
      </c>
      <c r="D267" s="4">
        <v>802.0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282</v>
      </c>
      <c r="B268" s="4" t="s">
        <v>32</v>
      </c>
      <c r="C268" s="4" t="s">
        <v>317</v>
      </c>
      <c r="D268" s="4">
        <v>349.0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282</v>
      </c>
      <c r="B269" s="4" t="s">
        <v>34</v>
      </c>
      <c r="C269" s="4" t="s">
        <v>318</v>
      </c>
      <c r="D269" s="4">
        <v>381.0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282</v>
      </c>
      <c r="B270" s="4" t="s">
        <v>34</v>
      </c>
      <c r="C270" s="4" t="s">
        <v>319</v>
      </c>
      <c r="D270" s="4">
        <v>475.0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282</v>
      </c>
      <c r="B271" s="4" t="s">
        <v>34</v>
      </c>
      <c r="C271" s="4" t="s">
        <v>320</v>
      </c>
      <c r="D271" s="4">
        <v>207.0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282</v>
      </c>
      <c r="B272" s="4" t="s">
        <v>36</v>
      </c>
      <c r="C272" s="4" t="s">
        <v>321</v>
      </c>
      <c r="D272" s="4">
        <v>841.0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282</v>
      </c>
      <c r="B273" s="4" t="s">
        <v>36</v>
      </c>
      <c r="C273" s="4" t="s">
        <v>322</v>
      </c>
      <c r="D273" s="4">
        <v>528.0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282</v>
      </c>
      <c r="B274" s="4" t="s">
        <v>38</v>
      </c>
      <c r="C274" s="4" t="s">
        <v>323</v>
      </c>
      <c r="D274" s="4">
        <v>431.0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282</v>
      </c>
      <c r="B275" s="4" t="s">
        <v>38</v>
      </c>
      <c r="C275" s="4" t="s">
        <v>324</v>
      </c>
      <c r="D275" s="4">
        <v>283.0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282</v>
      </c>
      <c r="B276" s="4" t="s">
        <v>38</v>
      </c>
      <c r="C276" s="4" t="s">
        <v>325</v>
      </c>
      <c r="D276" s="4">
        <v>722.0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282</v>
      </c>
      <c r="B277" s="4" t="s">
        <v>38</v>
      </c>
      <c r="C277" s="4" t="s">
        <v>326</v>
      </c>
      <c r="D277" s="4">
        <v>602.0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282</v>
      </c>
      <c r="B278" s="4" t="s">
        <v>40</v>
      </c>
      <c r="C278" s="4" t="s">
        <v>327</v>
      </c>
      <c r="D278" s="4">
        <v>362.0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282</v>
      </c>
      <c r="B279" s="4" t="s">
        <v>44</v>
      </c>
      <c r="C279" s="4" t="s">
        <v>328</v>
      </c>
      <c r="D279" s="4">
        <v>639.0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282</v>
      </c>
      <c r="B280" s="4" t="s">
        <v>46</v>
      </c>
      <c r="C280" s="4" t="s">
        <v>329</v>
      </c>
      <c r="D280" s="4">
        <v>106.0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282</v>
      </c>
      <c r="B281" s="4" t="s">
        <v>46</v>
      </c>
      <c r="C281" s="4" t="s">
        <v>330</v>
      </c>
      <c r="D281" s="4">
        <v>580.0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282</v>
      </c>
      <c r="B282" s="4" t="s">
        <v>46</v>
      </c>
      <c r="C282" s="4" t="s">
        <v>331</v>
      </c>
      <c r="D282" s="4">
        <v>152.0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282</v>
      </c>
      <c r="B283" s="4" t="s">
        <v>46</v>
      </c>
      <c r="C283" s="4" t="s">
        <v>332</v>
      </c>
      <c r="D283" s="4">
        <v>588.0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282</v>
      </c>
      <c r="B284" s="4" t="s">
        <v>51</v>
      </c>
      <c r="C284" s="4" t="s">
        <v>333</v>
      </c>
      <c r="D284" s="4">
        <v>585.0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282</v>
      </c>
      <c r="B285" s="4" t="s">
        <v>51</v>
      </c>
      <c r="C285" s="4" t="s">
        <v>334</v>
      </c>
      <c r="D285" s="4">
        <v>317.0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282</v>
      </c>
      <c r="B286" s="4" t="s">
        <v>55</v>
      </c>
      <c r="C286" s="4" t="s">
        <v>335</v>
      </c>
      <c r="D286" s="4">
        <v>335.0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282</v>
      </c>
      <c r="B287" s="4" t="s">
        <v>55</v>
      </c>
      <c r="C287" s="4" t="s">
        <v>336</v>
      </c>
      <c r="D287" s="4">
        <v>939.0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282</v>
      </c>
      <c r="B288" s="4" t="s">
        <v>55</v>
      </c>
      <c r="C288" s="4" t="s">
        <v>337</v>
      </c>
      <c r="D288" s="4">
        <v>924.0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282</v>
      </c>
      <c r="B289" s="4" t="s">
        <v>55</v>
      </c>
      <c r="C289" s="4" t="s">
        <v>338</v>
      </c>
      <c r="D289" s="4">
        <v>774.0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282</v>
      </c>
      <c r="B290" s="4" t="s">
        <v>60</v>
      </c>
      <c r="C290" s="4" t="s">
        <v>339</v>
      </c>
      <c r="D290" s="4">
        <v>706.0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282</v>
      </c>
      <c r="B291" s="4" t="s">
        <v>60</v>
      </c>
      <c r="C291" s="4" t="s">
        <v>340</v>
      </c>
      <c r="D291" s="4">
        <v>592.0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282</v>
      </c>
      <c r="B292" s="4" t="s">
        <v>60</v>
      </c>
      <c r="C292" s="4" t="s">
        <v>341</v>
      </c>
      <c r="D292" s="4">
        <v>534.0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282</v>
      </c>
      <c r="B293" s="4" t="s">
        <v>60</v>
      </c>
      <c r="C293" s="4" t="s">
        <v>342</v>
      </c>
      <c r="D293" s="4">
        <v>213.0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282</v>
      </c>
      <c r="B294" s="4" t="s">
        <v>63</v>
      </c>
      <c r="C294" s="4" t="s">
        <v>343</v>
      </c>
      <c r="D294" s="4">
        <v>589.0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282</v>
      </c>
      <c r="B295" s="4" t="s">
        <v>63</v>
      </c>
      <c r="C295" s="4" t="s">
        <v>344</v>
      </c>
      <c r="D295" s="4">
        <v>347.0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282</v>
      </c>
      <c r="B296" s="4" t="s">
        <v>65</v>
      </c>
      <c r="C296" s="4" t="s">
        <v>345</v>
      </c>
      <c r="D296" s="4">
        <v>771.0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282</v>
      </c>
      <c r="B297" s="4" t="s">
        <v>65</v>
      </c>
      <c r="C297" s="4" t="s">
        <v>346</v>
      </c>
      <c r="D297" s="4">
        <v>744.0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282</v>
      </c>
      <c r="B298" s="4" t="s">
        <v>65</v>
      </c>
      <c r="C298" s="4" t="s">
        <v>347</v>
      </c>
      <c r="D298" s="4">
        <v>843.0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282</v>
      </c>
      <c r="B299" s="4" t="s">
        <v>174</v>
      </c>
      <c r="C299" s="4" t="s">
        <v>348</v>
      </c>
      <c r="D299" s="4">
        <v>754.0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282</v>
      </c>
      <c r="B300" s="4" t="s">
        <v>174</v>
      </c>
      <c r="C300" s="4" t="s">
        <v>349</v>
      </c>
      <c r="D300" s="4">
        <v>830.0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282</v>
      </c>
      <c r="B301" s="4" t="s">
        <v>69</v>
      </c>
      <c r="C301" s="4" t="s">
        <v>350</v>
      </c>
      <c r="D301" s="4">
        <v>173.0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282</v>
      </c>
      <c r="B302" s="4" t="s">
        <v>69</v>
      </c>
      <c r="C302" s="4" t="s">
        <v>351</v>
      </c>
      <c r="D302" s="4">
        <v>639.0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282</v>
      </c>
      <c r="B303" s="4" t="s">
        <v>69</v>
      </c>
      <c r="C303" s="4" t="s">
        <v>352</v>
      </c>
      <c r="D303" s="4">
        <v>591.0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282</v>
      </c>
      <c r="B304" s="4" t="s">
        <v>73</v>
      </c>
      <c r="C304" s="4" t="s">
        <v>353</v>
      </c>
      <c r="D304" s="4">
        <v>986.0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282</v>
      </c>
      <c r="B305" s="4" t="s">
        <v>73</v>
      </c>
      <c r="C305" s="4" t="s">
        <v>354</v>
      </c>
      <c r="D305" s="4">
        <v>983.0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282</v>
      </c>
      <c r="B306" s="4" t="s">
        <v>73</v>
      </c>
      <c r="C306" s="4" t="s">
        <v>355</v>
      </c>
      <c r="D306" s="4">
        <v>560.0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282</v>
      </c>
      <c r="B307" s="4" t="s">
        <v>73</v>
      </c>
      <c r="C307" s="4" t="s">
        <v>356</v>
      </c>
      <c r="D307" s="4">
        <v>726.0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282</v>
      </c>
      <c r="B308" s="4" t="s">
        <v>76</v>
      </c>
      <c r="C308" s="4" t="s">
        <v>357</v>
      </c>
      <c r="D308" s="4">
        <v>436.0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282</v>
      </c>
      <c r="B309" s="4" t="s">
        <v>76</v>
      </c>
      <c r="C309" s="4" t="s">
        <v>358</v>
      </c>
      <c r="D309" s="4">
        <v>423.0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282</v>
      </c>
      <c r="B310" s="4" t="s">
        <v>76</v>
      </c>
      <c r="C310" s="4" t="s">
        <v>359</v>
      </c>
      <c r="D310" s="4">
        <v>705.0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282</v>
      </c>
      <c r="B311" s="4" t="s">
        <v>76</v>
      </c>
      <c r="C311" s="4" t="s">
        <v>360</v>
      </c>
      <c r="D311" s="4">
        <v>716.0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282</v>
      </c>
      <c r="B312" s="4" t="s">
        <v>78</v>
      </c>
      <c r="C312" s="4" t="s">
        <v>361</v>
      </c>
      <c r="D312" s="4">
        <v>127.0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282</v>
      </c>
      <c r="B313" s="4" t="s">
        <v>78</v>
      </c>
      <c r="C313" s="4" t="s">
        <v>362</v>
      </c>
      <c r="D313" s="4">
        <v>897.0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282</v>
      </c>
      <c r="B314" s="4" t="s">
        <v>78</v>
      </c>
      <c r="C314" s="4" t="s">
        <v>363</v>
      </c>
      <c r="D314" s="4">
        <v>837.0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282</v>
      </c>
      <c r="B315" s="4" t="s">
        <v>78</v>
      </c>
      <c r="C315" s="4" t="s">
        <v>364</v>
      </c>
      <c r="D315" s="4">
        <v>815.0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282</v>
      </c>
      <c r="B316" s="4" t="s">
        <v>201</v>
      </c>
      <c r="C316" s="4" t="s">
        <v>365</v>
      </c>
      <c r="D316" s="4">
        <v>350.0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282</v>
      </c>
      <c r="B317" s="4" t="s">
        <v>201</v>
      </c>
      <c r="C317" s="4" t="s">
        <v>366</v>
      </c>
      <c r="D317" s="4">
        <v>904.0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282</v>
      </c>
      <c r="B318" s="4" t="s">
        <v>204</v>
      </c>
      <c r="C318" s="4" t="s">
        <v>367</v>
      </c>
      <c r="D318" s="4">
        <v>638.0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282</v>
      </c>
      <c r="B319" s="4" t="s">
        <v>204</v>
      </c>
      <c r="C319" s="4" t="s">
        <v>368</v>
      </c>
      <c r="D319" s="4">
        <v>740.0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282</v>
      </c>
      <c r="B320" s="4" t="s">
        <v>204</v>
      </c>
      <c r="C320" s="4" t="s">
        <v>369</v>
      </c>
      <c r="D320" s="4">
        <v>766.0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370</v>
      </c>
      <c r="B321" s="4" t="s">
        <v>5</v>
      </c>
      <c r="C321" s="4" t="s">
        <v>371</v>
      </c>
      <c r="D321" s="4">
        <v>359.0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370</v>
      </c>
      <c r="B322" s="4" t="s">
        <v>5</v>
      </c>
      <c r="C322" s="4" t="s">
        <v>372</v>
      </c>
      <c r="D322" s="4">
        <v>903.0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370</v>
      </c>
      <c r="B323" s="4" t="s">
        <v>5</v>
      </c>
      <c r="C323" s="4" t="s">
        <v>373</v>
      </c>
      <c r="D323" s="4">
        <v>519.0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370</v>
      </c>
      <c r="B324" s="4" t="s">
        <v>5</v>
      </c>
      <c r="C324" s="4" t="s">
        <v>374</v>
      </c>
      <c r="D324" s="4">
        <v>759.0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370</v>
      </c>
      <c r="B325" s="4" t="s">
        <v>7</v>
      </c>
      <c r="C325" s="4" t="s">
        <v>375</v>
      </c>
      <c r="D325" s="4">
        <v>394.0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370</v>
      </c>
      <c r="B326" s="4" t="s">
        <v>7</v>
      </c>
      <c r="C326" s="4" t="s">
        <v>376</v>
      </c>
      <c r="D326" s="4">
        <v>741.0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370</v>
      </c>
      <c r="B327" s="4" t="s">
        <v>7</v>
      </c>
      <c r="C327" s="4" t="s">
        <v>377</v>
      </c>
      <c r="D327" s="4">
        <v>716.0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370</v>
      </c>
      <c r="B328" s="4" t="s">
        <v>12</v>
      </c>
      <c r="C328" s="4" t="s">
        <v>378</v>
      </c>
      <c r="D328" s="4">
        <v>717.0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370</v>
      </c>
      <c r="B329" s="4" t="s">
        <v>12</v>
      </c>
      <c r="C329" s="4" t="s">
        <v>379</v>
      </c>
      <c r="D329" s="4">
        <v>467.0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370</v>
      </c>
      <c r="B330" s="4" t="s">
        <v>17</v>
      </c>
      <c r="C330" s="4" t="s">
        <v>380</v>
      </c>
      <c r="D330" s="4">
        <v>680.0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370</v>
      </c>
      <c r="B331" s="4" t="s">
        <v>17</v>
      </c>
      <c r="C331" s="4" t="s">
        <v>381</v>
      </c>
      <c r="D331" s="4">
        <v>336.0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370</v>
      </c>
      <c r="B332" s="4" t="s">
        <v>17</v>
      </c>
      <c r="C332" s="4" t="s">
        <v>382</v>
      </c>
      <c r="D332" s="4">
        <v>428.0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370</v>
      </c>
      <c r="B333" s="4" t="s">
        <v>17</v>
      </c>
      <c r="C333" s="4" t="s">
        <v>383</v>
      </c>
      <c r="D333" s="4">
        <v>166.0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370</v>
      </c>
      <c r="B334" s="4" t="s">
        <v>20</v>
      </c>
      <c r="C334" s="4" t="s">
        <v>384</v>
      </c>
      <c r="D334" s="4">
        <v>333.0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370</v>
      </c>
      <c r="B335" s="4" t="s">
        <v>96</v>
      </c>
      <c r="C335" s="4" t="s">
        <v>385</v>
      </c>
      <c r="D335" s="4">
        <v>750.0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370</v>
      </c>
      <c r="B336" s="4" t="s">
        <v>96</v>
      </c>
      <c r="C336" s="4" t="s">
        <v>386</v>
      </c>
      <c r="D336" s="4">
        <v>404.0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370</v>
      </c>
      <c r="B337" s="4" t="s">
        <v>96</v>
      </c>
      <c r="C337" s="4" t="s">
        <v>387</v>
      </c>
      <c r="D337" s="4">
        <v>463.0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370</v>
      </c>
      <c r="B338" s="4" t="s">
        <v>22</v>
      </c>
      <c r="C338" s="4" t="s">
        <v>388</v>
      </c>
      <c r="D338" s="4">
        <v>197.0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370</v>
      </c>
      <c r="B339" s="4" t="s">
        <v>103</v>
      </c>
      <c r="C339" s="4" t="s">
        <v>389</v>
      </c>
      <c r="D339" s="4">
        <v>968.0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370</v>
      </c>
      <c r="B340" s="4" t="s">
        <v>103</v>
      </c>
      <c r="C340" s="4" t="s">
        <v>390</v>
      </c>
      <c r="D340" s="4">
        <v>575.0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370</v>
      </c>
      <c r="B341" s="4" t="s">
        <v>24</v>
      </c>
      <c r="C341" s="4" t="s">
        <v>391</v>
      </c>
      <c r="D341" s="4">
        <v>712.0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370</v>
      </c>
      <c r="B342" s="4" t="s">
        <v>24</v>
      </c>
      <c r="C342" s="4" t="s">
        <v>392</v>
      </c>
      <c r="D342" s="4">
        <v>512.0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370</v>
      </c>
      <c r="B343" s="4" t="s">
        <v>26</v>
      </c>
      <c r="C343" s="4" t="s">
        <v>393</v>
      </c>
      <c r="D343" s="4">
        <v>422.0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370</v>
      </c>
      <c r="B344" s="4" t="s">
        <v>26</v>
      </c>
      <c r="C344" s="4" t="s">
        <v>394</v>
      </c>
      <c r="D344" s="4">
        <v>685.0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370</v>
      </c>
      <c r="B345" s="4" t="s">
        <v>26</v>
      </c>
      <c r="C345" s="4" t="s">
        <v>395</v>
      </c>
      <c r="D345" s="4">
        <v>707.0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370</v>
      </c>
      <c r="B346" s="4" t="s">
        <v>28</v>
      </c>
      <c r="C346" s="4" t="s">
        <v>396</v>
      </c>
      <c r="D346" s="4">
        <v>113.0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370</v>
      </c>
      <c r="B347" s="4" t="s">
        <v>30</v>
      </c>
      <c r="C347" s="4" t="s">
        <v>397</v>
      </c>
      <c r="D347" s="4">
        <v>277.0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370</v>
      </c>
      <c r="B348" s="4" t="s">
        <v>30</v>
      </c>
      <c r="C348" s="4" t="s">
        <v>398</v>
      </c>
      <c r="D348" s="4">
        <v>125.0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370</v>
      </c>
      <c r="B349" s="4" t="s">
        <v>30</v>
      </c>
      <c r="C349" s="4" t="s">
        <v>399</v>
      </c>
      <c r="D349" s="4">
        <v>352.0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370</v>
      </c>
      <c r="B350" s="4" t="s">
        <v>125</v>
      </c>
      <c r="C350" s="4" t="s">
        <v>400</v>
      </c>
      <c r="D350" s="4">
        <v>298.0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370</v>
      </c>
      <c r="B351" s="4" t="s">
        <v>125</v>
      </c>
      <c r="C351" s="4" t="s">
        <v>401</v>
      </c>
      <c r="D351" s="4">
        <v>422.0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370</v>
      </c>
      <c r="B352" s="4" t="s">
        <v>125</v>
      </c>
      <c r="C352" s="4" t="s">
        <v>402</v>
      </c>
      <c r="D352" s="4">
        <v>510.0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370</v>
      </c>
      <c r="B353" s="4" t="s">
        <v>32</v>
      </c>
      <c r="C353" s="4" t="s">
        <v>403</v>
      </c>
      <c r="D353" s="4">
        <v>251.0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370</v>
      </c>
      <c r="B354" s="4" t="s">
        <v>32</v>
      </c>
      <c r="C354" s="4" t="s">
        <v>404</v>
      </c>
      <c r="D354" s="4">
        <v>874.0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370</v>
      </c>
      <c r="B355" s="4" t="s">
        <v>34</v>
      </c>
      <c r="C355" s="4" t="s">
        <v>405</v>
      </c>
      <c r="D355" s="4">
        <v>898.0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370</v>
      </c>
      <c r="B356" s="4" t="s">
        <v>36</v>
      </c>
      <c r="C356" s="4" t="s">
        <v>406</v>
      </c>
      <c r="D356" s="4">
        <v>993.0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370</v>
      </c>
      <c r="B357" s="4" t="s">
        <v>38</v>
      </c>
      <c r="C357" s="4" t="s">
        <v>407</v>
      </c>
      <c r="D357" s="4">
        <v>556.0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370</v>
      </c>
      <c r="B358" s="4" t="s">
        <v>38</v>
      </c>
      <c r="C358" s="4" t="s">
        <v>408</v>
      </c>
      <c r="D358" s="4">
        <v>391.0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370</v>
      </c>
      <c r="B359" s="4" t="s">
        <v>38</v>
      </c>
      <c r="C359" s="4" t="s">
        <v>409</v>
      </c>
      <c r="D359" s="4">
        <v>311.0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370</v>
      </c>
      <c r="B360" s="4" t="s">
        <v>145</v>
      </c>
      <c r="C360" s="4" t="s">
        <v>410</v>
      </c>
      <c r="D360" s="4">
        <v>240.0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370</v>
      </c>
      <c r="B361" s="4" t="s">
        <v>40</v>
      </c>
      <c r="C361" s="4" t="s">
        <v>411</v>
      </c>
      <c r="D361" s="4">
        <v>667.0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370</v>
      </c>
      <c r="B362" s="4" t="s">
        <v>40</v>
      </c>
      <c r="C362" s="4" t="s">
        <v>412</v>
      </c>
      <c r="D362" s="4">
        <v>392.0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370</v>
      </c>
      <c r="B363" s="4" t="s">
        <v>40</v>
      </c>
      <c r="C363" s="4" t="s">
        <v>413</v>
      </c>
      <c r="D363" s="4">
        <v>195.0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370</v>
      </c>
      <c r="B364" s="4" t="s">
        <v>40</v>
      </c>
      <c r="C364" s="4" t="s">
        <v>414</v>
      </c>
      <c r="D364" s="4">
        <v>251.0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370</v>
      </c>
      <c r="B365" s="4" t="s">
        <v>44</v>
      </c>
      <c r="C365" s="4" t="s">
        <v>415</v>
      </c>
      <c r="D365" s="4">
        <v>533.0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370</v>
      </c>
      <c r="B366" s="4" t="s">
        <v>46</v>
      </c>
      <c r="C366" s="4" t="s">
        <v>416</v>
      </c>
      <c r="D366" s="4">
        <v>573.0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370</v>
      </c>
      <c r="B367" s="4" t="s">
        <v>46</v>
      </c>
      <c r="C367" s="4" t="s">
        <v>417</v>
      </c>
      <c r="D367" s="4">
        <v>369.0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370</v>
      </c>
      <c r="B368" s="4" t="s">
        <v>46</v>
      </c>
      <c r="C368" s="4" t="s">
        <v>418</v>
      </c>
      <c r="D368" s="4">
        <v>852.0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370</v>
      </c>
      <c r="B369" s="4" t="s">
        <v>51</v>
      </c>
      <c r="C369" s="4" t="s">
        <v>419</v>
      </c>
      <c r="D369" s="4">
        <v>997.0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370</v>
      </c>
      <c r="B370" s="4" t="s">
        <v>51</v>
      </c>
      <c r="C370" s="4" t="s">
        <v>420</v>
      </c>
      <c r="D370" s="4">
        <v>481.0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370</v>
      </c>
      <c r="B371" s="4" t="s">
        <v>157</v>
      </c>
      <c r="C371" s="4" t="s">
        <v>421</v>
      </c>
      <c r="D371" s="4">
        <v>896.0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370</v>
      </c>
      <c r="B372" s="4" t="s">
        <v>55</v>
      </c>
      <c r="C372" s="4" t="s">
        <v>422</v>
      </c>
      <c r="D372" s="4">
        <v>898.0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370</v>
      </c>
      <c r="B373" s="4" t="s">
        <v>60</v>
      </c>
      <c r="C373" s="4" t="s">
        <v>423</v>
      </c>
      <c r="D373" s="4">
        <v>137.0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370</v>
      </c>
      <c r="B374" s="4" t="s">
        <v>63</v>
      </c>
      <c r="C374" s="4" t="s">
        <v>424</v>
      </c>
      <c r="D374" s="4">
        <v>426.0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370</v>
      </c>
      <c r="B375" s="4" t="s">
        <v>63</v>
      </c>
      <c r="C375" s="4" t="s">
        <v>425</v>
      </c>
      <c r="D375" s="4">
        <v>107.0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370</v>
      </c>
      <c r="B376" s="4" t="s">
        <v>65</v>
      </c>
      <c r="C376" s="4" t="s">
        <v>426</v>
      </c>
      <c r="D376" s="4">
        <v>421.0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370</v>
      </c>
      <c r="B377" s="4" t="s">
        <v>65</v>
      </c>
      <c r="C377" s="4" t="s">
        <v>427</v>
      </c>
      <c r="D377" s="4">
        <v>427.0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370</v>
      </c>
      <c r="B378" s="4" t="s">
        <v>65</v>
      </c>
      <c r="C378" s="4" t="s">
        <v>428</v>
      </c>
      <c r="D378" s="4">
        <v>367.0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370</v>
      </c>
      <c r="B379" s="4" t="s">
        <v>65</v>
      </c>
      <c r="C379" s="4" t="s">
        <v>429</v>
      </c>
      <c r="D379" s="4">
        <v>792.0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370</v>
      </c>
      <c r="B380" s="4" t="s">
        <v>171</v>
      </c>
      <c r="C380" s="4" t="s">
        <v>430</v>
      </c>
      <c r="D380" s="4">
        <v>976.0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370</v>
      </c>
      <c r="B381" s="4" t="s">
        <v>171</v>
      </c>
      <c r="C381" s="4" t="s">
        <v>431</v>
      </c>
      <c r="D381" s="4">
        <v>212.0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370</v>
      </c>
      <c r="B382" s="4" t="s">
        <v>171</v>
      </c>
      <c r="C382" s="4" t="s">
        <v>432</v>
      </c>
      <c r="D382" s="4">
        <v>283.0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370</v>
      </c>
      <c r="B383" s="4" t="s">
        <v>171</v>
      </c>
      <c r="C383" s="4" t="s">
        <v>433</v>
      </c>
      <c r="D383" s="4">
        <v>543.0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370</v>
      </c>
      <c r="B384" s="4" t="s">
        <v>174</v>
      </c>
      <c r="C384" s="4" t="s">
        <v>434</v>
      </c>
      <c r="D384" s="4">
        <v>925.0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370</v>
      </c>
      <c r="B385" s="4" t="s">
        <v>174</v>
      </c>
      <c r="C385" s="4" t="s">
        <v>435</v>
      </c>
      <c r="D385" s="4">
        <v>580.0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370</v>
      </c>
      <c r="B386" s="4" t="s">
        <v>174</v>
      </c>
      <c r="C386" s="4" t="s">
        <v>436</v>
      </c>
      <c r="D386" s="4">
        <v>445.0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370</v>
      </c>
      <c r="B387" s="4" t="s">
        <v>174</v>
      </c>
      <c r="C387" s="4" t="s">
        <v>437</v>
      </c>
      <c r="D387" s="4">
        <v>139.0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370</v>
      </c>
      <c r="B388" s="4" t="s">
        <v>69</v>
      </c>
      <c r="C388" s="4" t="s">
        <v>438</v>
      </c>
      <c r="D388" s="4">
        <v>491.0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370</v>
      </c>
      <c r="B389" s="4" t="s">
        <v>69</v>
      </c>
      <c r="C389" s="4" t="s">
        <v>439</v>
      </c>
      <c r="D389" s="4">
        <v>978.0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370</v>
      </c>
      <c r="B390" s="4" t="s">
        <v>69</v>
      </c>
      <c r="C390" s="4" t="s">
        <v>440</v>
      </c>
      <c r="D390" s="4">
        <v>679.0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370</v>
      </c>
      <c r="B391" s="4" t="s">
        <v>183</v>
      </c>
      <c r="C391" s="4" t="s">
        <v>441</v>
      </c>
      <c r="D391" s="4">
        <v>909.0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370</v>
      </c>
      <c r="B392" s="4" t="s">
        <v>183</v>
      </c>
      <c r="C392" s="4" t="s">
        <v>442</v>
      </c>
      <c r="D392" s="4">
        <v>880.0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370</v>
      </c>
      <c r="B393" s="4" t="s">
        <v>73</v>
      </c>
      <c r="C393" s="4" t="s">
        <v>443</v>
      </c>
      <c r="D393" s="4">
        <v>637.0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370</v>
      </c>
      <c r="B394" s="4" t="s">
        <v>73</v>
      </c>
      <c r="C394" s="4" t="s">
        <v>444</v>
      </c>
      <c r="D394" s="4">
        <v>413.0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370</v>
      </c>
      <c r="B395" s="4" t="s">
        <v>73</v>
      </c>
      <c r="C395" s="4" t="s">
        <v>445</v>
      </c>
      <c r="D395" s="4">
        <v>934.0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370</v>
      </c>
      <c r="B396" s="4" t="s">
        <v>76</v>
      </c>
      <c r="C396" s="4" t="s">
        <v>446</v>
      </c>
      <c r="D396" s="4">
        <v>412.0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370</v>
      </c>
      <c r="B397" s="4" t="s">
        <v>76</v>
      </c>
      <c r="C397" s="4" t="s">
        <v>447</v>
      </c>
      <c r="D397" s="4">
        <v>413.0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370</v>
      </c>
      <c r="B398" s="4" t="s">
        <v>78</v>
      </c>
      <c r="C398" s="4" t="s">
        <v>448</v>
      </c>
      <c r="D398" s="4">
        <v>820.0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370</v>
      </c>
      <c r="B399" s="4" t="s">
        <v>78</v>
      </c>
      <c r="C399" s="4" t="s">
        <v>449</v>
      </c>
      <c r="D399" s="4">
        <v>387.0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370</v>
      </c>
      <c r="B400" s="4" t="s">
        <v>195</v>
      </c>
      <c r="C400" s="4" t="s">
        <v>450</v>
      </c>
      <c r="D400" s="4">
        <v>743.0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370</v>
      </c>
      <c r="B401" s="4" t="s">
        <v>199</v>
      </c>
      <c r="C401" s="4" t="s">
        <v>451</v>
      </c>
      <c r="D401" s="4">
        <v>203.0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370</v>
      </c>
      <c r="B402" s="4" t="s">
        <v>199</v>
      </c>
      <c r="C402" s="4" t="s">
        <v>452</v>
      </c>
      <c r="D402" s="4">
        <v>486.0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370</v>
      </c>
      <c r="B403" s="4" t="s">
        <v>199</v>
      </c>
      <c r="C403" s="4" t="s">
        <v>453</v>
      </c>
      <c r="D403" s="4">
        <v>544.0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370</v>
      </c>
      <c r="B404" s="4" t="s">
        <v>201</v>
      </c>
      <c r="C404" s="4" t="s">
        <v>454</v>
      </c>
      <c r="D404" s="4">
        <v>895.0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370</v>
      </c>
      <c r="B405" s="4" t="s">
        <v>201</v>
      </c>
      <c r="C405" s="4" t="s">
        <v>455</v>
      </c>
      <c r="D405" s="4">
        <v>193.0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370</v>
      </c>
      <c r="B406" s="4" t="s">
        <v>201</v>
      </c>
      <c r="C406" s="4" t="s">
        <v>456</v>
      </c>
      <c r="D406" s="4">
        <v>673.0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370</v>
      </c>
      <c r="B407" s="4" t="s">
        <v>204</v>
      </c>
      <c r="C407" s="4" t="s">
        <v>457</v>
      </c>
      <c r="D407" s="4">
        <v>369.0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370</v>
      </c>
      <c r="B408" s="4" t="s">
        <v>204</v>
      </c>
      <c r="C408" s="4" t="s">
        <v>458</v>
      </c>
      <c r="D408" s="4">
        <v>631.0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370</v>
      </c>
      <c r="B409" s="4" t="s">
        <v>204</v>
      </c>
      <c r="C409" s="4" t="s">
        <v>459</v>
      </c>
      <c r="D409" s="4">
        <v>464.0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460</v>
      </c>
      <c r="B410" s="4" t="s">
        <v>5</v>
      </c>
      <c r="C410" s="4" t="s">
        <v>461</v>
      </c>
      <c r="D410" s="4">
        <v>820.0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460</v>
      </c>
      <c r="B411" s="4" t="s">
        <v>5</v>
      </c>
      <c r="C411" s="4" t="s">
        <v>462</v>
      </c>
      <c r="D411" s="4">
        <v>415.0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460</v>
      </c>
      <c r="B412" s="4" t="s">
        <v>5</v>
      </c>
      <c r="C412" s="4" t="s">
        <v>463</v>
      </c>
      <c r="D412" s="4">
        <v>350.0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460</v>
      </c>
      <c r="B413" s="4" t="s">
        <v>7</v>
      </c>
      <c r="C413" s="4" t="s">
        <v>464</v>
      </c>
      <c r="D413" s="4">
        <v>688.0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460</v>
      </c>
      <c r="B414" s="4" t="s">
        <v>12</v>
      </c>
      <c r="C414" s="4" t="s">
        <v>465</v>
      </c>
      <c r="D414" s="4">
        <v>289.0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460</v>
      </c>
      <c r="B415" s="4" t="s">
        <v>17</v>
      </c>
      <c r="C415" s="4" t="s">
        <v>466</v>
      </c>
      <c r="D415" s="4">
        <v>477.0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460</v>
      </c>
      <c r="B416" s="4" t="s">
        <v>17</v>
      </c>
      <c r="C416" s="4" t="s">
        <v>467</v>
      </c>
      <c r="D416" s="4">
        <v>912.0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460</v>
      </c>
      <c r="B417" s="4" t="s">
        <v>20</v>
      </c>
      <c r="C417" s="4" t="s">
        <v>468</v>
      </c>
      <c r="D417" s="4">
        <v>247.0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460</v>
      </c>
      <c r="B418" s="4" t="s">
        <v>20</v>
      </c>
      <c r="C418" s="4" t="s">
        <v>469</v>
      </c>
      <c r="D418" s="4">
        <v>180.0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460</v>
      </c>
      <c r="B419" s="4" t="s">
        <v>20</v>
      </c>
      <c r="C419" s="4" t="s">
        <v>470</v>
      </c>
      <c r="D419" s="4">
        <v>486.0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460</v>
      </c>
      <c r="B420" s="4" t="s">
        <v>20</v>
      </c>
      <c r="C420" s="4" t="s">
        <v>471</v>
      </c>
      <c r="D420" s="4">
        <v>133.0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460</v>
      </c>
      <c r="B421" s="4" t="s">
        <v>94</v>
      </c>
      <c r="C421" s="4" t="s">
        <v>472</v>
      </c>
      <c r="D421" s="4">
        <v>172.0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460</v>
      </c>
      <c r="B422" s="4" t="s">
        <v>94</v>
      </c>
      <c r="C422" s="4" t="s">
        <v>473</v>
      </c>
      <c r="D422" s="4">
        <v>343.0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460</v>
      </c>
      <c r="B423" s="4" t="s">
        <v>94</v>
      </c>
      <c r="C423" s="4" t="s">
        <v>474</v>
      </c>
      <c r="D423" s="4">
        <v>307.0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460</v>
      </c>
      <c r="B424" s="4" t="s">
        <v>94</v>
      </c>
      <c r="C424" s="4" t="s">
        <v>475</v>
      </c>
      <c r="D424" s="4">
        <v>889.0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460</v>
      </c>
      <c r="B425" s="4" t="s">
        <v>476</v>
      </c>
      <c r="C425" s="4" t="s">
        <v>477</v>
      </c>
      <c r="D425" s="4">
        <v>773.0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460</v>
      </c>
      <c r="B426" s="4" t="s">
        <v>476</v>
      </c>
      <c r="C426" s="4" t="s">
        <v>478</v>
      </c>
      <c r="D426" s="4">
        <v>542.0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460</v>
      </c>
      <c r="B427" s="4" t="s">
        <v>476</v>
      </c>
      <c r="C427" s="4" t="s">
        <v>479</v>
      </c>
      <c r="D427" s="4">
        <v>622.0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460</v>
      </c>
      <c r="B428" s="4" t="s">
        <v>96</v>
      </c>
      <c r="C428" s="4" t="s">
        <v>480</v>
      </c>
      <c r="D428" s="4">
        <v>605.0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460</v>
      </c>
      <c r="B429" s="4" t="s">
        <v>96</v>
      </c>
      <c r="C429" s="4" t="s">
        <v>481</v>
      </c>
      <c r="D429" s="4">
        <v>314.0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460</v>
      </c>
      <c r="B430" s="4" t="s">
        <v>96</v>
      </c>
      <c r="C430" s="4" t="s">
        <v>482</v>
      </c>
      <c r="D430" s="4">
        <v>557.0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460</v>
      </c>
      <c r="B431" s="4" t="s">
        <v>96</v>
      </c>
      <c r="C431" s="4" t="s">
        <v>483</v>
      </c>
      <c r="D431" s="4">
        <v>690.0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460</v>
      </c>
      <c r="B432" s="4" t="s">
        <v>22</v>
      </c>
      <c r="C432" s="4" t="s">
        <v>484</v>
      </c>
      <c r="D432" s="4">
        <v>177.0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460</v>
      </c>
      <c r="B433" s="4" t="s">
        <v>22</v>
      </c>
      <c r="C433" s="4" t="s">
        <v>485</v>
      </c>
      <c r="D433" s="4">
        <v>910.0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460</v>
      </c>
      <c r="B434" s="4" t="s">
        <v>22</v>
      </c>
      <c r="C434" s="4" t="s">
        <v>486</v>
      </c>
      <c r="D434" s="4">
        <v>123.0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460</v>
      </c>
      <c r="B435" s="4" t="s">
        <v>22</v>
      </c>
      <c r="C435" s="4" t="s">
        <v>487</v>
      </c>
      <c r="D435" s="4">
        <v>812.0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460</v>
      </c>
      <c r="B436" s="4" t="s">
        <v>103</v>
      </c>
      <c r="C436" s="4" t="s">
        <v>488</v>
      </c>
      <c r="D436" s="4">
        <v>408.0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460</v>
      </c>
      <c r="B437" s="4" t="s">
        <v>103</v>
      </c>
      <c r="C437" s="4" t="s">
        <v>489</v>
      </c>
      <c r="D437" s="4">
        <v>375.0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460</v>
      </c>
      <c r="B438" s="4" t="s">
        <v>103</v>
      </c>
      <c r="C438" s="4" t="s">
        <v>490</v>
      </c>
      <c r="D438" s="4">
        <v>271.0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460</v>
      </c>
      <c r="B439" s="4" t="s">
        <v>103</v>
      </c>
      <c r="C439" s="4" t="s">
        <v>491</v>
      </c>
      <c r="D439" s="4">
        <v>662.0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460</v>
      </c>
      <c r="B440" s="4" t="s">
        <v>103</v>
      </c>
      <c r="C440" s="4" t="s">
        <v>492</v>
      </c>
      <c r="D440" s="4">
        <v>195.0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460</v>
      </c>
      <c r="B441" s="4" t="s">
        <v>106</v>
      </c>
      <c r="C441" s="4" t="s">
        <v>493</v>
      </c>
      <c r="D441" s="4">
        <v>484.0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460</v>
      </c>
      <c r="B442" s="4" t="s">
        <v>106</v>
      </c>
      <c r="C442" s="4" t="s">
        <v>494</v>
      </c>
      <c r="D442" s="4">
        <v>233.0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460</v>
      </c>
      <c r="B443" s="4" t="s">
        <v>106</v>
      </c>
      <c r="C443" s="4" t="s">
        <v>495</v>
      </c>
      <c r="D443" s="4">
        <v>613.0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460</v>
      </c>
      <c r="B444" s="4" t="s">
        <v>24</v>
      </c>
      <c r="C444" s="4" t="s">
        <v>496</v>
      </c>
      <c r="D444" s="4">
        <v>807.0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460</v>
      </c>
      <c r="B445" s="4" t="s">
        <v>24</v>
      </c>
      <c r="C445" s="4" t="s">
        <v>497</v>
      </c>
      <c r="D445" s="4">
        <v>482.0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460</v>
      </c>
      <c r="B446" s="4" t="s">
        <v>498</v>
      </c>
      <c r="C446" s="4" t="s">
        <v>499</v>
      </c>
      <c r="D446" s="4">
        <v>882.0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460</v>
      </c>
      <c r="B447" s="4" t="s">
        <v>26</v>
      </c>
      <c r="C447" s="4" t="s">
        <v>500</v>
      </c>
      <c r="D447" s="4">
        <v>439.0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460</v>
      </c>
      <c r="B448" s="4" t="s">
        <v>26</v>
      </c>
      <c r="C448" s="4" t="s">
        <v>501</v>
      </c>
      <c r="D448" s="4">
        <v>964.0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460</v>
      </c>
      <c r="B449" s="4" t="s">
        <v>26</v>
      </c>
      <c r="C449" s="4" t="s">
        <v>502</v>
      </c>
      <c r="D449" s="4">
        <v>665.0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460</v>
      </c>
      <c r="B450" s="4" t="s">
        <v>26</v>
      </c>
      <c r="C450" s="4" t="s">
        <v>503</v>
      </c>
      <c r="D450" s="4">
        <v>706.0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460</v>
      </c>
      <c r="B451" s="4" t="s">
        <v>115</v>
      </c>
      <c r="C451" s="4" t="s">
        <v>504</v>
      </c>
      <c r="D451" s="4">
        <v>350.0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460</v>
      </c>
      <c r="B452" s="4" t="s">
        <v>115</v>
      </c>
      <c r="C452" s="4" t="s">
        <v>505</v>
      </c>
      <c r="D452" s="4">
        <v>815.0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460</v>
      </c>
      <c r="B453" s="4" t="s">
        <v>28</v>
      </c>
      <c r="C453" s="4" t="s">
        <v>506</v>
      </c>
      <c r="D453" s="4">
        <v>371.0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460</v>
      </c>
      <c r="B454" s="4" t="s">
        <v>28</v>
      </c>
      <c r="C454" s="4" t="s">
        <v>507</v>
      </c>
      <c r="D454" s="4">
        <v>254.0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460</v>
      </c>
      <c r="B455" s="4" t="s">
        <v>30</v>
      </c>
      <c r="C455" s="4" t="s">
        <v>508</v>
      </c>
      <c r="D455" s="4">
        <v>342.0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460</v>
      </c>
      <c r="B456" s="4" t="s">
        <v>30</v>
      </c>
      <c r="C456" s="4" t="s">
        <v>509</v>
      </c>
      <c r="D456" s="4">
        <v>258.0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460</v>
      </c>
      <c r="B457" s="4" t="s">
        <v>125</v>
      </c>
      <c r="C457" s="4" t="s">
        <v>510</v>
      </c>
      <c r="D457" s="4">
        <v>829.0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460</v>
      </c>
      <c r="B458" s="4" t="s">
        <v>125</v>
      </c>
      <c r="C458" s="4" t="s">
        <v>511</v>
      </c>
      <c r="D458" s="4">
        <v>243.0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460</v>
      </c>
      <c r="B459" s="4" t="s">
        <v>125</v>
      </c>
      <c r="C459" s="4" t="s">
        <v>512</v>
      </c>
      <c r="D459" s="4">
        <v>181.0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460</v>
      </c>
      <c r="B460" s="4" t="s">
        <v>125</v>
      </c>
      <c r="C460" s="4" t="s">
        <v>513</v>
      </c>
      <c r="D460" s="4">
        <v>505.0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460</v>
      </c>
      <c r="B461" s="4" t="s">
        <v>32</v>
      </c>
      <c r="C461" s="4" t="s">
        <v>514</v>
      </c>
      <c r="D461" s="4">
        <v>809.0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460</v>
      </c>
      <c r="B462" s="4" t="s">
        <v>32</v>
      </c>
      <c r="C462" s="4" t="s">
        <v>515</v>
      </c>
      <c r="D462" s="4">
        <v>327.0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460</v>
      </c>
      <c r="B463" s="4" t="s">
        <v>34</v>
      </c>
      <c r="C463" s="4" t="s">
        <v>516</v>
      </c>
      <c r="D463" s="4">
        <v>240.0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460</v>
      </c>
      <c r="B464" s="4" t="s">
        <v>34</v>
      </c>
      <c r="C464" s="4" t="s">
        <v>517</v>
      </c>
      <c r="D464" s="4">
        <v>830.0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460</v>
      </c>
      <c r="B465" s="4" t="s">
        <v>36</v>
      </c>
      <c r="C465" s="4" t="s">
        <v>518</v>
      </c>
      <c r="D465" s="4">
        <v>309.0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460</v>
      </c>
      <c r="B466" s="4" t="s">
        <v>36</v>
      </c>
      <c r="C466" s="4" t="s">
        <v>519</v>
      </c>
      <c r="D466" s="4">
        <v>830.0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460</v>
      </c>
      <c r="B467" s="4" t="s">
        <v>36</v>
      </c>
      <c r="C467" s="4" t="s">
        <v>520</v>
      </c>
      <c r="D467" s="4">
        <v>683.0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460</v>
      </c>
      <c r="B468" s="4" t="s">
        <v>38</v>
      </c>
      <c r="C468" s="4" t="s">
        <v>521</v>
      </c>
      <c r="D468" s="4">
        <v>578.0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460</v>
      </c>
      <c r="B469" s="4" t="s">
        <v>38</v>
      </c>
      <c r="C469" s="4" t="s">
        <v>522</v>
      </c>
      <c r="D469" s="4">
        <v>545.0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460</v>
      </c>
      <c r="B470" s="4" t="s">
        <v>140</v>
      </c>
      <c r="C470" s="4" t="s">
        <v>523</v>
      </c>
      <c r="D470" s="4">
        <v>507.0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460</v>
      </c>
      <c r="B471" s="4" t="s">
        <v>145</v>
      </c>
      <c r="C471" s="4" t="s">
        <v>524</v>
      </c>
      <c r="D471" s="4">
        <v>665.0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460</v>
      </c>
      <c r="B472" s="4" t="s">
        <v>145</v>
      </c>
      <c r="C472" s="4" t="s">
        <v>525</v>
      </c>
      <c r="D472" s="4">
        <v>822.0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460</v>
      </c>
      <c r="B473" s="4" t="s">
        <v>145</v>
      </c>
      <c r="C473" s="4" t="s">
        <v>526</v>
      </c>
      <c r="D473" s="4">
        <v>683.0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460</v>
      </c>
      <c r="B474" s="4" t="s">
        <v>145</v>
      </c>
      <c r="C474" s="4" t="s">
        <v>527</v>
      </c>
      <c r="D474" s="4">
        <v>407.0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460</v>
      </c>
      <c r="B475" s="4" t="s">
        <v>40</v>
      </c>
      <c r="C475" s="4" t="s">
        <v>528</v>
      </c>
      <c r="D475" s="4">
        <v>112.0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460</v>
      </c>
      <c r="B476" s="4" t="s">
        <v>44</v>
      </c>
      <c r="C476" s="4" t="s">
        <v>529</v>
      </c>
      <c r="D476" s="4">
        <v>136.0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460</v>
      </c>
      <c r="B477" s="4" t="s">
        <v>46</v>
      </c>
      <c r="C477" s="4" t="s">
        <v>530</v>
      </c>
      <c r="D477" s="4">
        <v>465.0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460</v>
      </c>
      <c r="B478" s="4" t="s">
        <v>46</v>
      </c>
      <c r="C478" s="4" t="s">
        <v>531</v>
      </c>
      <c r="D478" s="4">
        <v>918.0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460</v>
      </c>
      <c r="B479" s="4" t="s">
        <v>46</v>
      </c>
      <c r="C479" s="4" t="s">
        <v>532</v>
      </c>
      <c r="D479" s="4">
        <v>813.0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460</v>
      </c>
      <c r="B480" s="4" t="s">
        <v>46</v>
      </c>
      <c r="C480" s="4" t="s">
        <v>533</v>
      </c>
      <c r="D480" s="4">
        <v>151.0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460</v>
      </c>
      <c r="B481" s="4" t="s">
        <v>46</v>
      </c>
      <c r="C481" s="4" t="s">
        <v>534</v>
      </c>
      <c r="D481" s="4">
        <v>277.0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460</v>
      </c>
      <c r="B482" s="4" t="s">
        <v>46</v>
      </c>
      <c r="C482" s="4" t="s">
        <v>535</v>
      </c>
      <c r="D482" s="4">
        <v>636.0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460</v>
      </c>
      <c r="B483" s="4" t="s">
        <v>51</v>
      </c>
      <c r="C483" s="4" t="s">
        <v>536</v>
      </c>
      <c r="D483" s="4">
        <v>640.0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460</v>
      </c>
      <c r="B484" s="4" t="s">
        <v>51</v>
      </c>
      <c r="C484" s="4" t="s">
        <v>537</v>
      </c>
      <c r="D484" s="4">
        <v>609.0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460</v>
      </c>
      <c r="B485" s="4" t="s">
        <v>157</v>
      </c>
      <c r="C485" s="4" t="s">
        <v>538</v>
      </c>
      <c r="D485" s="4">
        <v>875.0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460</v>
      </c>
      <c r="B486" s="4" t="s">
        <v>157</v>
      </c>
      <c r="C486" s="4" t="s">
        <v>539</v>
      </c>
      <c r="D486" s="4">
        <v>813.0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460</v>
      </c>
      <c r="B487" s="4" t="s">
        <v>55</v>
      </c>
      <c r="C487" s="4" t="s">
        <v>540</v>
      </c>
      <c r="D487" s="4">
        <v>800.0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460</v>
      </c>
      <c r="B488" s="4" t="s">
        <v>60</v>
      </c>
      <c r="C488" s="4" t="s">
        <v>541</v>
      </c>
      <c r="D488" s="4">
        <v>323.0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460</v>
      </c>
      <c r="B489" s="4" t="s">
        <v>60</v>
      </c>
      <c r="C489" s="4" t="s">
        <v>542</v>
      </c>
      <c r="D489" s="4">
        <v>682.0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460</v>
      </c>
      <c r="B490" s="4" t="s">
        <v>60</v>
      </c>
      <c r="C490" s="4" t="s">
        <v>543</v>
      </c>
      <c r="D490" s="4">
        <v>990.0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460</v>
      </c>
      <c r="B491" s="4" t="s">
        <v>63</v>
      </c>
      <c r="C491" s="4" t="s">
        <v>544</v>
      </c>
      <c r="D491" s="4">
        <v>791.0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460</v>
      </c>
      <c r="B492" s="4" t="s">
        <v>63</v>
      </c>
      <c r="C492" s="4" t="s">
        <v>545</v>
      </c>
      <c r="D492" s="4">
        <v>290.0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460</v>
      </c>
      <c r="B493" s="4" t="s">
        <v>63</v>
      </c>
      <c r="C493" s="4" t="s">
        <v>546</v>
      </c>
      <c r="D493" s="4">
        <v>226.0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460</v>
      </c>
      <c r="B494" s="4" t="s">
        <v>63</v>
      </c>
      <c r="C494" s="4" t="s">
        <v>547</v>
      </c>
      <c r="D494" s="4">
        <v>647.0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460</v>
      </c>
      <c r="B495" s="4" t="s">
        <v>548</v>
      </c>
      <c r="C495" s="4" t="s">
        <v>549</v>
      </c>
      <c r="D495" s="4">
        <v>202.0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460</v>
      </c>
      <c r="B496" s="4" t="s">
        <v>548</v>
      </c>
      <c r="C496" s="4" t="s">
        <v>550</v>
      </c>
      <c r="D496" s="4">
        <v>457.0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460</v>
      </c>
      <c r="B497" s="4" t="s">
        <v>548</v>
      </c>
      <c r="C497" s="4" t="s">
        <v>551</v>
      </c>
      <c r="D497" s="4">
        <v>256.0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460</v>
      </c>
      <c r="B498" s="4" t="s">
        <v>548</v>
      </c>
      <c r="C498" s="4" t="s">
        <v>552</v>
      </c>
      <c r="D498" s="4">
        <v>254.0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460</v>
      </c>
      <c r="B499" s="4" t="s">
        <v>65</v>
      </c>
      <c r="C499" s="4" t="s">
        <v>553</v>
      </c>
      <c r="D499" s="4">
        <v>895.0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460</v>
      </c>
      <c r="B500" s="4" t="s">
        <v>65</v>
      </c>
      <c r="C500" s="4" t="s">
        <v>554</v>
      </c>
      <c r="D500" s="4">
        <v>984.0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460</v>
      </c>
      <c r="B501" s="4" t="s">
        <v>171</v>
      </c>
      <c r="C501" s="4" t="s">
        <v>555</v>
      </c>
      <c r="D501" s="4">
        <v>560.0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460</v>
      </c>
      <c r="B502" s="4" t="s">
        <v>171</v>
      </c>
      <c r="C502" s="4" t="s">
        <v>556</v>
      </c>
      <c r="D502" s="4">
        <v>186.0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460</v>
      </c>
      <c r="B503" s="4" t="s">
        <v>171</v>
      </c>
      <c r="C503" s="4" t="s">
        <v>557</v>
      </c>
      <c r="D503" s="4">
        <v>463.0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460</v>
      </c>
      <c r="B504" s="4" t="s">
        <v>171</v>
      </c>
      <c r="C504" s="4" t="s">
        <v>558</v>
      </c>
      <c r="D504" s="4">
        <v>532.0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460</v>
      </c>
      <c r="B505" s="4" t="s">
        <v>174</v>
      </c>
      <c r="C505" s="4" t="s">
        <v>559</v>
      </c>
      <c r="D505" s="4">
        <v>933.0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460</v>
      </c>
      <c r="B506" s="4" t="s">
        <v>174</v>
      </c>
      <c r="C506" s="4" t="s">
        <v>560</v>
      </c>
      <c r="D506" s="4">
        <v>433.0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460</v>
      </c>
      <c r="B507" s="4" t="s">
        <v>561</v>
      </c>
      <c r="C507" s="4" t="s">
        <v>562</v>
      </c>
      <c r="D507" s="4">
        <v>984.0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460</v>
      </c>
      <c r="B508" s="4" t="s">
        <v>69</v>
      </c>
      <c r="C508" s="4" t="s">
        <v>563</v>
      </c>
      <c r="D508" s="4">
        <v>447.0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460</v>
      </c>
      <c r="B509" s="4" t="s">
        <v>69</v>
      </c>
      <c r="C509" s="4" t="s">
        <v>564</v>
      </c>
      <c r="D509" s="4">
        <v>376.0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460</v>
      </c>
      <c r="B510" s="4" t="s">
        <v>180</v>
      </c>
      <c r="C510" s="4" t="s">
        <v>565</v>
      </c>
      <c r="D510" s="4">
        <v>362.0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460</v>
      </c>
      <c r="B511" s="4" t="s">
        <v>180</v>
      </c>
      <c r="C511" s="4" t="s">
        <v>566</v>
      </c>
      <c r="D511" s="4">
        <v>664.0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460</v>
      </c>
      <c r="B512" s="4" t="s">
        <v>180</v>
      </c>
      <c r="C512" s="4" t="s">
        <v>567</v>
      </c>
      <c r="D512" s="4">
        <v>391.0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460</v>
      </c>
      <c r="B513" s="4" t="s">
        <v>183</v>
      </c>
      <c r="C513" s="4" t="s">
        <v>568</v>
      </c>
      <c r="D513" s="4">
        <v>654.0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460</v>
      </c>
      <c r="B514" s="4" t="s">
        <v>183</v>
      </c>
      <c r="C514" s="4" t="s">
        <v>569</v>
      </c>
      <c r="D514" s="4">
        <v>874.0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460</v>
      </c>
      <c r="B515" s="4" t="s">
        <v>183</v>
      </c>
      <c r="C515" s="4" t="s">
        <v>570</v>
      </c>
      <c r="D515" s="4">
        <v>730.0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460</v>
      </c>
      <c r="B516" s="4" t="s">
        <v>73</v>
      </c>
      <c r="C516" s="4" t="s">
        <v>571</v>
      </c>
      <c r="D516" s="4">
        <v>379.0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460</v>
      </c>
      <c r="B517" s="4" t="s">
        <v>73</v>
      </c>
      <c r="C517" s="4" t="s">
        <v>572</v>
      </c>
      <c r="D517" s="4">
        <v>795.0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460</v>
      </c>
      <c r="B518" s="4" t="s">
        <v>73</v>
      </c>
      <c r="C518" s="4" t="s">
        <v>573</v>
      </c>
      <c r="D518" s="4">
        <v>825.0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460</v>
      </c>
      <c r="B519" s="4" t="s">
        <v>76</v>
      </c>
      <c r="C519" s="4" t="s">
        <v>574</v>
      </c>
      <c r="D519" s="4">
        <v>218.0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460</v>
      </c>
      <c r="B520" s="4" t="s">
        <v>76</v>
      </c>
      <c r="C520" s="4" t="s">
        <v>575</v>
      </c>
      <c r="D520" s="4">
        <v>154.0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460</v>
      </c>
      <c r="B521" s="4" t="s">
        <v>76</v>
      </c>
      <c r="C521" s="4" t="s">
        <v>576</v>
      </c>
      <c r="D521" s="4">
        <v>924.0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460</v>
      </c>
      <c r="B522" s="4" t="s">
        <v>78</v>
      </c>
      <c r="C522" s="4" t="s">
        <v>577</v>
      </c>
      <c r="D522" s="4">
        <v>941.0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460</v>
      </c>
      <c r="B523" s="4" t="s">
        <v>78</v>
      </c>
      <c r="C523" s="4" t="s">
        <v>578</v>
      </c>
      <c r="D523" s="4">
        <v>175.0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460</v>
      </c>
      <c r="B524" s="4" t="s">
        <v>78</v>
      </c>
      <c r="C524" s="4" t="s">
        <v>579</v>
      </c>
      <c r="D524" s="4">
        <v>163.0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460</v>
      </c>
      <c r="B525" s="4" t="s">
        <v>195</v>
      </c>
      <c r="C525" s="4" t="s">
        <v>580</v>
      </c>
      <c r="D525" s="4">
        <v>455.0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460</v>
      </c>
      <c r="B526" s="4" t="s">
        <v>199</v>
      </c>
      <c r="C526" s="4" t="s">
        <v>581</v>
      </c>
      <c r="D526" s="4">
        <v>718.0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460</v>
      </c>
      <c r="B527" s="4" t="s">
        <v>199</v>
      </c>
      <c r="C527" s="4" t="s">
        <v>582</v>
      </c>
      <c r="D527" s="4">
        <v>224.0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460</v>
      </c>
      <c r="B528" s="4" t="s">
        <v>199</v>
      </c>
      <c r="C528" s="4" t="s">
        <v>583</v>
      </c>
      <c r="D528" s="4">
        <v>159.0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460</v>
      </c>
      <c r="B529" s="4" t="s">
        <v>201</v>
      </c>
      <c r="C529" s="4" t="s">
        <v>584</v>
      </c>
      <c r="D529" s="4">
        <v>598.0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460</v>
      </c>
      <c r="B530" s="4" t="s">
        <v>201</v>
      </c>
      <c r="C530" s="4" t="s">
        <v>585</v>
      </c>
      <c r="D530" s="4">
        <v>935.0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460</v>
      </c>
      <c r="B531" s="4" t="s">
        <v>204</v>
      </c>
      <c r="C531" s="4" t="s">
        <v>586</v>
      </c>
      <c r="D531" s="4">
        <v>826.0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460</v>
      </c>
      <c r="B532" s="4" t="s">
        <v>204</v>
      </c>
      <c r="C532" s="4" t="s">
        <v>587</v>
      </c>
      <c r="D532" s="4">
        <v>990.0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460</v>
      </c>
      <c r="B533" s="4" t="s">
        <v>204</v>
      </c>
      <c r="C533" s="4" t="s">
        <v>588</v>
      </c>
      <c r="D533" s="4">
        <v>431.0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460</v>
      </c>
      <c r="B534" s="4" t="s">
        <v>204</v>
      </c>
      <c r="C534" s="4" t="s">
        <v>589</v>
      </c>
      <c r="D534" s="4">
        <v>927.0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590</v>
      </c>
      <c r="B535" s="4" t="s">
        <v>12</v>
      </c>
      <c r="C535" s="4" t="s">
        <v>591</v>
      </c>
      <c r="D535" s="4">
        <v>308.0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590</v>
      </c>
      <c r="B536" s="4" t="s">
        <v>17</v>
      </c>
      <c r="C536" s="4" t="s">
        <v>592</v>
      </c>
      <c r="D536" s="4">
        <v>251.0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590</v>
      </c>
      <c r="B537" s="4" t="s">
        <v>34</v>
      </c>
      <c r="C537" s="4" t="s">
        <v>593</v>
      </c>
      <c r="D537" s="4">
        <v>817.0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590</v>
      </c>
      <c r="B538" s="4" t="s">
        <v>36</v>
      </c>
      <c r="C538" s="4" t="s">
        <v>594</v>
      </c>
      <c r="D538" s="4">
        <v>604.0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590</v>
      </c>
      <c r="B539" s="4" t="s">
        <v>38</v>
      </c>
      <c r="C539" s="4" t="s">
        <v>595</v>
      </c>
      <c r="D539" s="4">
        <v>321.0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590</v>
      </c>
      <c r="B540" s="4" t="s">
        <v>40</v>
      </c>
      <c r="C540" s="4" t="s">
        <v>596</v>
      </c>
      <c r="D540" s="4">
        <v>230.0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590</v>
      </c>
      <c r="B541" s="4" t="s">
        <v>55</v>
      </c>
      <c r="C541" s="4" t="s">
        <v>597</v>
      </c>
      <c r="D541" s="4">
        <v>491.0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590</v>
      </c>
      <c r="B542" s="4" t="s">
        <v>60</v>
      </c>
      <c r="C542" s="4" t="s">
        <v>598</v>
      </c>
      <c r="D542" s="4">
        <v>631.0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590</v>
      </c>
      <c r="B543" s="4" t="s">
        <v>63</v>
      </c>
      <c r="C543" s="4" t="s">
        <v>599</v>
      </c>
      <c r="D543" s="4">
        <v>860.0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590</v>
      </c>
      <c r="B544" s="4" t="s">
        <v>63</v>
      </c>
      <c r="C544" s="4" t="s">
        <v>600</v>
      </c>
      <c r="D544" s="4">
        <v>794.0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590</v>
      </c>
      <c r="B545" s="4" t="s">
        <v>69</v>
      </c>
      <c r="C545" s="4" t="s">
        <v>601</v>
      </c>
      <c r="D545" s="4">
        <v>704.0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602</v>
      </c>
      <c r="B546" s="4" t="s">
        <v>7</v>
      </c>
      <c r="C546" s="4" t="s">
        <v>603</v>
      </c>
      <c r="D546" s="4">
        <v>443.0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602</v>
      </c>
      <c r="B547" s="4" t="s">
        <v>7</v>
      </c>
      <c r="C547" s="4" t="s">
        <v>604</v>
      </c>
      <c r="D547" s="4">
        <v>874.0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602</v>
      </c>
      <c r="B548" s="4" t="s">
        <v>12</v>
      </c>
      <c r="C548" s="4" t="s">
        <v>605</v>
      </c>
      <c r="D548" s="4">
        <v>607.0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602</v>
      </c>
      <c r="B549" s="4" t="s">
        <v>12</v>
      </c>
      <c r="C549" s="4" t="s">
        <v>606</v>
      </c>
      <c r="D549" s="4">
        <v>197.0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602</v>
      </c>
      <c r="B550" s="4" t="s">
        <v>17</v>
      </c>
      <c r="C550" s="4" t="s">
        <v>607</v>
      </c>
      <c r="D550" s="4">
        <v>903.0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602</v>
      </c>
      <c r="B551" s="4" t="s">
        <v>17</v>
      </c>
      <c r="C551" s="4" t="s">
        <v>608</v>
      </c>
      <c r="D551" s="4">
        <v>966.0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602</v>
      </c>
      <c r="B552" s="4" t="s">
        <v>125</v>
      </c>
      <c r="C552" s="4" t="s">
        <v>609</v>
      </c>
      <c r="D552" s="4">
        <v>631.0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602</v>
      </c>
      <c r="B553" s="4" t="s">
        <v>32</v>
      </c>
      <c r="C553" s="4" t="s">
        <v>610</v>
      </c>
      <c r="D553" s="4">
        <v>651.0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602</v>
      </c>
      <c r="B554" s="4" t="s">
        <v>34</v>
      </c>
      <c r="C554" s="4" t="s">
        <v>611</v>
      </c>
      <c r="D554" s="4">
        <v>641.0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602</v>
      </c>
      <c r="B555" s="4" t="s">
        <v>36</v>
      </c>
      <c r="C555" s="4" t="s">
        <v>612</v>
      </c>
      <c r="D555" s="4">
        <v>164.0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602</v>
      </c>
      <c r="B556" s="4" t="s">
        <v>38</v>
      </c>
      <c r="C556" s="4" t="s">
        <v>613</v>
      </c>
      <c r="D556" s="4">
        <v>456.0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602</v>
      </c>
      <c r="B557" s="4" t="s">
        <v>38</v>
      </c>
      <c r="C557" s="4" t="s">
        <v>614</v>
      </c>
      <c r="D557" s="4">
        <v>271.0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602</v>
      </c>
      <c r="B558" s="4" t="s">
        <v>38</v>
      </c>
      <c r="C558" s="4" t="s">
        <v>615</v>
      </c>
      <c r="D558" s="4">
        <v>257.0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602</v>
      </c>
      <c r="B559" s="4" t="s">
        <v>40</v>
      </c>
      <c r="C559" s="4" t="s">
        <v>616</v>
      </c>
      <c r="D559" s="4">
        <v>791.0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602</v>
      </c>
      <c r="B560" s="4" t="s">
        <v>40</v>
      </c>
      <c r="C560" s="4" t="s">
        <v>617</v>
      </c>
      <c r="D560" s="4">
        <v>480.0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602</v>
      </c>
      <c r="B561" s="4" t="s">
        <v>40</v>
      </c>
      <c r="C561" s="4" t="s">
        <v>618</v>
      </c>
      <c r="D561" s="4">
        <v>697.0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602</v>
      </c>
      <c r="B562" s="4" t="s">
        <v>44</v>
      </c>
      <c r="C562" s="4" t="s">
        <v>619</v>
      </c>
      <c r="D562" s="4">
        <v>528.0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602</v>
      </c>
      <c r="B563" s="4" t="s">
        <v>55</v>
      </c>
      <c r="C563" s="4" t="s">
        <v>620</v>
      </c>
      <c r="D563" s="4">
        <v>317.0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602</v>
      </c>
      <c r="B564" s="4" t="s">
        <v>55</v>
      </c>
      <c r="C564" s="4" t="s">
        <v>621</v>
      </c>
      <c r="D564" s="4">
        <v>823.0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602</v>
      </c>
      <c r="B565" s="4" t="s">
        <v>60</v>
      </c>
      <c r="C565" s="4" t="s">
        <v>622</v>
      </c>
      <c r="D565" s="4">
        <v>593.0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602</v>
      </c>
      <c r="B566" s="4" t="s">
        <v>60</v>
      </c>
      <c r="C566" s="4" t="s">
        <v>623</v>
      </c>
      <c r="D566" s="4">
        <v>576.0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602</v>
      </c>
      <c r="B567" s="4" t="s">
        <v>63</v>
      </c>
      <c r="C567" s="4" t="s">
        <v>624</v>
      </c>
      <c r="D567" s="4">
        <v>962.0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602</v>
      </c>
      <c r="B568" s="4" t="s">
        <v>65</v>
      </c>
      <c r="C568" s="4" t="s">
        <v>625</v>
      </c>
      <c r="D568" s="4">
        <v>881.0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602</v>
      </c>
      <c r="B569" s="4" t="s">
        <v>69</v>
      </c>
      <c r="C569" s="4" t="s">
        <v>626</v>
      </c>
      <c r="D569" s="4">
        <v>919.0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602</v>
      </c>
      <c r="B570" s="4" t="s">
        <v>76</v>
      </c>
      <c r="C570" s="4" t="s">
        <v>627</v>
      </c>
      <c r="D570" s="4">
        <v>598.0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602</v>
      </c>
      <c r="B571" s="4" t="s">
        <v>76</v>
      </c>
      <c r="C571" s="4" t="s">
        <v>628</v>
      </c>
      <c r="D571" s="4">
        <v>737.0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629</v>
      </c>
      <c r="B572" s="4" t="s">
        <v>5</v>
      </c>
      <c r="C572" s="4" t="s">
        <v>630</v>
      </c>
      <c r="D572" s="4">
        <v>299.0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629</v>
      </c>
      <c r="B573" s="4" t="s">
        <v>5</v>
      </c>
      <c r="C573" s="4" t="s">
        <v>631</v>
      </c>
      <c r="D573" s="4">
        <v>298.0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629</v>
      </c>
      <c r="B574" s="4" t="s">
        <v>5</v>
      </c>
      <c r="C574" s="4" t="s">
        <v>632</v>
      </c>
      <c r="D574" s="4">
        <v>988.0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629</v>
      </c>
      <c r="B575" s="4" t="s">
        <v>5</v>
      </c>
      <c r="C575" s="4" t="s">
        <v>633</v>
      </c>
      <c r="D575" s="4">
        <v>542.0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629</v>
      </c>
      <c r="B576" s="4" t="s">
        <v>7</v>
      </c>
      <c r="C576" s="4" t="s">
        <v>634</v>
      </c>
      <c r="D576" s="4">
        <v>130.0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629</v>
      </c>
      <c r="B577" s="4" t="s">
        <v>7</v>
      </c>
      <c r="C577" s="4" t="s">
        <v>635</v>
      </c>
      <c r="D577" s="4">
        <v>370.0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629</v>
      </c>
      <c r="B578" s="4" t="s">
        <v>12</v>
      </c>
      <c r="C578" s="4" t="s">
        <v>636</v>
      </c>
      <c r="D578" s="4">
        <v>198.0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629</v>
      </c>
      <c r="B579" s="4" t="s">
        <v>17</v>
      </c>
      <c r="C579" s="4" t="s">
        <v>637</v>
      </c>
      <c r="D579" s="4">
        <v>456.0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629</v>
      </c>
      <c r="B580" s="4" t="s">
        <v>17</v>
      </c>
      <c r="C580" s="4" t="s">
        <v>638</v>
      </c>
      <c r="D580" s="4">
        <v>720.0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629</v>
      </c>
      <c r="B581" s="4" t="s">
        <v>26</v>
      </c>
      <c r="C581" s="4" t="s">
        <v>639</v>
      </c>
      <c r="D581" s="4">
        <v>164.0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629</v>
      </c>
      <c r="B582" s="4" t="s">
        <v>125</v>
      </c>
      <c r="C582" s="4" t="s">
        <v>640</v>
      </c>
      <c r="D582" s="4">
        <v>537.0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629</v>
      </c>
      <c r="B583" s="4" t="s">
        <v>125</v>
      </c>
      <c r="C583" s="4" t="s">
        <v>641</v>
      </c>
      <c r="D583" s="4">
        <v>283.0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629</v>
      </c>
      <c r="B584" s="4" t="s">
        <v>32</v>
      </c>
      <c r="C584" s="4" t="s">
        <v>642</v>
      </c>
      <c r="D584" s="4">
        <v>398.0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629</v>
      </c>
      <c r="B585" s="4" t="s">
        <v>34</v>
      </c>
      <c r="C585" s="4" t="s">
        <v>643</v>
      </c>
      <c r="D585" s="4">
        <v>716.0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629</v>
      </c>
      <c r="B586" s="4" t="s">
        <v>34</v>
      </c>
      <c r="C586" s="4" t="s">
        <v>644</v>
      </c>
      <c r="D586" s="4">
        <v>413.0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629</v>
      </c>
      <c r="B587" s="4" t="s">
        <v>34</v>
      </c>
      <c r="C587" s="4" t="s">
        <v>645</v>
      </c>
      <c r="D587" s="4">
        <v>267.0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629</v>
      </c>
      <c r="B588" s="4" t="s">
        <v>36</v>
      </c>
      <c r="C588" s="4" t="s">
        <v>646</v>
      </c>
      <c r="D588" s="4">
        <v>291.0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629</v>
      </c>
      <c r="B589" s="4" t="s">
        <v>38</v>
      </c>
      <c r="C589" s="4" t="s">
        <v>647</v>
      </c>
      <c r="D589" s="4">
        <v>149.0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629</v>
      </c>
      <c r="B590" s="4" t="s">
        <v>40</v>
      </c>
      <c r="C590" s="4" t="s">
        <v>648</v>
      </c>
      <c r="D590" s="4">
        <v>657.0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629</v>
      </c>
      <c r="B591" s="4" t="s">
        <v>40</v>
      </c>
      <c r="C591" s="4" t="s">
        <v>649</v>
      </c>
      <c r="D591" s="4">
        <v>345.0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629</v>
      </c>
      <c r="B592" s="4" t="s">
        <v>40</v>
      </c>
      <c r="C592" s="4" t="s">
        <v>650</v>
      </c>
      <c r="D592" s="4">
        <v>965.0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629</v>
      </c>
      <c r="B593" s="4" t="s">
        <v>40</v>
      </c>
      <c r="C593" s="4" t="s">
        <v>651</v>
      </c>
      <c r="D593" s="4">
        <v>136.0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629</v>
      </c>
      <c r="B594" s="4" t="s">
        <v>44</v>
      </c>
      <c r="C594" s="4" t="s">
        <v>652</v>
      </c>
      <c r="D594" s="4">
        <v>962.0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629</v>
      </c>
      <c r="B595" s="4" t="s">
        <v>46</v>
      </c>
      <c r="C595" s="4" t="s">
        <v>653</v>
      </c>
      <c r="D595" s="4">
        <v>795.0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629</v>
      </c>
      <c r="B596" s="4" t="s">
        <v>55</v>
      </c>
      <c r="C596" s="4" t="s">
        <v>654</v>
      </c>
      <c r="D596" s="4">
        <v>516.0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629</v>
      </c>
      <c r="B597" s="4" t="s">
        <v>55</v>
      </c>
      <c r="C597" s="4" t="s">
        <v>655</v>
      </c>
      <c r="D597" s="4">
        <v>840.0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629</v>
      </c>
      <c r="B598" s="4" t="s">
        <v>60</v>
      </c>
      <c r="C598" s="4" t="s">
        <v>656</v>
      </c>
      <c r="D598" s="4">
        <v>250.0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629</v>
      </c>
      <c r="B599" s="4" t="s">
        <v>60</v>
      </c>
      <c r="C599" s="4" t="s">
        <v>657</v>
      </c>
      <c r="D599" s="4">
        <v>165.0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629</v>
      </c>
      <c r="B600" s="4" t="s">
        <v>63</v>
      </c>
      <c r="C600" s="4" t="s">
        <v>658</v>
      </c>
      <c r="D600" s="4">
        <v>158.0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629</v>
      </c>
      <c r="B601" s="4" t="s">
        <v>63</v>
      </c>
      <c r="C601" s="4" t="s">
        <v>659</v>
      </c>
      <c r="D601" s="4">
        <v>777.0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629</v>
      </c>
      <c r="B602" s="4" t="s">
        <v>63</v>
      </c>
      <c r="C602" s="4" t="s">
        <v>660</v>
      </c>
      <c r="D602" s="4">
        <v>134.0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629</v>
      </c>
      <c r="B603" s="4" t="s">
        <v>65</v>
      </c>
      <c r="C603" s="4" t="s">
        <v>661</v>
      </c>
      <c r="D603" s="4">
        <v>521.0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629</v>
      </c>
      <c r="B604" s="4" t="s">
        <v>69</v>
      </c>
      <c r="C604" s="4" t="s">
        <v>662</v>
      </c>
      <c r="D604" s="4">
        <v>883.0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629</v>
      </c>
      <c r="B605" s="4" t="s">
        <v>69</v>
      </c>
      <c r="C605" s="4" t="s">
        <v>663</v>
      </c>
      <c r="D605" s="4">
        <v>188.0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629</v>
      </c>
      <c r="B606" s="4" t="s">
        <v>69</v>
      </c>
      <c r="C606" s="4" t="s">
        <v>664</v>
      </c>
      <c r="D606" s="4">
        <v>979.0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629</v>
      </c>
      <c r="B607" s="4" t="s">
        <v>73</v>
      </c>
      <c r="C607" s="4" t="s">
        <v>665</v>
      </c>
      <c r="D607" s="4">
        <v>840.0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629</v>
      </c>
      <c r="B608" s="4" t="s">
        <v>73</v>
      </c>
      <c r="C608" s="4" t="s">
        <v>666</v>
      </c>
      <c r="D608" s="4">
        <v>553.0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629</v>
      </c>
      <c r="B609" s="4" t="s">
        <v>76</v>
      </c>
      <c r="C609" s="4" t="s">
        <v>667</v>
      </c>
      <c r="D609" s="4">
        <v>362.0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629</v>
      </c>
      <c r="B610" s="4" t="s">
        <v>78</v>
      </c>
      <c r="C610" s="4" t="s">
        <v>668</v>
      </c>
      <c r="D610" s="4">
        <v>100.0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669</v>
      </c>
      <c r="B611" s="4" t="s">
        <v>5</v>
      </c>
      <c r="C611" s="4" t="s">
        <v>670</v>
      </c>
      <c r="D611" s="4">
        <v>785.0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669</v>
      </c>
      <c r="B612" s="4" t="s">
        <v>5</v>
      </c>
      <c r="C612" s="4" t="s">
        <v>671</v>
      </c>
      <c r="D612" s="4">
        <v>370.0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669</v>
      </c>
      <c r="B613" s="4" t="s">
        <v>5</v>
      </c>
      <c r="C613" s="4" t="s">
        <v>672</v>
      </c>
      <c r="D613" s="4">
        <v>681.0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669</v>
      </c>
      <c r="B614" s="4" t="s">
        <v>5</v>
      </c>
      <c r="C614" s="4" t="s">
        <v>673</v>
      </c>
      <c r="D614" s="4">
        <v>156.0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669</v>
      </c>
      <c r="B615" s="4" t="s">
        <v>7</v>
      </c>
      <c r="C615" s="4" t="s">
        <v>674</v>
      </c>
      <c r="D615" s="4">
        <v>637.0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669</v>
      </c>
      <c r="B616" s="4" t="s">
        <v>12</v>
      </c>
      <c r="C616" s="4" t="s">
        <v>675</v>
      </c>
      <c r="D616" s="4">
        <v>375.0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669</v>
      </c>
      <c r="B617" s="4" t="s">
        <v>12</v>
      </c>
      <c r="C617" s="4" t="s">
        <v>676</v>
      </c>
      <c r="D617" s="4">
        <v>531.0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669</v>
      </c>
      <c r="B618" s="4" t="s">
        <v>12</v>
      </c>
      <c r="C618" s="4" t="s">
        <v>677</v>
      </c>
      <c r="D618" s="4">
        <v>573.0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669</v>
      </c>
      <c r="B619" s="4" t="s">
        <v>12</v>
      </c>
      <c r="C619" s="4" t="s">
        <v>678</v>
      </c>
      <c r="D619" s="4">
        <v>596.0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669</v>
      </c>
      <c r="B620" s="4" t="s">
        <v>17</v>
      </c>
      <c r="C620" s="4" t="s">
        <v>679</v>
      </c>
      <c r="D620" s="4">
        <v>830.0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669</v>
      </c>
      <c r="B621" s="4" t="s">
        <v>17</v>
      </c>
      <c r="C621" s="4" t="s">
        <v>680</v>
      </c>
      <c r="D621" s="4">
        <v>409.0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669</v>
      </c>
      <c r="B622" s="4" t="s">
        <v>17</v>
      </c>
      <c r="C622" s="4" t="s">
        <v>681</v>
      </c>
      <c r="D622" s="4">
        <v>974.0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669</v>
      </c>
      <c r="B623" s="4" t="s">
        <v>20</v>
      </c>
      <c r="C623" s="4" t="s">
        <v>682</v>
      </c>
      <c r="D623" s="4">
        <v>685.0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669</v>
      </c>
      <c r="B624" s="4" t="s">
        <v>20</v>
      </c>
      <c r="C624" s="4" t="s">
        <v>683</v>
      </c>
      <c r="D624" s="4">
        <v>991.0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669</v>
      </c>
      <c r="B625" s="4" t="s">
        <v>20</v>
      </c>
      <c r="C625" s="4" t="s">
        <v>684</v>
      </c>
      <c r="D625" s="4">
        <v>157.0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669</v>
      </c>
      <c r="B626" s="4" t="s">
        <v>94</v>
      </c>
      <c r="C626" s="4" t="s">
        <v>685</v>
      </c>
      <c r="D626" s="4">
        <v>965.0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669</v>
      </c>
      <c r="B627" s="4" t="s">
        <v>94</v>
      </c>
      <c r="C627" s="4" t="s">
        <v>686</v>
      </c>
      <c r="D627" s="4">
        <v>425.0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669</v>
      </c>
      <c r="B628" s="4" t="s">
        <v>94</v>
      </c>
      <c r="C628" s="4" t="s">
        <v>687</v>
      </c>
      <c r="D628" s="4">
        <v>168.0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669</v>
      </c>
      <c r="B629" s="4" t="s">
        <v>476</v>
      </c>
      <c r="C629" s="4" t="s">
        <v>688</v>
      </c>
      <c r="D629" s="4">
        <v>391.0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669</v>
      </c>
      <c r="B630" s="4" t="s">
        <v>96</v>
      </c>
      <c r="C630" s="4" t="s">
        <v>689</v>
      </c>
      <c r="D630" s="4">
        <v>935.0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669</v>
      </c>
      <c r="B631" s="4" t="s">
        <v>96</v>
      </c>
      <c r="C631" s="4" t="s">
        <v>690</v>
      </c>
      <c r="D631" s="4">
        <v>360.0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669</v>
      </c>
      <c r="B632" s="4" t="s">
        <v>22</v>
      </c>
      <c r="C632" s="4" t="s">
        <v>691</v>
      </c>
      <c r="D632" s="4">
        <v>395.0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669</v>
      </c>
      <c r="B633" s="4" t="s">
        <v>22</v>
      </c>
      <c r="C633" s="4" t="s">
        <v>692</v>
      </c>
      <c r="D633" s="4">
        <v>235.0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669</v>
      </c>
      <c r="B634" s="4" t="s">
        <v>22</v>
      </c>
      <c r="C634" s="4" t="s">
        <v>693</v>
      </c>
      <c r="D634" s="4">
        <v>307.0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669</v>
      </c>
      <c r="B635" s="4" t="s">
        <v>103</v>
      </c>
      <c r="C635" s="4" t="s">
        <v>694</v>
      </c>
      <c r="D635" s="4">
        <v>928.0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669</v>
      </c>
      <c r="B636" s="4" t="s">
        <v>103</v>
      </c>
      <c r="C636" s="4" t="s">
        <v>695</v>
      </c>
      <c r="D636" s="4">
        <v>264.0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669</v>
      </c>
      <c r="B637" s="4" t="s">
        <v>103</v>
      </c>
      <c r="C637" s="4" t="s">
        <v>696</v>
      </c>
      <c r="D637" s="4">
        <v>467.0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669</v>
      </c>
      <c r="B638" s="4" t="s">
        <v>103</v>
      </c>
      <c r="C638" s="4" t="s">
        <v>697</v>
      </c>
      <c r="D638" s="4">
        <v>490.0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669</v>
      </c>
      <c r="B639" s="4" t="s">
        <v>103</v>
      </c>
      <c r="C639" s="4" t="s">
        <v>698</v>
      </c>
      <c r="D639" s="4">
        <v>171.0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669</v>
      </c>
      <c r="B640" s="4" t="s">
        <v>106</v>
      </c>
      <c r="C640" s="4" t="s">
        <v>699</v>
      </c>
      <c r="D640" s="4">
        <v>610.0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669</v>
      </c>
      <c r="B641" s="4" t="s">
        <v>700</v>
      </c>
      <c r="C641" s="4" t="s">
        <v>701</v>
      </c>
      <c r="D641" s="4">
        <v>947.0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669</v>
      </c>
      <c r="B642" s="4" t="s">
        <v>700</v>
      </c>
      <c r="C642" s="4" t="s">
        <v>702</v>
      </c>
      <c r="D642" s="4">
        <v>948.0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669</v>
      </c>
      <c r="B643" s="4" t="s">
        <v>700</v>
      </c>
      <c r="C643" s="4" t="s">
        <v>703</v>
      </c>
      <c r="D643" s="4">
        <v>507.0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669</v>
      </c>
      <c r="B644" s="4" t="s">
        <v>700</v>
      </c>
      <c r="C644" s="4" t="s">
        <v>704</v>
      </c>
      <c r="D644" s="4">
        <v>541.0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669</v>
      </c>
      <c r="B645" s="4" t="s">
        <v>24</v>
      </c>
      <c r="C645" s="4" t="s">
        <v>705</v>
      </c>
      <c r="D645" s="4">
        <v>396.0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669</v>
      </c>
      <c r="B646" s="4" t="s">
        <v>498</v>
      </c>
      <c r="C646" s="4" t="s">
        <v>706</v>
      </c>
      <c r="D646" s="4">
        <v>555.0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669</v>
      </c>
      <c r="B647" s="4" t="s">
        <v>498</v>
      </c>
      <c r="C647" s="4" t="s">
        <v>707</v>
      </c>
      <c r="D647" s="4">
        <v>847.0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669</v>
      </c>
      <c r="B648" s="4" t="s">
        <v>498</v>
      </c>
      <c r="C648" s="4" t="s">
        <v>708</v>
      </c>
      <c r="D648" s="4">
        <v>344.0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669</v>
      </c>
      <c r="B649" s="4" t="s">
        <v>26</v>
      </c>
      <c r="C649" s="4" t="s">
        <v>709</v>
      </c>
      <c r="D649" s="4">
        <v>410.0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669</v>
      </c>
      <c r="B650" s="4" t="s">
        <v>26</v>
      </c>
      <c r="C650" s="4" t="s">
        <v>710</v>
      </c>
      <c r="D650" s="4">
        <v>598.0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669</v>
      </c>
      <c r="B651" s="4" t="s">
        <v>26</v>
      </c>
      <c r="C651" s="4" t="s">
        <v>711</v>
      </c>
      <c r="D651" s="4">
        <v>692.0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669</v>
      </c>
      <c r="B652" s="4" t="s">
        <v>26</v>
      </c>
      <c r="C652" s="4" t="s">
        <v>712</v>
      </c>
      <c r="D652" s="4">
        <v>968.0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669</v>
      </c>
      <c r="B653" s="4" t="s">
        <v>115</v>
      </c>
      <c r="C653" s="4" t="s">
        <v>713</v>
      </c>
      <c r="D653" s="4">
        <v>880.0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669</v>
      </c>
      <c r="B654" s="4" t="s">
        <v>115</v>
      </c>
      <c r="C654" s="4" t="s">
        <v>714</v>
      </c>
      <c r="D654" s="4">
        <v>985.0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669</v>
      </c>
      <c r="B655" s="4" t="s">
        <v>115</v>
      </c>
      <c r="C655" s="4" t="s">
        <v>715</v>
      </c>
      <c r="D655" s="4">
        <v>664.0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669</v>
      </c>
      <c r="B656" s="4" t="s">
        <v>716</v>
      </c>
      <c r="C656" s="4" t="s">
        <v>717</v>
      </c>
      <c r="D656" s="4">
        <v>527.0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669</v>
      </c>
      <c r="B657" s="4" t="s">
        <v>716</v>
      </c>
      <c r="C657" s="4" t="s">
        <v>718</v>
      </c>
      <c r="D657" s="4">
        <v>133.0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669</v>
      </c>
      <c r="B658" s="4" t="s">
        <v>716</v>
      </c>
      <c r="C658" s="4" t="s">
        <v>719</v>
      </c>
      <c r="D658" s="4">
        <v>167.0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669</v>
      </c>
      <c r="B659" s="4" t="s">
        <v>28</v>
      </c>
      <c r="C659" s="4" t="s">
        <v>720</v>
      </c>
      <c r="D659" s="4">
        <v>540.0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669</v>
      </c>
      <c r="B660" s="4" t="s">
        <v>28</v>
      </c>
      <c r="C660" s="4" t="s">
        <v>721</v>
      </c>
      <c r="D660" s="4">
        <v>473.0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669</v>
      </c>
      <c r="B661" s="4" t="s">
        <v>30</v>
      </c>
      <c r="C661" s="4" t="s">
        <v>722</v>
      </c>
      <c r="D661" s="4">
        <v>212.0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669</v>
      </c>
      <c r="B662" s="4" t="s">
        <v>30</v>
      </c>
      <c r="C662" s="4" t="s">
        <v>723</v>
      </c>
      <c r="D662" s="4">
        <v>654.0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669</v>
      </c>
      <c r="B663" s="4" t="s">
        <v>30</v>
      </c>
      <c r="C663" s="4" t="s">
        <v>724</v>
      </c>
      <c r="D663" s="4">
        <v>449.0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669</v>
      </c>
      <c r="B664" s="4" t="s">
        <v>125</v>
      </c>
      <c r="C664" s="4" t="s">
        <v>725</v>
      </c>
      <c r="D664" s="4">
        <v>177.0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669</v>
      </c>
      <c r="B665" s="4" t="s">
        <v>125</v>
      </c>
      <c r="C665" s="4" t="s">
        <v>726</v>
      </c>
      <c r="D665" s="4">
        <v>955.0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669</v>
      </c>
      <c r="B666" s="4" t="s">
        <v>125</v>
      </c>
      <c r="C666" s="4" t="s">
        <v>727</v>
      </c>
      <c r="D666" s="4">
        <v>456.0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669</v>
      </c>
      <c r="B667" s="4" t="s">
        <v>125</v>
      </c>
      <c r="C667" s="4" t="s">
        <v>728</v>
      </c>
      <c r="D667" s="4">
        <v>415.0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669</v>
      </c>
      <c r="B668" s="4" t="s">
        <v>125</v>
      </c>
      <c r="C668" s="4" t="s">
        <v>729</v>
      </c>
      <c r="D668" s="4">
        <v>102.0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669</v>
      </c>
      <c r="B669" s="4" t="s">
        <v>125</v>
      </c>
      <c r="C669" s="4" t="s">
        <v>730</v>
      </c>
      <c r="D669" s="4">
        <v>857.0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669</v>
      </c>
      <c r="B670" s="4" t="s">
        <v>125</v>
      </c>
      <c r="C670" s="4" t="s">
        <v>731</v>
      </c>
      <c r="D670" s="4">
        <v>846.0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669</v>
      </c>
      <c r="B671" s="4" t="s">
        <v>32</v>
      </c>
      <c r="C671" s="4" t="s">
        <v>732</v>
      </c>
      <c r="D671" s="4">
        <v>799.0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669</v>
      </c>
      <c r="B672" s="4" t="s">
        <v>32</v>
      </c>
      <c r="C672" s="4" t="s">
        <v>733</v>
      </c>
      <c r="D672" s="4">
        <v>380.0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669</v>
      </c>
      <c r="B673" s="4" t="s">
        <v>34</v>
      </c>
      <c r="C673" s="4" t="s">
        <v>734</v>
      </c>
      <c r="D673" s="4">
        <v>363.0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669</v>
      </c>
      <c r="B674" s="4" t="s">
        <v>34</v>
      </c>
      <c r="C674" s="4" t="s">
        <v>735</v>
      </c>
      <c r="D674" s="4">
        <v>277.0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669</v>
      </c>
      <c r="B675" s="4" t="s">
        <v>34</v>
      </c>
      <c r="C675" s="4" t="s">
        <v>736</v>
      </c>
      <c r="D675" s="4">
        <v>169.0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669</v>
      </c>
      <c r="B676" s="4" t="s">
        <v>34</v>
      </c>
      <c r="C676" s="4" t="s">
        <v>737</v>
      </c>
      <c r="D676" s="4">
        <v>194.0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669</v>
      </c>
      <c r="B677" s="4" t="s">
        <v>36</v>
      </c>
      <c r="C677" s="4" t="s">
        <v>738</v>
      </c>
      <c r="D677" s="4">
        <v>243.0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669</v>
      </c>
      <c r="B678" s="4" t="s">
        <v>38</v>
      </c>
      <c r="C678" s="4" t="s">
        <v>739</v>
      </c>
      <c r="D678" s="4">
        <v>795.0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669</v>
      </c>
      <c r="B679" s="4" t="s">
        <v>140</v>
      </c>
      <c r="C679" s="4" t="s">
        <v>740</v>
      </c>
      <c r="D679" s="4">
        <v>678.0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669</v>
      </c>
      <c r="B680" s="4" t="s">
        <v>140</v>
      </c>
      <c r="C680" s="4" t="s">
        <v>741</v>
      </c>
      <c r="D680" s="4">
        <v>707.0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669</v>
      </c>
      <c r="B681" s="4" t="s">
        <v>145</v>
      </c>
      <c r="C681" s="4" t="s">
        <v>742</v>
      </c>
      <c r="D681" s="4">
        <v>921.0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669</v>
      </c>
      <c r="B682" s="4" t="s">
        <v>145</v>
      </c>
      <c r="C682" s="4" t="s">
        <v>743</v>
      </c>
      <c r="D682" s="4">
        <v>605.0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669</v>
      </c>
      <c r="B683" s="4" t="s">
        <v>145</v>
      </c>
      <c r="C683" s="4" t="s">
        <v>744</v>
      </c>
      <c r="D683" s="4">
        <v>300.0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669</v>
      </c>
      <c r="B684" s="4" t="s">
        <v>145</v>
      </c>
      <c r="C684" s="4" t="s">
        <v>745</v>
      </c>
      <c r="D684" s="4">
        <v>278.0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669</v>
      </c>
      <c r="B685" s="4" t="s">
        <v>40</v>
      </c>
      <c r="C685" s="4" t="s">
        <v>746</v>
      </c>
      <c r="D685" s="4">
        <v>575.0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669</v>
      </c>
      <c r="B686" s="4" t="s">
        <v>44</v>
      </c>
      <c r="C686" s="4" t="s">
        <v>747</v>
      </c>
      <c r="D686" s="4">
        <v>113.0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669</v>
      </c>
      <c r="B687" s="4" t="s">
        <v>44</v>
      </c>
      <c r="C687" s="4" t="s">
        <v>748</v>
      </c>
      <c r="D687" s="4">
        <v>679.0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669</v>
      </c>
      <c r="B688" s="4" t="s">
        <v>46</v>
      </c>
      <c r="C688" s="4" t="s">
        <v>749</v>
      </c>
      <c r="D688" s="4">
        <v>471.0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669</v>
      </c>
      <c r="B689" s="4" t="s">
        <v>46</v>
      </c>
      <c r="C689" s="4" t="s">
        <v>750</v>
      </c>
      <c r="D689" s="4">
        <v>351.0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669</v>
      </c>
      <c r="B690" s="4" t="s">
        <v>46</v>
      </c>
      <c r="C690" s="4" t="s">
        <v>751</v>
      </c>
      <c r="D690" s="4">
        <v>794.0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669</v>
      </c>
      <c r="B691" s="4" t="s">
        <v>51</v>
      </c>
      <c r="C691" s="4" t="s">
        <v>752</v>
      </c>
      <c r="D691" s="4">
        <v>441.0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669</v>
      </c>
      <c r="B692" s="4" t="s">
        <v>157</v>
      </c>
      <c r="C692" s="4" t="s">
        <v>753</v>
      </c>
      <c r="D692" s="4">
        <v>862.0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669</v>
      </c>
      <c r="B693" s="4" t="s">
        <v>157</v>
      </c>
      <c r="C693" s="4" t="s">
        <v>754</v>
      </c>
      <c r="D693" s="4">
        <v>322.0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669</v>
      </c>
      <c r="B694" s="4" t="s">
        <v>55</v>
      </c>
      <c r="C694" s="4" t="s">
        <v>755</v>
      </c>
      <c r="D694" s="4">
        <v>274.0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669</v>
      </c>
      <c r="B695" s="4" t="s">
        <v>55</v>
      </c>
      <c r="C695" s="4" t="s">
        <v>756</v>
      </c>
      <c r="D695" s="4">
        <v>437.0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669</v>
      </c>
      <c r="B696" s="4" t="s">
        <v>55</v>
      </c>
      <c r="C696" s="4" t="s">
        <v>757</v>
      </c>
      <c r="D696" s="4">
        <v>403.0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669</v>
      </c>
      <c r="B697" s="4" t="s">
        <v>55</v>
      </c>
      <c r="C697" s="4" t="s">
        <v>758</v>
      </c>
      <c r="D697" s="4">
        <v>841.0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669</v>
      </c>
      <c r="B698" s="4" t="s">
        <v>60</v>
      </c>
      <c r="C698" s="4" t="s">
        <v>759</v>
      </c>
      <c r="D698" s="4">
        <v>894.0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669</v>
      </c>
      <c r="B699" s="4" t="s">
        <v>63</v>
      </c>
      <c r="C699" s="4" t="s">
        <v>760</v>
      </c>
      <c r="D699" s="4">
        <v>304.0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669</v>
      </c>
      <c r="B700" s="4" t="s">
        <v>63</v>
      </c>
      <c r="C700" s="4" t="s">
        <v>761</v>
      </c>
      <c r="D700" s="4">
        <v>568.0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669</v>
      </c>
      <c r="B701" s="4" t="s">
        <v>548</v>
      </c>
      <c r="C701" s="4" t="s">
        <v>762</v>
      </c>
      <c r="D701" s="4">
        <v>877.0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669</v>
      </c>
      <c r="B702" s="4" t="s">
        <v>548</v>
      </c>
      <c r="C702" s="4" t="s">
        <v>763</v>
      </c>
      <c r="D702" s="4">
        <v>442.0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669</v>
      </c>
      <c r="B703" s="4" t="s">
        <v>548</v>
      </c>
      <c r="C703" s="4" t="s">
        <v>764</v>
      </c>
      <c r="D703" s="4">
        <v>257.0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669</v>
      </c>
      <c r="B704" s="4" t="s">
        <v>65</v>
      </c>
      <c r="C704" s="4" t="s">
        <v>765</v>
      </c>
      <c r="D704" s="4">
        <v>167.0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669</v>
      </c>
      <c r="B705" s="4" t="s">
        <v>65</v>
      </c>
      <c r="C705" s="4" t="s">
        <v>766</v>
      </c>
      <c r="D705" s="4">
        <v>254.0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669</v>
      </c>
      <c r="B706" s="4" t="s">
        <v>171</v>
      </c>
      <c r="C706" s="4" t="s">
        <v>767</v>
      </c>
      <c r="D706" s="4">
        <v>101.0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669</v>
      </c>
      <c r="B707" s="4" t="s">
        <v>171</v>
      </c>
      <c r="C707" s="4" t="s">
        <v>768</v>
      </c>
      <c r="D707" s="4">
        <v>961.0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669</v>
      </c>
      <c r="B708" s="4" t="s">
        <v>171</v>
      </c>
      <c r="C708" s="4" t="s">
        <v>769</v>
      </c>
      <c r="D708" s="4">
        <v>338.0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669</v>
      </c>
      <c r="B709" s="4" t="s">
        <v>174</v>
      </c>
      <c r="C709" s="4" t="s">
        <v>770</v>
      </c>
      <c r="D709" s="4">
        <v>110.0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669</v>
      </c>
      <c r="B710" s="4" t="s">
        <v>174</v>
      </c>
      <c r="C710" s="4" t="s">
        <v>771</v>
      </c>
      <c r="D710" s="4">
        <v>527.0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669</v>
      </c>
      <c r="B711" s="4" t="s">
        <v>174</v>
      </c>
      <c r="C711" s="4" t="s">
        <v>772</v>
      </c>
      <c r="D711" s="4">
        <v>405.0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669</v>
      </c>
      <c r="B712" s="4" t="s">
        <v>561</v>
      </c>
      <c r="C712" s="4" t="s">
        <v>773</v>
      </c>
      <c r="D712" s="4">
        <v>255.0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669</v>
      </c>
      <c r="B713" s="4" t="s">
        <v>561</v>
      </c>
      <c r="C713" s="4" t="s">
        <v>774</v>
      </c>
      <c r="D713" s="4">
        <v>779.0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669</v>
      </c>
      <c r="B714" s="4" t="s">
        <v>69</v>
      </c>
      <c r="C714" s="4" t="s">
        <v>775</v>
      </c>
      <c r="D714" s="4">
        <v>478.0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669</v>
      </c>
      <c r="B715" s="4" t="s">
        <v>69</v>
      </c>
      <c r="C715" s="4" t="s">
        <v>776</v>
      </c>
      <c r="D715" s="4">
        <v>485.0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669</v>
      </c>
      <c r="B716" s="4" t="s">
        <v>180</v>
      </c>
      <c r="C716" s="4" t="s">
        <v>777</v>
      </c>
      <c r="D716" s="4">
        <v>738.0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669</v>
      </c>
      <c r="B717" s="4" t="s">
        <v>180</v>
      </c>
      <c r="C717" s="4" t="s">
        <v>778</v>
      </c>
      <c r="D717" s="4">
        <v>136.0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669</v>
      </c>
      <c r="B718" s="4" t="s">
        <v>180</v>
      </c>
      <c r="C718" s="4" t="s">
        <v>779</v>
      </c>
      <c r="D718" s="4">
        <v>296.0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669</v>
      </c>
      <c r="B719" s="4" t="s">
        <v>183</v>
      </c>
      <c r="C719" s="4" t="s">
        <v>780</v>
      </c>
      <c r="D719" s="4">
        <v>597.0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669</v>
      </c>
      <c r="B720" s="4" t="s">
        <v>183</v>
      </c>
      <c r="C720" s="4" t="s">
        <v>781</v>
      </c>
      <c r="D720" s="4">
        <v>193.0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669</v>
      </c>
      <c r="B721" s="4" t="s">
        <v>183</v>
      </c>
      <c r="C721" s="4" t="s">
        <v>782</v>
      </c>
      <c r="D721" s="4">
        <v>384.0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669</v>
      </c>
      <c r="B722" s="4" t="s">
        <v>73</v>
      </c>
      <c r="C722" s="4" t="s">
        <v>783</v>
      </c>
      <c r="D722" s="4">
        <v>460.0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669</v>
      </c>
      <c r="B723" s="4" t="s">
        <v>73</v>
      </c>
      <c r="C723" s="4" t="s">
        <v>784</v>
      </c>
      <c r="D723" s="4">
        <v>975.0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669</v>
      </c>
      <c r="B724" s="4" t="s">
        <v>73</v>
      </c>
      <c r="C724" s="4" t="s">
        <v>785</v>
      </c>
      <c r="D724" s="4">
        <v>980.0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669</v>
      </c>
      <c r="B725" s="4" t="s">
        <v>73</v>
      </c>
      <c r="C725" s="4" t="s">
        <v>786</v>
      </c>
      <c r="D725" s="4">
        <v>780.0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669</v>
      </c>
      <c r="B726" s="4" t="s">
        <v>76</v>
      </c>
      <c r="C726" s="4" t="s">
        <v>787</v>
      </c>
      <c r="D726" s="4">
        <v>235.0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669</v>
      </c>
      <c r="B727" s="4" t="s">
        <v>78</v>
      </c>
      <c r="C727" s="4" t="s">
        <v>788</v>
      </c>
      <c r="D727" s="4">
        <v>760.0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669</v>
      </c>
      <c r="B728" s="4" t="s">
        <v>78</v>
      </c>
      <c r="C728" s="4" t="s">
        <v>789</v>
      </c>
      <c r="D728" s="4">
        <v>709.0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669</v>
      </c>
      <c r="B729" s="4" t="s">
        <v>78</v>
      </c>
      <c r="C729" s="4" t="s">
        <v>790</v>
      </c>
      <c r="D729" s="4">
        <v>779.0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669</v>
      </c>
      <c r="B730" s="4" t="s">
        <v>195</v>
      </c>
      <c r="C730" s="4" t="s">
        <v>791</v>
      </c>
      <c r="D730" s="4">
        <v>915.0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669</v>
      </c>
      <c r="B731" s="4" t="s">
        <v>195</v>
      </c>
      <c r="C731" s="4" t="s">
        <v>792</v>
      </c>
      <c r="D731" s="4">
        <v>910.0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669</v>
      </c>
      <c r="B732" s="4" t="s">
        <v>195</v>
      </c>
      <c r="C732" s="4" t="s">
        <v>793</v>
      </c>
      <c r="D732" s="4">
        <v>138.0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669</v>
      </c>
      <c r="B733" s="4" t="s">
        <v>195</v>
      </c>
      <c r="C733" s="4" t="s">
        <v>794</v>
      </c>
      <c r="D733" s="4">
        <v>824.0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669</v>
      </c>
      <c r="B734" s="4" t="s">
        <v>199</v>
      </c>
      <c r="C734" s="4" t="s">
        <v>795</v>
      </c>
      <c r="D734" s="4">
        <v>925.0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669</v>
      </c>
      <c r="B735" s="4" t="s">
        <v>199</v>
      </c>
      <c r="C735" s="4" t="s">
        <v>796</v>
      </c>
      <c r="D735" s="4">
        <v>393.0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669</v>
      </c>
      <c r="B736" s="4" t="s">
        <v>201</v>
      </c>
      <c r="C736" s="4" t="s">
        <v>797</v>
      </c>
      <c r="D736" s="4">
        <v>193.0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669</v>
      </c>
      <c r="B737" s="4" t="s">
        <v>201</v>
      </c>
      <c r="C737" s="4" t="s">
        <v>798</v>
      </c>
      <c r="D737" s="4">
        <v>473.0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669</v>
      </c>
      <c r="B738" s="4" t="s">
        <v>201</v>
      </c>
      <c r="C738" s="4" t="s">
        <v>799</v>
      </c>
      <c r="D738" s="4">
        <v>136.0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669</v>
      </c>
      <c r="B739" s="4" t="s">
        <v>204</v>
      </c>
      <c r="C739" s="4" t="s">
        <v>800</v>
      </c>
      <c r="D739" s="4">
        <v>512.0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669</v>
      </c>
      <c r="B740" s="4" t="s">
        <v>204</v>
      </c>
      <c r="C740" s="4" t="s">
        <v>801</v>
      </c>
      <c r="D740" s="4">
        <v>517.0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669</v>
      </c>
      <c r="B741" s="4" t="s">
        <v>802</v>
      </c>
      <c r="C741" s="4" t="s">
        <v>803</v>
      </c>
      <c r="D741" s="4">
        <v>162.0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669</v>
      </c>
      <c r="B742" s="4" t="s">
        <v>802</v>
      </c>
      <c r="C742" s="4" t="s">
        <v>804</v>
      </c>
      <c r="D742" s="4">
        <v>246.0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805</v>
      </c>
      <c r="B743" s="4" t="s">
        <v>5</v>
      </c>
      <c r="C743" s="4" t="s">
        <v>806</v>
      </c>
      <c r="D743" s="4">
        <v>744.0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805</v>
      </c>
      <c r="B744" s="4" t="s">
        <v>5</v>
      </c>
      <c r="C744" s="4" t="s">
        <v>807</v>
      </c>
      <c r="D744" s="4">
        <v>190.0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805</v>
      </c>
      <c r="B745" s="4" t="s">
        <v>5</v>
      </c>
      <c r="C745" s="4" t="s">
        <v>808</v>
      </c>
      <c r="D745" s="4">
        <v>297.0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805</v>
      </c>
      <c r="B746" s="4" t="s">
        <v>5</v>
      </c>
      <c r="C746" s="4" t="s">
        <v>809</v>
      </c>
      <c r="D746" s="4">
        <v>493.0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805</v>
      </c>
      <c r="B747" s="4" t="s">
        <v>7</v>
      </c>
      <c r="C747" s="4" t="s">
        <v>810</v>
      </c>
      <c r="D747" s="4">
        <v>352.0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805</v>
      </c>
      <c r="B748" s="4" t="s">
        <v>7</v>
      </c>
      <c r="C748" s="4" t="s">
        <v>811</v>
      </c>
      <c r="D748" s="4">
        <v>500.0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805</v>
      </c>
      <c r="B749" s="4" t="s">
        <v>12</v>
      </c>
      <c r="C749" s="4" t="s">
        <v>812</v>
      </c>
      <c r="D749" s="4">
        <v>593.0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805</v>
      </c>
      <c r="B750" s="4" t="s">
        <v>12</v>
      </c>
      <c r="C750" s="4" t="s">
        <v>813</v>
      </c>
      <c r="D750" s="4">
        <v>209.0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805</v>
      </c>
      <c r="B751" s="4" t="s">
        <v>12</v>
      </c>
      <c r="C751" s="4" t="s">
        <v>814</v>
      </c>
      <c r="D751" s="4">
        <v>995.0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805</v>
      </c>
      <c r="B752" s="4" t="s">
        <v>815</v>
      </c>
      <c r="C752" s="4" t="s">
        <v>816</v>
      </c>
      <c r="D752" s="4">
        <v>565.0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805</v>
      </c>
      <c r="B753" s="4" t="s">
        <v>815</v>
      </c>
      <c r="C753" s="4" t="s">
        <v>817</v>
      </c>
      <c r="D753" s="4">
        <v>727.0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805</v>
      </c>
      <c r="B754" s="4" t="s">
        <v>815</v>
      </c>
      <c r="C754" s="4" t="s">
        <v>818</v>
      </c>
      <c r="D754" s="4">
        <v>383.0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805</v>
      </c>
      <c r="B755" s="4" t="s">
        <v>17</v>
      </c>
      <c r="C755" s="4" t="s">
        <v>819</v>
      </c>
      <c r="D755" s="4">
        <v>120.0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805</v>
      </c>
      <c r="B756" s="4" t="s">
        <v>17</v>
      </c>
      <c r="C756" s="4" t="s">
        <v>820</v>
      </c>
      <c r="D756" s="4">
        <v>884.0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805</v>
      </c>
      <c r="B757" s="4" t="s">
        <v>17</v>
      </c>
      <c r="C757" s="4" t="s">
        <v>821</v>
      </c>
      <c r="D757" s="4">
        <v>287.0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805</v>
      </c>
      <c r="B758" s="4" t="s">
        <v>822</v>
      </c>
      <c r="C758" s="4" t="s">
        <v>823</v>
      </c>
      <c r="D758" s="4">
        <v>812.0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805</v>
      </c>
      <c r="B759" s="4" t="s">
        <v>822</v>
      </c>
      <c r="C759" s="4" t="s">
        <v>824</v>
      </c>
      <c r="D759" s="4">
        <v>668.0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805</v>
      </c>
      <c r="B760" s="4" t="s">
        <v>822</v>
      </c>
      <c r="C760" s="4" t="s">
        <v>825</v>
      </c>
      <c r="D760" s="4">
        <v>501.0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805</v>
      </c>
      <c r="B761" s="4" t="s">
        <v>822</v>
      </c>
      <c r="C761" s="4" t="s">
        <v>826</v>
      </c>
      <c r="D761" s="4">
        <v>352.0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805</v>
      </c>
      <c r="B762" s="4" t="s">
        <v>20</v>
      </c>
      <c r="C762" s="4" t="s">
        <v>827</v>
      </c>
      <c r="D762" s="4">
        <v>566.0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805</v>
      </c>
      <c r="B763" s="4" t="s">
        <v>20</v>
      </c>
      <c r="C763" s="4" t="s">
        <v>828</v>
      </c>
      <c r="D763" s="4">
        <v>321.0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805</v>
      </c>
      <c r="B764" s="4" t="s">
        <v>20</v>
      </c>
      <c r="C764" s="4" t="s">
        <v>829</v>
      </c>
      <c r="D764" s="4">
        <v>884.0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805</v>
      </c>
      <c r="B765" s="4" t="s">
        <v>20</v>
      </c>
      <c r="C765" s="4" t="s">
        <v>830</v>
      </c>
      <c r="D765" s="4">
        <v>800.0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805</v>
      </c>
      <c r="B766" s="4" t="s">
        <v>94</v>
      </c>
      <c r="C766" s="4" t="s">
        <v>831</v>
      </c>
      <c r="D766" s="4">
        <v>345.0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805</v>
      </c>
      <c r="B767" s="4" t="s">
        <v>94</v>
      </c>
      <c r="C767" s="4" t="s">
        <v>832</v>
      </c>
      <c r="D767" s="4">
        <v>915.0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805</v>
      </c>
      <c r="B768" s="4" t="s">
        <v>94</v>
      </c>
      <c r="C768" s="4" t="s">
        <v>833</v>
      </c>
      <c r="D768" s="4">
        <v>963.0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805</v>
      </c>
      <c r="B769" s="4" t="s">
        <v>94</v>
      </c>
      <c r="C769" s="4" t="s">
        <v>834</v>
      </c>
      <c r="D769" s="4">
        <v>712.0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805</v>
      </c>
      <c r="B770" s="4" t="s">
        <v>476</v>
      </c>
      <c r="C770" s="4" t="s">
        <v>835</v>
      </c>
      <c r="D770" s="4">
        <v>502.0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805</v>
      </c>
      <c r="B771" s="4" t="s">
        <v>96</v>
      </c>
      <c r="C771" s="4" t="s">
        <v>836</v>
      </c>
      <c r="D771" s="4">
        <v>629.0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805</v>
      </c>
      <c r="B772" s="4" t="s">
        <v>96</v>
      </c>
      <c r="C772" s="4" t="s">
        <v>837</v>
      </c>
      <c r="D772" s="4">
        <v>296.0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805</v>
      </c>
      <c r="B773" s="4" t="s">
        <v>96</v>
      </c>
      <c r="C773" s="4" t="s">
        <v>838</v>
      </c>
      <c r="D773" s="4">
        <v>430.0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805</v>
      </c>
      <c r="B774" s="4" t="s">
        <v>96</v>
      </c>
      <c r="C774" s="4" t="s">
        <v>839</v>
      </c>
      <c r="D774" s="4">
        <v>253.0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805</v>
      </c>
      <c r="B775" s="4" t="s">
        <v>96</v>
      </c>
      <c r="C775" s="4" t="s">
        <v>840</v>
      </c>
      <c r="D775" s="4">
        <v>165.0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805</v>
      </c>
      <c r="B776" s="4" t="s">
        <v>96</v>
      </c>
      <c r="C776" s="4" t="s">
        <v>841</v>
      </c>
      <c r="D776" s="4">
        <v>852.0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805</v>
      </c>
      <c r="B777" s="4" t="s">
        <v>22</v>
      </c>
      <c r="C777" s="4" t="s">
        <v>842</v>
      </c>
      <c r="D777" s="4">
        <v>323.0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805</v>
      </c>
      <c r="B778" s="4" t="s">
        <v>22</v>
      </c>
      <c r="C778" s="4" t="s">
        <v>843</v>
      </c>
      <c r="D778" s="4">
        <v>656.0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805</v>
      </c>
      <c r="B779" s="4" t="s">
        <v>22</v>
      </c>
      <c r="C779" s="4" t="s">
        <v>844</v>
      </c>
      <c r="D779" s="4">
        <v>698.0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805</v>
      </c>
      <c r="B780" s="4" t="s">
        <v>845</v>
      </c>
      <c r="C780" s="4" t="s">
        <v>846</v>
      </c>
      <c r="D780" s="4">
        <v>259.0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805</v>
      </c>
      <c r="B781" s="4" t="s">
        <v>845</v>
      </c>
      <c r="C781" s="4" t="s">
        <v>847</v>
      </c>
      <c r="D781" s="4">
        <v>227.0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805</v>
      </c>
      <c r="B782" s="4" t="s">
        <v>845</v>
      </c>
      <c r="C782" s="4" t="s">
        <v>848</v>
      </c>
      <c r="D782" s="4">
        <v>769.0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805</v>
      </c>
      <c r="B783" s="4" t="s">
        <v>845</v>
      </c>
      <c r="C783" s="4" t="s">
        <v>849</v>
      </c>
      <c r="D783" s="4">
        <v>516.0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805</v>
      </c>
      <c r="B784" s="4" t="s">
        <v>103</v>
      </c>
      <c r="C784" s="4" t="s">
        <v>850</v>
      </c>
      <c r="D784" s="4">
        <v>469.0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805</v>
      </c>
      <c r="B785" s="4" t="s">
        <v>103</v>
      </c>
      <c r="C785" s="4" t="s">
        <v>851</v>
      </c>
      <c r="D785" s="4">
        <v>621.0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805</v>
      </c>
      <c r="B786" s="4" t="s">
        <v>103</v>
      </c>
      <c r="C786" s="4" t="s">
        <v>852</v>
      </c>
      <c r="D786" s="4">
        <v>836.0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805</v>
      </c>
      <c r="B787" s="4" t="s">
        <v>103</v>
      </c>
      <c r="C787" s="4" t="s">
        <v>853</v>
      </c>
      <c r="D787" s="4">
        <v>782.0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805</v>
      </c>
      <c r="B788" s="4" t="s">
        <v>103</v>
      </c>
      <c r="C788" s="4" t="s">
        <v>854</v>
      </c>
      <c r="D788" s="4">
        <v>190.0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805</v>
      </c>
      <c r="B789" s="4" t="s">
        <v>103</v>
      </c>
      <c r="C789" s="4" t="s">
        <v>855</v>
      </c>
      <c r="D789" s="4">
        <v>125.0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805</v>
      </c>
      <c r="B790" s="4" t="s">
        <v>103</v>
      </c>
      <c r="C790" s="4" t="s">
        <v>856</v>
      </c>
      <c r="D790" s="4">
        <v>756.0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805</v>
      </c>
      <c r="B791" s="4" t="s">
        <v>103</v>
      </c>
      <c r="C791" s="4" t="s">
        <v>857</v>
      </c>
      <c r="D791" s="4">
        <v>489.0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805</v>
      </c>
      <c r="B792" s="4" t="s">
        <v>103</v>
      </c>
      <c r="C792" s="4" t="s">
        <v>858</v>
      </c>
      <c r="D792" s="4">
        <v>548.0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805</v>
      </c>
      <c r="B793" s="4" t="s">
        <v>106</v>
      </c>
      <c r="C793" s="4" t="s">
        <v>859</v>
      </c>
      <c r="D793" s="4">
        <v>217.0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805</v>
      </c>
      <c r="B794" s="4" t="s">
        <v>700</v>
      </c>
      <c r="C794" s="4" t="s">
        <v>860</v>
      </c>
      <c r="D794" s="4">
        <v>209.0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805</v>
      </c>
      <c r="B795" s="4" t="s">
        <v>24</v>
      </c>
      <c r="C795" s="4" t="s">
        <v>861</v>
      </c>
      <c r="D795" s="4">
        <v>556.0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805</v>
      </c>
      <c r="B796" s="4" t="s">
        <v>24</v>
      </c>
      <c r="C796" s="4" t="s">
        <v>862</v>
      </c>
      <c r="D796" s="4">
        <v>404.0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805</v>
      </c>
      <c r="B797" s="4" t="s">
        <v>498</v>
      </c>
      <c r="C797" s="4" t="s">
        <v>863</v>
      </c>
      <c r="D797" s="4">
        <v>936.0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805</v>
      </c>
      <c r="B798" s="4" t="s">
        <v>498</v>
      </c>
      <c r="C798" s="4" t="s">
        <v>864</v>
      </c>
      <c r="D798" s="4">
        <v>141.0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805</v>
      </c>
      <c r="B799" s="4" t="s">
        <v>498</v>
      </c>
      <c r="C799" s="4" t="s">
        <v>865</v>
      </c>
      <c r="D799" s="4">
        <v>148.0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805</v>
      </c>
      <c r="B800" s="4" t="s">
        <v>498</v>
      </c>
      <c r="C800" s="4" t="s">
        <v>866</v>
      </c>
      <c r="D800" s="4">
        <v>166.0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805</v>
      </c>
      <c r="B801" s="4" t="s">
        <v>26</v>
      </c>
      <c r="C801" s="4" t="s">
        <v>867</v>
      </c>
      <c r="D801" s="4">
        <v>928.0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805</v>
      </c>
      <c r="B802" s="4" t="s">
        <v>26</v>
      </c>
      <c r="C802" s="4" t="s">
        <v>868</v>
      </c>
      <c r="D802" s="4">
        <v>606.0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805</v>
      </c>
      <c r="B803" s="4" t="s">
        <v>26</v>
      </c>
      <c r="C803" s="4" t="s">
        <v>869</v>
      </c>
      <c r="D803" s="4">
        <v>474.0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805</v>
      </c>
      <c r="B804" s="4" t="s">
        <v>115</v>
      </c>
      <c r="C804" s="4" t="s">
        <v>870</v>
      </c>
      <c r="D804" s="4">
        <v>645.0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805</v>
      </c>
      <c r="B805" s="4" t="s">
        <v>115</v>
      </c>
      <c r="C805" s="4" t="s">
        <v>871</v>
      </c>
      <c r="D805" s="4">
        <v>850.0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805</v>
      </c>
      <c r="B806" s="4" t="s">
        <v>115</v>
      </c>
      <c r="C806" s="4" t="s">
        <v>872</v>
      </c>
      <c r="D806" s="4">
        <v>319.0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805</v>
      </c>
      <c r="B807" s="4" t="s">
        <v>716</v>
      </c>
      <c r="C807" s="4" t="s">
        <v>873</v>
      </c>
      <c r="D807" s="4">
        <v>606.0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805</v>
      </c>
      <c r="B808" s="4" t="s">
        <v>716</v>
      </c>
      <c r="C808" s="4" t="s">
        <v>874</v>
      </c>
      <c r="D808" s="4">
        <v>753.0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805</v>
      </c>
      <c r="B809" s="4" t="s">
        <v>716</v>
      </c>
      <c r="C809" s="4" t="s">
        <v>875</v>
      </c>
      <c r="D809" s="4">
        <v>105.0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805</v>
      </c>
      <c r="B810" s="4" t="s">
        <v>28</v>
      </c>
      <c r="C810" s="4" t="s">
        <v>876</v>
      </c>
      <c r="D810" s="4">
        <v>656.0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805</v>
      </c>
      <c r="B811" s="4" t="s">
        <v>28</v>
      </c>
      <c r="C811" s="4" t="s">
        <v>877</v>
      </c>
      <c r="D811" s="4">
        <v>954.0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805</v>
      </c>
      <c r="B812" s="4" t="s">
        <v>30</v>
      </c>
      <c r="C812" s="4" t="s">
        <v>878</v>
      </c>
      <c r="D812" s="4">
        <v>836.0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805</v>
      </c>
      <c r="B813" s="4" t="s">
        <v>30</v>
      </c>
      <c r="C813" s="4" t="s">
        <v>879</v>
      </c>
      <c r="D813" s="4">
        <v>432.0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805</v>
      </c>
      <c r="B814" s="4" t="s">
        <v>125</v>
      </c>
      <c r="C814" s="4" t="s">
        <v>880</v>
      </c>
      <c r="D814" s="4">
        <v>492.0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805</v>
      </c>
      <c r="B815" s="4" t="s">
        <v>125</v>
      </c>
      <c r="C815" s="4" t="s">
        <v>881</v>
      </c>
      <c r="D815" s="4">
        <v>289.0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805</v>
      </c>
      <c r="B816" s="4" t="s">
        <v>125</v>
      </c>
      <c r="C816" s="4" t="s">
        <v>882</v>
      </c>
      <c r="D816" s="4">
        <v>422.0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805</v>
      </c>
      <c r="B817" s="4" t="s">
        <v>125</v>
      </c>
      <c r="C817" s="4" t="s">
        <v>883</v>
      </c>
      <c r="D817" s="4">
        <v>734.0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805</v>
      </c>
      <c r="B818" s="4" t="s">
        <v>125</v>
      </c>
      <c r="C818" s="4" t="s">
        <v>884</v>
      </c>
      <c r="D818" s="4">
        <v>986.0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805</v>
      </c>
      <c r="B819" s="4" t="s">
        <v>32</v>
      </c>
      <c r="C819" s="4" t="s">
        <v>885</v>
      </c>
      <c r="D819" s="4">
        <v>131.0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805</v>
      </c>
      <c r="B820" s="4" t="s">
        <v>32</v>
      </c>
      <c r="C820" s="4" t="s">
        <v>886</v>
      </c>
      <c r="D820" s="4">
        <v>329.0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805</v>
      </c>
      <c r="B821" s="4" t="s">
        <v>32</v>
      </c>
      <c r="C821" s="4" t="s">
        <v>887</v>
      </c>
      <c r="D821" s="4">
        <v>412.0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805</v>
      </c>
      <c r="B822" s="4" t="s">
        <v>32</v>
      </c>
      <c r="C822" s="4" t="s">
        <v>888</v>
      </c>
      <c r="D822" s="4">
        <v>770.0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805</v>
      </c>
      <c r="B823" s="4" t="s">
        <v>32</v>
      </c>
      <c r="C823" s="4" t="s">
        <v>889</v>
      </c>
      <c r="D823" s="4">
        <v>707.0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805</v>
      </c>
      <c r="B824" s="4" t="s">
        <v>34</v>
      </c>
      <c r="C824" s="4" t="s">
        <v>890</v>
      </c>
      <c r="D824" s="4">
        <v>625.0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805</v>
      </c>
      <c r="B825" s="4" t="s">
        <v>34</v>
      </c>
      <c r="C825" s="4" t="s">
        <v>891</v>
      </c>
      <c r="D825" s="4">
        <v>370.0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805</v>
      </c>
      <c r="B826" s="4" t="s">
        <v>34</v>
      </c>
      <c r="C826" s="4" t="s">
        <v>892</v>
      </c>
      <c r="D826" s="4">
        <v>492.0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805</v>
      </c>
      <c r="B827" s="4" t="s">
        <v>34</v>
      </c>
      <c r="C827" s="4" t="s">
        <v>893</v>
      </c>
      <c r="D827" s="4">
        <v>139.0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805</v>
      </c>
      <c r="B828" s="4" t="s">
        <v>36</v>
      </c>
      <c r="C828" s="4" t="s">
        <v>894</v>
      </c>
      <c r="D828" s="4">
        <v>918.0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805</v>
      </c>
      <c r="B829" s="4" t="s">
        <v>38</v>
      </c>
      <c r="C829" s="4" t="s">
        <v>895</v>
      </c>
      <c r="D829" s="4">
        <v>555.0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805</v>
      </c>
      <c r="B830" s="4" t="s">
        <v>38</v>
      </c>
      <c r="C830" s="4" t="s">
        <v>896</v>
      </c>
      <c r="D830" s="4">
        <v>926.0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805</v>
      </c>
      <c r="B831" s="4" t="s">
        <v>38</v>
      </c>
      <c r="C831" s="4" t="s">
        <v>897</v>
      </c>
      <c r="D831" s="4">
        <v>804.0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805</v>
      </c>
      <c r="B832" s="4" t="s">
        <v>38</v>
      </c>
      <c r="C832" s="4" t="s">
        <v>898</v>
      </c>
      <c r="D832" s="4">
        <v>340.0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805</v>
      </c>
      <c r="B833" s="4" t="s">
        <v>140</v>
      </c>
      <c r="C833" s="4" t="s">
        <v>899</v>
      </c>
      <c r="D833" s="4">
        <v>804.0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805</v>
      </c>
      <c r="B834" s="4" t="s">
        <v>140</v>
      </c>
      <c r="C834" s="4" t="s">
        <v>900</v>
      </c>
      <c r="D834" s="4">
        <v>288.0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805</v>
      </c>
      <c r="B835" s="4" t="s">
        <v>145</v>
      </c>
      <c r="C835" s="4" t="s">
        <v>901</v>
      </c>
      <c r="D835" s="4">
        <v>616.0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805</v>
      </c>
      <c r="B836" s="4" t="s">
        <v>145</v>
      </c>
      <c r="C836" s="4" t="s">
        <v>902</v>
      </c>
      <c r="D836" s="4">
        <v>816.0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805</v>
      </c>
      <c r="B837" s="4" t="s">
        <v>145</v>
      </c>
      <c r="C837" s="4" t="s">
        <v>903</v>
      </c>
      <c r="D837" s="4">
        <v>816.0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805</v>
      </c>
      <c r="B838" s="4" t="s">
        <v>145</v>
      </c>
      <c r="C838" s="4" t="s">
        <v>904</v>
      </c>
      <c r="D838" s="4">
        <v>861.0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805</v>
      </c>
      <c r="B839" s="4" t="s">
        <v>145</v>
      </c>
      <c r="C839" s="4" t="s">
        <v>905</v>
      </c>
      <c r="D839" s="4">
        <v>263.0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805</v>
      </c>
      <c r="B840" s="4" t="s">
        <v>40</v>
      </c>
      <c r="C840" s="4" t="s">
        <v>906</v>
      </c>
      <c r="D840" s="4">
        <v>555.0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805</v>
      </c>
      <c r="B841" s="4" t="s">
        <v>40</v>
      </c>
      <c r="C841" s="4" t="s">
        <v>907</v>
      </c>
      <c r="D841" s="4">
        <v>859.0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805</v>
      </c>
      <c r="B842" s="4" t="s">
        <v>44</v>
      </c>
      <c r="C842" s="4" t="s">
        <v>908</v>
      </c>
      <c r="D842" s="4">
        <v>483.0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805</v>
      </c>
      <c r="B843" s="4" t="s">
        <v>44</v>
      </c>
      <c r="C843" s="4" t="s">
        <v>909</v>
      </c>
      <c r="D843" s="4">
        <v>174.0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805</v>
      </c>
      <c r="B844" s="4" t="s">
        <v>46</v>
      </c>
      <c r="C844" s="4" t="s">
        <v>910</v>
      </c>
      <c r="D844" s="4">
        <v>978.0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805</v>
      </c>
      <c r="B845" s="4" t="s">
        <v>51</v>
      </c>
      <c r="C845" s="4" t="s">
        <v>911</v>
      </c>
      <c r="D845" s="4">
        <v>685.0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805</v>
      </c>
      <c r="B846" s="4" t="s">
        <v>157</v>
      </c>
      <c r="C846" s="4" t="s">
        <v>912</v>
      </c>
      <c r="D846" s="4">
        <v>210.0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805</v>
      </c>
      <c r="B847" s="4" t="s">
        <v>157</v>
      </c>
      <c r="C847" s="4" t="s">
        <v>913</v>
      </c>
      <c r="D847" s="4">
        <v>262.0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805</v>
      </c>
      <c r="B848" s="4" t="s">
        <v>157</v>
      </c>
      <c r="C848" s="4" t="s">
        <v>914</v>
      </c>
      <c r="D848" s="4">
        <v>509.0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805</v>
      </c>
      <c r="B849" s="4" t="s">
        <v>157</v>
      </c>
      <c r="C849" s="4" t="s">
        <v>915</v>
      </c>
      <c r="D849" s="4">
        <v>115.0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805</v>
      </c>
      <c r="B850" s="4" t="s">
        <v>55</v>
      </c>
      <c r="C850" s="4" t="s">
        <v>916</v>
      </c>
      <c r="D850" s="4">
        <v>633.0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805</v>
      </c>
      <c r="B851" s="4" t="s">
        <v>55</v>
      </c>
      <c r="C851" s="4" t="s">
        <v>917</v>
      </c>
      <c r="D851" s="4">
        <v>361.0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805</v>
      </c>
      <c r="B852" s="4" t="s">
        <v>55</v>
      </c>
      <c r="C852" s="4" t="s">
        <v>918</v>
      </c>
      <c r="D852" s="4">
        <v>587.0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805</v>
      </c>
      <c r="B853" s="4" t="s">
        <v>55</v>
      </c>
      <c r="C853" s="4" t="s">
        <v>919</v>
      </c>
      <c r="D853" s="4">
        <v>581.0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805</v>
      </c>
      <c r="B854" s="4" t="s">
        <v>60</v>
      </c>
      <c r="C854" s="4" t="s">
        <v>920</v>
      </c>
      <c r="D854" s="4">
        <v>825.0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805</v>
      </c>
      <c r="B855" s="4" t="s">
        <v>60</v>
      </c>
      <c r="C855" s="4" t="s">
        <v>921</v>
      </c>
      <c r="D855" s="4">
        <v>261.0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805</v>
      </c>
      <c r="B856" s="4" t="s">
        <v>60</v>
      </c>
      <c r="C856" s="4" t="s">
        <v>922</v>
      </c>
      <c r="D856" s="4">
        <v>979.0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805</v>
      </c>
      <c r="B857" s="4" t="s">
        <v>60</v>
      </c>
      <c r="C857" s="4" t="s">
        <v>923</v>
      </c>
      <c r="D857" s="4">
        <v>269.0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805</v>
      </c>
      <c r="B858" s="4" t="s">
        <v>63</v>
      </c>
      <c r="C858" s="4" t="s">
        <v>924</v>
      </c>
      <c r="D858" s="4">
        <v>508.0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805</v>
      </c>
      <c r="B859" s="4" t="s">
        <v>63</v>
      </c>
      <c r="C859" s="4" t="s">
        <v>925</v>
      </c>
      <c r="D859" s="4">
        <v>259.0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805</v>
      </c>
      <c r="B860" s="4" t="s">
        <v>63</v>
      </c>
      <c r="C860" s="4" t="s">
        <v>926</v>
      </c>
      <c r="D860" s="4">
        <v>367.0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805</v>
      </c>
      <c r="B861" s="4" t="s">
        <v>63</v>
      </c>
      <c r="C861" s="4" t="s">
        <v>927</v>
      </c>
      <c r="D861" s="4">
        <v>327.0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805</v>
      </c>
      <c r="B862" s="4" t="s">
        <v>548</v>
      </c>
      <c r="C862" s="4" t="s">
        <v>928</v>
      </c>
      <c r="D862" s="4">
        <v>248.0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805</v>
      </c>
      <c r="B863" s="4" t="s">
        <v>65</v>
      </c>
      <c r="C863" s="4" t="s">
        <v>929</v>
      </c>
      <c r="D863" s="4">
        <v>715.0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805</v>
      </c>
      <c r="B864" s="4" t="s">
        <v>171</v>
      </c>
      <c r="C864" s="4" t="s">
        <v>930</v>
      </c>
      <c r="D864" s="4">
        <v>681.0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805</v>
      </c>
      <c r="B865" s="4" t="s">
        <v>171</v>
      </c>
      <c r="C865" s="4" t="s">
        <v>931</v>
      </c>
      <c r="D865" s="4">
        <v>816.0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805</v>
      </c>
      <c r="B866" s="4" t="s">
        <v>171</v>
      </c>
      <c r="C866" s="4" t="s">
        <v>932</v>
      </c>
      <c r="D866" s="4">
        <v>260.0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805</v>
      </c>
      <c r="B867" s="4" t="s">
        <v>171</v>
      </c>
      <c r="C867" s="4" t="s">
        <v>933</v>
      </c>
      <c r="D867" s="4">
        <v>255.0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805</v>
      </c>
      <c r="B868" s="4" t="s">
        <v>174</v>
      </c>
      <c r="C868" s="4" t="s">
        <v>934</v>
      </c>
      <c r="D868" s="4">
        <v>185.0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805</v>
      </c>
      <c r="B869" s="4" t="s">
        <v>174</v>
      </c>
      <c r="C869" s="4" t="s">
        <v>935</v>
      </c>
      <c r="D869" s="4">
        <v>914.0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805</v>
      </c>
      <c r="B870" s="4" t="s">
        <v>174</v>
      </c>
      <c r="C870" s="4" t="s">
        <v>936</v>
      </c>
      <c r="D870" s="4">
        <v>454.0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805</v>
      </c>
      <c r="B871" s="4" t="s">
        <v>174</v>
      </c>
      <c r="C871" s="4" t="s">
        <v>937</v>
      </c>
      <c r="D871" s="4">
        <v>867.0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805</v>
      </c>
      <c r="B872" s="4" t="s">
        <v>938</v>
      </c>
      <c r="C872" s="4" t="s">
        <v>939</v>
      </c>
      <c r="D872" s="4">
        <v>547.0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805</v>
      </c>
      <c r="B873" s="4" t="s">
        <v>561</v>
      </c>
      <c r="C873" s="4" t="s">
        <v>940</v>
      </c>
      <c r="D873" s="4">
        <v>293.0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805</v>
      </c>
      <c r="B874" s="4" t="s">
        <v>561</v>
      </c>
      <c r="C874" s="4" t="s">
        <v>941</v>
      </c>
      <c r="D874" s="4">
        <v>137.0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805</v>
      </c>
      <c r="B875" s="4" t="s">
        <v>69</v>
      </c>
      <c r="C875" s="4" t="s">
        <v>942</v>
      </c>
      <c r="D875" s="4">
        <v>197.0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805</v>
      </c>
      <c r="B876" s="4" t="s">
        <v>69</v>
      </c>
      <c r="C876" s="4" t="s">
        <v>943</v>
      </c>
      <c r="D876" s="4">
        <v>410.0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805</v>
      </c>
      <c r="B877" s="4" t="s">
        <v>180</v>
      </c>
      <c r="C877" s="4" t="s">
        <v>944</v>
      </c>
      <c r="D877" s="4">
        <v>734.0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805</v>
      </c>
      <c r="B878" s="4" t="s">
        <v>180</v>
      </c>
      <c r="C878" s="4" t="s">
        <v>945</v>
      </c>
      <c r="D878" s="4">
        <v>324.0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805</v>
      </c>
      <c r="B879" s="4" t="s">
        <v>183</v>
      </c>
      <c r="C879" s="4" t="s">
        <v>946</v>
      </c>
      <c r="D879" s="4">
        <v>963.0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805</v>
      </c>
      <c r="B880" s="4" t="s">
        <v>73</v>
      </c>
      <c r="C880" s="4" t="s">
        <v>947</v>
      </c>
      <c r="D880" s="4">
        <v>892.0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805</v>
      </c>
      <c r="B881" s="4" t="s">
        <v>73</v>
      </c>
      <c r="C881" s="4" t="s">
        <v>948</v>
      </c>
      <c r="D881" s="4">
        <v>640.0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805</v>
      </c>
      <c r="B882" s="4" t="s">
        <v>76</v>
      </c>
      <c r="C882" s="4" t="s">
        <v>949</v>
      </c>
      <c r="D882" s="4">
        <v>613.0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805</v>
      </c>
      <c r="B883" s="4" t="s">
        <v>76</v>
      </c>
      <c r="C883" s="4" t="s">
        <v>950</v>
      </c>
      <c r="D883" s="4">
        <v>864.0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805</v>
      </c>
      <c r="B884" s="4" t="s">
        <v>76</v>
      </c>
      <c r="C884" s="4" t="s">
        <v>951</v>
      </c>
      <c r="D884" s="4">
        <v>969.0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805</v>
      </c>
      <c r="B885" s="4" t="s">
        <v>78</v>
      </c>
      <c r="C885" s="4" t="s">
        <v>952</v>
      </c>
      <c r="D885" s="4">
        <v>896.0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805</v>
      </c>
      <c r="B886" s="4" t="s">
        <v>78</v>
      </c>
      <c r="C886" s="4" t="s">
        <v>953</v>
      </c>
      <c r="D886" s="4">
        <v>931.0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805</v>
      </c>
      <c r="B887" s="4" t="s">
        <v>195</v>
      </c>
      <c r="C887" s="4" t="s">
        <v>954</v>
      </c>
      <c r="D887" s="4">
        <v>727.0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805</v>
      </c>
      <c r="B888" s="4" t="s">
        <v>199</v>
      </c>
      <c r="C888" s="4" t="s">
        <v>955</v>
      </c>
      <c r="D888" s="4">
        <v>146.0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805</v>
      </c>
      <c r="B889" s="4" t="s">
        <v>199</v>
      </c>
      <c r="C889" s="4" t="s">
        <v>956</v>
      </c>
      <c r="D889" s="4">
        <v>462.0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805</v>
      </c>
      <c r="B890" s="4" t="s">
        <v>199</v>
      </c>
      <c r="C890" s="4" t="s">
        <v>957</v>
      </c>
      <c r="D890" s="4">
        <v>955.0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805</v>
      </c>
      <c r="B891" s="4" t="s">
        <v>201</v>
      </c>
      <c r="C891" s="4" t="s">
        <v>958</v>
      </c>
      <c r="D891" s="4">
        <v>521.0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805</v>
      </c>
      <c r="B892" s="4" t="s">
        <v>201</v>
      </c>
      <c r="C892" s="4" t="s">
        <v>959</v>
      </c>
      <c r="D892" s="4">
        <v>195.0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805</v>
      </c>
      <c r="B893" s="4" t="s">
        <v>201</v>
      </c>
      <c r="C893" s="4" t="s">
        <v>960</v>
      </c>
      <c r="D893" s="4">
        <v>159.0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805</v>
      </c>
      <c r="B894" s="4" t="s">
        <v>201</v>
      </c>
      <c r="C894" s="4" t="s">
        <v>961</v>
      </c>
      <c r="D894" s="4">
        <v>592.0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805</v>
      </c>
      <c r="B895" s="4" t="s">
        <v>204</v>
      </c>
      <c r="C895" s="4" t="s">
        <v>962</v>
      </c>
      <c r="D895" s="4">
        <v>690.0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805</v>
      </c>
      <c r="B896" s="4" t="s">
        <v>802</v>
      </c>
      <c r="C896" s="4" t="s">
        <v>963</v>
      </c>
      <c r="D896" s="4">
        <v>996.0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/>
      <c r="B1000" s="11"/>
      <c r="C1000" s="11"/>
      <c r="D1000" s="1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0.75"/>
    <col customWidth="1" min="6" max="6" width="16.13"/>
    <col customWidth="1" min="7" max="7" width="14.75"/>
  </cols>
  <sheetData>
    <row r="1">
      <c r="A1" s="1" t="s">
        <v>1</v>
      </c>
      <c r="B1" s="12" t="s">
        <v>964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</v>
      </c>
      <c r="B2" s="4" t="s">
        <v>965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36</v>
      </c>
      <c r="B3" s="4" t="s">
        <v>965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40</v>
      </c>
      <c r="B4" s="4" t="s">
        <v>965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44</v>
      </c>
      <c r="B5" s="4" t="s">
        <v>965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46</v>
      </c>
      <c r="B6" s="4" t="s">
        <v>965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63</v>
      </c>
      <c r="B7" s="4" t="s">
        <v>965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78</v>
      </c>
      <c r="B8" s="4" t="s">
        <v>965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103</v>
      </c>
      <c r="B9" s="4" t="s">
        <v>965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106</v>
      </c>
      <c r="B10" s="4" t="s">
        <v>965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115</v>
      </c>
      <c r="B11" s="4" t="s">
        <v>965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125</v>
      </c>
      <c r="B12" s="4" t="s">
        <v>965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157</v>
      </c>
      <c r="B13" s="4" t="s">
        <v>965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171</v>
      </c>
      <c r="B14" s="4" t="s">
        <v>965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195</v>
      </c>
      <c r="B15" s="4" t="s">
        <v>965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548</v>
      </c>
      <c r="B16" s="4" t="s">
        <v>965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561</v>
      </c>
      <c r="B17" s="4" t="s">
        <v>965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716</v>
      </c>
      <c r="B18" s="4" t="s">
        <v>965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822</v>
      </c>
      <c r="B19" s="4" t="s">
        <v>965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938</v>
      </c>
      <c r="B20" s="4" t="s">
        <v>965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7</v>
      </c>
      <c r="B21" s="4" t="s">
        <v>966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17</v>
      </c>
      <c r="B22" s="4" t="s">
        <v>966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20</v>
      </c>
      <c r="B23" s="4" t="s">
        <v>966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22</v>
      </c>
      <c r="B24" s="4" t="s">
        <v>966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28</v>
      </c>
      <c r="B25" s="4" t="s">
        <v>966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30</v>
      </c>
      <c r="B26" s="4" t="s">
        <v>966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34</v>
      </c>
      <c r="B27" s="4" t="s">
        <v>966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51</v>
      </c>
      <c r="B28" s="4" t="s">
        <v>966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60</v>
      </c>
      <c r="B29" s="4" t="s">
        <v>966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65</v>
      </c>
      <c r="B30" s="4" t="s">
        <v>966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69</v>
      </c>
      <c r="B31" s="4" t="s">
        <v>966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76</v>
      </c>
      <c r="B32" s="4" t="s">
        <v>966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94</v>
      </c>
      <c r="B33" s="4" t="s">
        <v>966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140</v>
      </c>
      <c r="B34" s="4" t="s">
        <v>966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145</v>
      </c>
      <c r="B35" s="4" t="s">
        <v>966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183</v>
      </c>
      <c r="B36" s="4" t="s">
        <v>966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201</v>
      </c>
      <c r="B37" s="4" t="s">
        <v>966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204</v>
      </c>
      <c r="B38" s="4" t="s">
        <v>966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476</v>
      </c>
      <c r="B39" s="4" t="s">
        <v>966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802</v>
      </c>
      <c r="B40" s="4" t="s">
        <v>966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815</v>
      </c>
      <c r="B41" s="4" t="s">
        <v>966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12</v>
      </c>
      <c r="B42" s="4" t="s">
        <v>967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24</v>
      </c>
      <c r="B43" s="4" t="s">
        <v>967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26</v>
      </c>
      <c r="B44" s="4" t="s">
        <v>967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32</v>
      </c>
      <c r="B45" s="4" t="s">
        <v>967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38</v>
      </c>
      <c r="B46" s="4" t="s">
        <v>967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55</v>
      </c>
      <c r="B47" s="4" t="s">
        <v>967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73</v>
      </c>
      <c r="B48" s="4" t="s">
        <v>967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96</v>
      </c>
      <c r="B49" s="4" t="s">
        <v>967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174</v>
      </c>
      <c r="B50" s="4" t="s">
        <v>967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180</v>
      </c>
      <c r="B51" s="4" t="s">
        <v>967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199</v>
      </c>
      <c r="B52" s="4" t="s">
        <v>967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498</v>
      </c>
      <c r="B53" s="4" t="s">
        <v>967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700</v>
      </c>
      <c r="B54" s="4" t="s">
        <v>967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845</v>
      </c>
      <c r="B55" s="4" t="s">
        <v>967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/>
      <c r="B108" s="1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/>
      <c r="B109" s="1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/>
      <c r="B110" s="1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/>
      <c r="B111" s="1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/>
      <c r="B112" s="1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/>
      <c r="B114" s="1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/>
      <c r="B115" s="1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/>
      <c r="B116" s="1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/>
      <c r="B117" s="1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/>
      <c r="B118" s="1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/>
      <c r="B120" s="1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/>
      <c r="B121" s="1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/>
      <c r="B122" s="1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/>
      <c r="B123" s="1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/>
      <c r="B124" s="1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/>
      <c r="B126" s="1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/>
      <c r="B127" s="1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/>
      <c r="B128" s="1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1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1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/>
      <c r="B132" s="1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/>
      <c r="B133" s="1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/>
      <c r="B134" s="1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/>
      <c r="B135" s="1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/>
      <c r="B136" s="1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/>
      <c r="B138" s="1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/>
      <c r="B139" s="1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/>
      <c r="B140" s="1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/>
      <c r="B141" s="1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/>
      <c r="B142" s="1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/>
      <c r="B144" s="1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/>
      <c r="B145" s="1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/>
      <c r="B146" s="1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/>
      <c r="B147" s="1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/>
      <c r="B148" s="1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/>
      <c r="B150" s="1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/>
      <c r="B151" s="1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/>
      <c r="B152" s="1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/>
      <c r="B153" s="1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/>
      <c r="B154" s="1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/>
      <c r="B156" s="1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/>
      <c r="B157" s="1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/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/>
      <c r="B159" s="1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/>
      <c r="B160" s="1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/>
      <c r="B162" s="1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/>
      <c r="B163" s="1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/>
      <c r="B164" s="1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/>
      <c r="B165" s="1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/>
      <c r="B166" s="1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/>
      <c r="B168" s="1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/>
      <c r="B169" s="1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/>
      <c r="B170" s="1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/>
      <c r="B171" s="1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/>
      <c r="B172" s="1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/>
      <c r="B174" s="1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/>
      <c r="B175" s="1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/>
      <c r="B176" s="1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/>
      <c r="B177" s="1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/>
      <c r="B178" s="1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/>
      <c r="B180" s="1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/>
      <c r="B181" s="1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/>
      <c r="B182" s="1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/>
      <c r="B183" s="1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/>
      <c r="B184" s="1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/>
      <c r="B186" s="1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/>
      <c r="B187" s="1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/>
      <c r="B188" s="1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/>
      <c r="B189" s="1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/>
      <c r="B190" s="1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/>
      <c r="B192" s="1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/>
      <c r="B193" s="1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/>
      <c r="B194" s="1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/>
      <c r="B195" s="1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/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/>
      <c r="B197" s="1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/>
      <c r="B198" s="1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/>
      <c r="B199" s="1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/>
      <c r="B200" s="1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/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/>
      <c r="B202" s="1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/>
      <c r="B203" s="1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/>
      <c r="B204" s="1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/>
      <c r="B205" s="1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/>
      <c r="B206" s="1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/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/>
      <c r="B208" s="1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/>
      <c r="B209" s="1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/>
      <c r="B210" s="1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/>
      <c r="B211" s="1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/>
      <c r="B212" s="1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/>
      <c r="B213" s="1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/>
      <c r="B214" s="1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/>
      <c r="B215" s="1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/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/>
      <c r="B217" s="1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/>
      <c r="B218" s="1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/>
      <c r="B219" s="1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/>
      <c r="B220" s="1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1"/>
      <c r="B221" s="1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/>
      <c r="B222" s="1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1"/>
      <c r="B223" s="1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/>
      <c r="B224" s="1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1"/>
      <c r="B225" s="1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/>
      <c r="B226" s="1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"/>
      <c r="B227" s="1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"/>
      <c r="B228" s="1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/>
      <c r="B229" s="1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"/>
      <c r="B230" s="1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/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"/>
      <c r="B232" s="1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/>
      <c r="B233" s="1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"/>
      <c r="B234" s="1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/>
      <c r="B235" s="1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"/>
      <c r="B236" s="1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/>
      <c r="B237" s="1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"/>
      <c r="B238" s="1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/>
      <c r="B239" s="1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"/>
      <c r="B240" s="1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/>
      <c r="B241" s="1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"/>
      <c r="B242" s="1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/>
      <c r="B243" s="1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"/>
      <c r="B244" s="1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"/>
      <c r="B372" s="1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"/>
      <c r="B373" s="1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"/>
      <c r="B374" s="1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"/>
      <c r="B375" s="1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"/>
      <c r="B376" s="1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"/>
      <c r="B377" s="1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"/>
      <c r="B378" s="1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"/>
      <c r="B379" s="1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"/>
      <c r="B380" s="1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"/>
      <c r="B381" s="1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"/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"/>
      <c r="B383" s="1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"/>
      <c r="B384" s="1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"/>
      <c r="B385" s="1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"/>
      <c r="B386" s="1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"/>
      <c r="B387" s="1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"/>
      <c r="B388" s="1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/>
      <c r="B389" s="1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"/>
      <c r="B390" s="1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"/>
      <c r="B391" s="1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"/>
      <c r="B392" s="1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"/>
      <c r="B393" s="1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"/>
      <c r="B394" s="1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"/>
      <c r="B395" s="1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"/>
      <c r="B396" s="1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"/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"/>
      <c r="B398" s="1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/>
      <c r="B399" s="1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/>
      <c r="B400" s="1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"/>
      <c r="B401" s="1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"/>
      <c r="B402" s="1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"/>
      <c r="B403" s="1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"/>
      <c r="B404" s="1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"/>
      <c r="B405" s="1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"/>
      <c r="B406" s="1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"/>
      <c r="B407" s="1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"/>
      <c r="B408" s="1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"/>
      <c r="B409" s="1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"/>
      <c r="B410" s="1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"/>
      <c r="B411" s="1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"/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"/>
      <c r="B413" s="1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/>
      <c r="B414" s="1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"/>
      <c r="B415" s="1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"/>
      <c r="B416" s="1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"/>
      <c r="B417" s="1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"/>
      <c r="B418" s="1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"/>
      <c r="B419" s="1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"/>
      <c r="B420" s="1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"/>
      <c r="B421" s="1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"/>
      <c r="B422" s="1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"/>
      <c r="B423" s="1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"/>
      <c r="B424" s="1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"/>
      <c r="B425" s="1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"/>
      <c r="B426" s="1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"/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"/>
      <c r="B428" s="1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"/>
      <c r="B429" s="1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"/>
      <c r="B430" s="1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"/>
      <c r="B431" s="1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"/>
      <c r="B432" s="1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"/>
      <c r="B433" s="1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"/>
      <c r="B434" s="1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"/>
      <c r="B435" s="1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"/>
      <c r="B436" s="1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/>
      <c r="B437" s="1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"/>
      <c r="B438" s="1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"/>
      <c r="B439" s="1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"/>
      <c r="B440" s="1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"/>
      <c r="B441" s="1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"/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"/>
      <c r="B443" s="1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"/>
      <c r="B444" s="1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"/>
      <c r="B445" s="1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"/>
      <c r="B446" s="1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"/>
      <c r="B447" s="1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"/>
      <c r="B448" s="1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"/>
      <c r="B449" s="1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"/>
      <c r="B450" s="1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"/>
      <c r="B451" s="1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/>
      <c r="B452" s="1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"/>
      <c r="B453" s="1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/>
      <c r="B454" s="1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"/>
      <c r="B455" s="1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"/>
      <c r="B456" s="1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"/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"/>
      <c r="B458" s="1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"/>
      <c r="B459" s="1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"/>
      <c r="B460" s="1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"/>
      <c r="B461" s="1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"/>
      <c r="B462" s="1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"/>
      <c r="B463" s="1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"/>
      <c r="B464" s="1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"/>
      <c r="B465" s="1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"/>
      <c r="B466" s="1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"/>
      <c r="B467" s="1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"/>
      <c r="B468" s="1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"/>
      <c r="B469" s="1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"/>
      <c r="B470" s="1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"/>
      <c r="B471" s="1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"/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"/>
      <c r="B473" s="1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"/>
      <c r="B474" s="1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/>
      <c r="B475" s="1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"/>
      <c r="B476" s="1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"/>
      <c r="B477" s="1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"/>
      <c r="B478" s="1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"/>
      <c r="B479" s="1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"/>
      <c r="B480" s="1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"/>
      <c r="B481" s="1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"/>
      <c r="B482" s="1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"/>
      <c r="B483" s="1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"/>
      <c r="B484" s="1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"/>
      <c r="B485" s="1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1"/>
      <c r="B486" s="1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1"/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1"/>
      <c r="B488" s="1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"/>
      <c r="B489" s="1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"/>
      <c r="B490" s="1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"/>
      <c r="B491" s="1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"/>
      <c r="B492" s="1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"/>
      <c r="B493" s="1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"/>
      <c r="B494" s="1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"/>
      <c r="B495" s="1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"/>
      <c r="B496" s="1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"/>
      <c r="B497" s="1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"/>
      <c r="B498" s="1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"/>
      <c r="B499" s="1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"/>
      <c r="B500" s="1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"/>
      <c r="B501" s="1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"/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"/>
      <c r="B503" s="1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"/>
      <c r="B504" s="1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"/>
      <c r="B505" s="1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"/>
      <c r="B506" s="1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"/>
      <c r="B507" s="1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"/>
      <c r="B508" s="1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"/>
      <c r="B509" s="1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"/>
      <c r="B510" s="1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"/>
      <c r="B511" s="1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"/>
      <c r="B512" s="1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"/>
      <c r="B513" s="1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"/>
      <c r="B514" s="1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"/>
      <c r="B515" s="1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"/>
      <c r="B516" s="1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"/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"/>
      <c r="B518" s="1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"/>
      <c r="B519" s="1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"/>
      <c r="B520" s="1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"/>
      <c r="B521" s="1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"/>
      <c r="B522" s="1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"/>
      <c r="B523" s="1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"/>
      <c r="B524" s="1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"/>
      <c r="B525" s="1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"/>
      <c r="B526" s="1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"/>
      <c r="B527" s="1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"/>
      <c r="B528" s="1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"/>
      <c r="B529" s="1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"/>
      <c r="B530" s="1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"/>
      <c r="B531" s="1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"/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"/>
      <c r="B533" s="1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"/>
      <c r="B534" s="1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"/>
      <c r="B535" s="1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"/>
      <c r="B536" s="1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"/>
      <c r="B537" s="1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"/>
      <c r="B538" s="1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"/>
      <c r="B539" s="1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"/>
      <c r="B540" s="1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"/>
      <c r="B541" s="1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"/>
      <c r="B542" s="1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"/>
      <c r="B543" s="1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"/>
      <c r="B544" s="1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/>
      <c r="B545" s="1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"/>
      <c r="B546" s="1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"/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"/>
      <c r="B548" s="1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"/>
      <c r="B549" s="1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"/>
      <c r="B550" s="1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"/>
      <c r="B551" s="1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"/>
      <c r="B552" s="1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"/>
      <c r="B553" s="1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"/>
      <c r="B554" s="1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"/>
      <c r="B555" s="1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"/>
      <c r="B556" s="1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"/>
      <c r="B557" s="1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"/>
      <c r="B558" s="1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"/>
      <c r="B559" s="1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"/>
      <c r="B560" s="1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"/>
      <c r="B561" s="1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"/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"/>
      <c r="B563" s="1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"/>
      <c r="B564" s="1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"/>
      <c r="B565" s="1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"/>
      <c r="B566" s="1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"/>
      <c r="B567" s="1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"/>
      <c r="B568" s="1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"/>
      <c r="B569" s="1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"/>
      <c r="B570" s="1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"/>
      <c r="B571" s="1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"/>
      <c r="B572" s="1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"/>
      <c r="B573" s="1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"/>
      <c r="B574" s="1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"/>
      <c r="B575" s="1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"/>
      <c r="B576" s="1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"/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"/>
      <c r="B578" s="1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"/>
      <c r="B579" s="1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"/>
      <c r="B580" s="1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"/>
      <c r="B581" s="1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"/>
      <c r="B582" s="1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"/>
      <c r="B583" s="1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"/>
      <c r="B584" s="1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"/>
      <c r="B585" s="1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"/>
      <c r="B586" s="1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"/>
      <c r="B587" s="1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"/>
      <c r="B588" s="1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"/>
      <c r="B589" s="1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"/>
      <c r="B590" s="1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"/>
      <c r="B591" s="1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"/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"/>
      <c r="B593" s="1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"/>
      <c r="B594" s="1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"/>
      <c r="B595" s="1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"/>
      <c r="B596" s="1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"/>
      <c r="B597" s="1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"/>
      <c r="B598" s="1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"/>
      <c r="B599" s="1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"/>
      <c r="B600" s="1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"/>
      <c r="B601" s="1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"/>
      <c r="B602" s="1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"/>
      <c r="B603" s="1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"/>
      <c r="B604" s="1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"/>
      <c r="B605" s="1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"/>
      <c r="B606" s="1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"/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"/>
      <c r="B608" s="1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"/>
      <c r="B609" s="1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"/>
      <c r="B610" s="1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"/>
      <c r="B611" s="1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"/>
      <c r="B612" s="1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"/>
      <c r="B613" s="1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"/>
      <c r="B614" s="1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"/>
      <c r="B615" s="1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"/>
      <c r="B616" s="1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"/>
      <c r="B617" s="1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"/>
      <c r="B618" s="1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"/>
      <c r="B619" s="1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"/>
      <c r="B620" s="1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"/>
      <c r="B621" s="1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"/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"/>
      <c r="B623" s="1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"/>
      <c r="B624" s="1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"/>
      <c r="B625" s="1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"/>
      <c r="B626" s="1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"/>
      <c r="B627" s="1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"/>
      <c r="B628" s="1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"/>
      <c r="B629" s="1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"/>
      <c r="B630" s="1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"/>
      <c r="B631" s="1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"/>
      <c r="B632" s="1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"/>
      <c r="B633" s="1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"/>
      <c r="B634" s="1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"/>
      <c r="B635" s="1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"/>
      <c r="B636" s="1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"/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"/>
      <c r="B638" s="1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"/>
      <c r="B639" s="1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"/>
      <c r="B640" s="1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"/>
      <c r="B641" s="1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"/>
      <c r="B642" s="1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"/>
      <c r="B643" s="1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"/>
      <c r="B644" s="1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"/>
      <c r="B645" s="1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"/>
      <c r="B646" s="1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"/>
      <c r="B647" s="1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"/>
      <c r="B648" s="1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"/>
      <c r="B649" s="1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"/>
      <c r="B650" s="1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"/>
      <c r="B651" s="1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"/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"/>
      <c r="B653" s="1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"/>
      <c r="B654" s="1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"/>
      <c r="B655" s="1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"/>
      <c r="B656" s="1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"/>
      <c r="B657" s="1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"/>
      <c r="B658" s="1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"/>
      <c r="B659" s="1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"/>
      <c r="B660" s="1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"/>
      <c r="B661" s="1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"/>
      <c r="B662" s="1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"/>
      <c r="B663" s="1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"/>
      <c r="B664" s="1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"/>
      <c r="B665" s="1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"/>
      <c r="B666" s="1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"/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"/>
      <c r="B668" s="1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"/>
      <c r="B669" s="1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"/>
      <c r="B670" s="1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"/>
      <c r="B671" s="1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"/>
      <c r="B672" s="1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"/>
      <c r="B673" s="1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"/>
      <c r="B674" s="1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"/>
      <c r="B675" s="1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"/>
      <c r="B676" s="1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"/>
      <c r="B677" s="1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"/>
      <c r="B678" s="1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"/>
      <c r="B679" s="1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"/>
      <c r="B680" s="1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"/>
      <c r="B681" s="1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"/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"/>
      <c r="B683" s="1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"/>
      <c r="B684" s="1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"/>
      <c r="B685" s="1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"/>
      <c r="B686" s="1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"/>
      <c r="B687" s="1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"/>
      <c r="B688" s="1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"/>
      <c r="B689" s="1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"/>
      <c r="B690" s="1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"/>
      <c r="B691" s="1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"/>
      <c r="B692" s="1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"/>
      <c r="B693" s="1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"/>
      <c r="B694" s="1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"/>
      <c r="B695" s="1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"/>
      <c r="B696" s="1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"/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"/>
      <c r="B698" s="1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"/>
      <c r="B699" s="1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"/>
      <c r="B700" s="1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"/>
      <c r="B701" s="1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"/>
      <c r="B702" s="1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"/>
      <c r="B703" s="1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"/>
      <c r="B704" s="1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"/>
      <c r="B705" s="1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"/>
      <c r="B706" s="1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"/>
      <c r="B707" s="1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"/>
      <c r="B708" s="1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"/>
      <c r="B709" s="1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"/>
      <c r="B710" s="1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"/>
      <c r="B711" s="1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"/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"/>
      <c r="B713" s="1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"/>
      <c r="B714" s="1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"/>
      <c r="B715" s="1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"/>
      <c r="B716" s="1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"/>
      <c r="B717" s="1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"/>
      <c r="B718" s="1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"/>
      <c r="B719" s="1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"/>
      <c r="B720" s="1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"/>
      <c r="B721" s="1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"/>
      <c r="B722" s="1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"/>
      <c r="B723" s="1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"/>
      <c r="B724" s="1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"/>
      <c r="B725" s="1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"/>
      <c r="B726" s="1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"/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"/>
      <c r="B728" s="1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"/>
      <c r="B729" s="1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"/>
      <c r="B730" s="1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"/>
      <c r="B731" s="1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"/>
      <c r="B732" s="1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"/>
      <c r="B733" s="1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"/>
      <c r="B734" s="1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"/>
      <c r="B735" s="1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"/>
      <c r="B736" s="1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"/>
      <c r="B737" s="1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"/>
      <c r="B738" s="1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"/>
      <c r="B739" s="1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"/>
      <c r="B740" s="1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"/>
      <c r="B741" s="1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"/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"/>
      <c r="B743" s="1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"/>
      <c r="B744" s="1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"/>
      <c r="B745" s="1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"/>
      <c r="B746" s="1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"/>
      <c r="B747" s="1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"/>
      <c r="B748" s="1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"/>
      <c r="B749" s="1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"/>
      <c r="B750" s="1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"/>
      <c r="B751" s="1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"/>
      <c r="B752" s="1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"/>
      <c r="B753" s="1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"/>
      <c r="B754" s="1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"/>
      <c r="B755" s="1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"/>
      <c r="B756" s="1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"/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"/>
      <c r="B758" s="1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"/>
      <c r="B759" s="1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"/>
      <c r="B760" s="1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"/>
      <c r="B761" s="1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"/>
      <c r="B762" s="1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"/>
      <c r="B763" s="1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"/>
      <c r="B764" s="1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"/>
      <c r="B765" s="1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"/>
      <c r="B766" s="1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"/>
      <c r="B767" s="1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"/>
      <c r="B768" s="1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"/>
      <c r="B769" s="1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"/>
      <c r="B770" s="1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"/>
      <c r="B771" s="1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"/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"/>
      <c r="B773" s="1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"/>
      <c r="B774" s="1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"/>
      <c r="B775" s="1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"/>
      <c r="B776" s="1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"/>
      <c r="B777" s="1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"/>
      <c r="B778" s="1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"/>
      <c r="B779" s="1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"/>
      <c r="B780" s="1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"/>
      <c r="B781" s="1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"/>
      <c r="B782" s="1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"/>
      <c r="B783" s="1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"/>
      <c r="B784" s="1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"/>
      <c r="B785" s="1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"/>
      <c r="B786" s="1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"/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"/>
      <c r="B788" s="1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"/>
      <c r="B789" s="1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/>
      <c r="B790" s="1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"/>
      <c r="B791" s="1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"/>
      <c r="B792" s="1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"/>
      <c r="B793" s="1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"/>
      <c r="B794" s="1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"/>
      <c r="B795" s="1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"/>
      <c r="B796" s="1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"/>
      <c r="B797" s="1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"/>
      <c r="B798" s="1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"/>
      <c r="B799" s="1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"/>
      <c r="B800" s="1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"/>
      <c r="B801" s="1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"/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"/>
      <c r="B803" s="1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"/>
      <c r="B804" s="1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"/>
      <c r="B805" s="1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"/>
      <c r="B806" s="1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"/>
      <c r="B807" s="1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"/>
      <c r="B808" s="1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"/>
      <c r="B809" s="1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"/>
      <c r="B810" s="1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"/>
      <c r="B811" s="1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"/>
      <c r="B812" s="1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"/>
      <c r="B813" s="1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"/>
      <c r="B814" s="1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"/>
      <c r="B815" s="1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"/>
      <c r="B816" s="1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"/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"/>
      <c r="B818" s="1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"/>
      <c r="B819" s="1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"/>
      <c r="B820" s="1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"/>
      <c r="B821" s="1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"/>
      <c r="B822" s="1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"/>
      <c r="B823" s="1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"/>
      <c r="B824" s="1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"/>
      <c r="B825" s="1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"/>
      <c r="B826" s="1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"/>
      <c r="B827" s="1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"/>
      <c r="B828" s="1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"/>
      <c r="B829" s="1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"/>
      <c r="B830" s="1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"/>
      <c r="B831" s="1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"/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"/>
      <c r="B833" s="1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"/>
      <c r="B834" s="1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"/>
      <c r="B835" s="1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"/>
      <c r="B836" s="1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"/>
      <c r="B837" s="1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"/>
      <c r="B838" s="1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"/>
      <c r="B839" s="1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"/>
      <c r="B840" s="1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"/>
      <c r="B841" s="1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"/>
      <c r="B842" s="1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"/>
      <c r="B843" s="1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"/>
      <c r="B844" s="1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"/>
      <c r="B845" s="1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"/>
      <c r="B846" s="1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"/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"/>
      <c r="B848" s="1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"/>
      <c r="B849" s="1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"/>
      <c r="B850" s="1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"/>
      <c r="B851" s="1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"/>
      <c r="B852" s="1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"/>
      <c r="B853" s="1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"/>
      <c r="B854" s="1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"/>
      <c r="B855" s="1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"/>
      <c r="B856" s="1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"/>
      <c r="B857" s="1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"/>
      <c r="B858" s="1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"/>
      <c r="B859" s="1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"/>
      <c r="B860" s="1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"/>
      <c r="B861" s="1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"/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"/>
      <c r="B863" s="1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"/>
      <c r="B864" s="1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"/>
      <c r="B865" s="1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"/>
      <c r="B866" s="1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"/>
      <c r="B867" s="1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"/>
      <c r="B868" s="1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"/>
      <c r="B869" s="1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"/>
      <c r="B870" s="1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"/>
      <c r="B871" s="1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"/>
      <c r="B872" s="1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"/>
      <c r="B873" s="1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"/>
      <c r="B874" s="1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"/>
      <c r="B875" s="1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"/>
      <c r="B876" s="1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"/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"/>
      <c r="B878" s="1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"/>
      <c r="B879" s="1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"/>
      <c r="B880" s="1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"/>
      <c r="B881" s="1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"/>
      <c r="B882" s="1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"/>
      <c r="B883" s="1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"/>
      <c r="B884" s="1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"/>
      <c r="B885" s="1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"/>
      <c r="B886" s="1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"/>
      <c r="B887" s="1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"/>
      <c r="B888" s="1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"/>
      <c r="B889" s="1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"/>
      <c r="B890" s="1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"/>
      <c r="B891" s="1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"/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"/>
      <c r="B893" s="1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"/>
      <c r="B894" s="1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"/>
      <c r="B895" s="1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"/>
      <c r="B896" s="1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/>
      <c r="B897" s="1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/>
      <c r="B898" s="1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/>
      <c r="B899" s="1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/>
      <c r="B900" s="1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/>
      <c r="B901" s="1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/>
      <c r="B902" s="1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/>
      <c r="B903" s="1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/>
      <c r="B904" s="1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/>
      <c r="B905" s="1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/>
      <c r="B906" s="1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/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/>
      <c r="B908" s="1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/>
      <c r="B909" s="1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/>
      <c r="B910" s="1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/>
      <c r="B911" s="1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/>
      <c r="B912" s="1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/>
      <c r="B913" s="1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/>
      <c r="B914" s="1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/>
      <c r="B915" s="1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/>
      <c r="B916" s="1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/>
      <c r="B917" s="1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/>
      <c r="B918" s="1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/>
      <c r="B919" s="1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/>
      <c r="B920" s="1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/>
      <c r="B921" s="1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/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/>
      <c r="B923" s="1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/>
      <c r="B924" s="1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/>
      <c r="B925" s="1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/>
      <c r="B926" s="1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/>
      <c r="B927" s="1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/>
      <c r="B928" s="1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/>
      <c r="B929" s="1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/>
      <c r="B930" s="1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/>
      <c r="B931" s="1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/>
      <c r="B932" s="1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/>
      <c r="B933" s="1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/>
      <c r="B934" s="1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/>
      <c r="B935" s="1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/>
      <c r="B936" s="1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/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/>
      <c r="B938" s="1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/>
      <c r="B939" s="1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/>
      <c r="B940" s="1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/>
      <c r="B941" s="1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/>
      <c r="B942" s="1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/>
      <c r="B943" s="1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/>
      <c r="B944" s="1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/>
      <c r="B945" s="1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/>
      <c r="B946" s="1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/>
      <c r="B947" s="1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/>
      <c r="B948" s="1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/>
      <c r="B949" s="1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/>
      <c r="B950" s="1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/>
      <c r="B951" s="1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/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/>
      <c r="B953" s="1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/>
      <c r="B954" s="1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/>
      <c r="B955" s="1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/>
      <c r="B956" s="1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/>
      <c r="B957" s="1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/>
      <c r="B958" s="1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/>
      <c r="B959" s="1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/>
      <c r="B960" s="1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/>
      <c r="B961" s="1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/>
      <c r="B962" s="1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/>
      <c r="B963" s="1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/>
      <c r="B964" s="1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/>
      <c r="B965" s="1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/>
      <c r="B966" s="1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"/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"/>
      <c r="B968" s="1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"/>
      <c r="B969" s="1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/>
      <c r="B970" s="1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/>
      <c r="B971" s="1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/>
      <c r="B972" s="1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/>
      <c r="B973" s="1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/>
      <c r="B974" s="1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/>
      <c r="B975" s="1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/>
      <c r="B976" s="1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/>
      <c r="B977" s="1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/>
      <c r="B978" s="1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/>
      <c r="B979" s="1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/>
      <c r="B980" s="1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/>
      <c r="B981" s="1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/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/>
      <c r="B983" s="1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/>
      <c r="B984" s="1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/>
      <c r="B985" s="1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/>
      <c r="B986" s="1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/>
      <c r="B987" s="1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/>
      <c r="B988" s="1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/>
      <c r="B989" s="1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/>
      <c r="B990" s="1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/>
      <c r="B991" s="1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/>
      <c r="B992" s="1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/>
      <c r="B993" s="1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/>
      <c r="B994" s="1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/>
      <c r="B995" s="1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/>
      <c r="B996" s="1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/>
      <c r="B997" s="1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/>
      <c r="B998" s="1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/>
      <c r="B999" s="1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/>
      <c r="B1000" s="1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2.5"/>
  </cols>
  <sheetData>
    <row r="1">
      <c r="A1" s="13" t="s">
        <v>964</v>
      </c>
      <c r="B1" s="13" t="s">
        <v>968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965</v>
      </c>
      <c r="B2" s="14">
        <v>55000.0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966</v>
      </c>
      <c r="B3" s="14">
        <v>60000.0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967</v>
      </c>
      <c r="B4" s="14">
        <v>61000.0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/>
      <c r="B7" s="1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1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1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1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1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1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1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1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1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/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/>
      <c r="B35" s="1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1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1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/>
      <c r="B41" s="1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1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/>
      <c r="B51" s="1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/>
      <c r="B55" s="1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/>
      <c r="B108" s="1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/>
      <c r="B109" s="1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/>
      <c r="B110" s="1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/>
      <c r="B111" s="1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/>
      <c r="B112" s="1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/>
      <c r="B114" s="1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/>
      <c r="B115" s="1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/>
      <c r="B116" s="1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/>
      <c r="B117" s="1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/>
      <c r="B118" s="1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/>
      <c r="B120" s="1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/>
      <c r="B121" s="1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/>
      <c r="B122" s="1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/>
      <c r="B123" s="1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/>
      <c r="B124" s="1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/>
      <c r="B126" s="1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/>
      <c r="B127" s="1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/>
      <c r="B128" s="1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1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1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/>
      <c r="B132" s="1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/>
      <c r="B133" s="1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/>
      <c r="B134" s="1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/>
      <c r="B135" s="1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/>
      <c r="B136" s="1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/>
      <c r="B138" s="1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/>
      <c r="B139" s="1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/>
      <c r="B140" s="1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/>
      <c r="B141" s="1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/>
      <c r="B142" s="1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/>
      <c r="B144" s="1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/>
      <c r="B145" s="1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/>
      <c r="B146" s="1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/>
      <c r="B147" s="1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/>
      <c r="B148" s="1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/>
      <c r="B150" s="1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/>
      <c r="B151" s="1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/>
      <c r="B152" s="1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/>
      <c r="B153" s="1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/>
      <c r="B154" s="1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/>
      <c r="B156" s="1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/>
      <c r="B157" s="1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/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/>
      <c r="B159" s="1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/>
      <c r="B160" s="1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/>
      <c r="B162" s="1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/>
      <c r="B163" s="1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/>
      <c r="B164" s="1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/>
      <c r="B165" s="1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/>
      <c r="B166" s="1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/>
      <c r="B168" s="1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/>
      <c r="B169" s="1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/>
      <c r="B170" s="1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/>
      <c r="B171" s="1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/>
      <c r="B172" s="1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/>
      <c r="B174" s="1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/>
      <c r="B175" s="1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/>
      <c r="B176" s="1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/>
      <c r="B177" s="1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/>
      <c r="B178" s="1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/>
      <c r="B180" s="1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/>
      <c r="B181" s="1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/>
      <c r="B182" s="1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/>
      <c r="B183" s="1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/>
      <c r="B184" s="1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/>
      <c r="B186" s="1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/>
      <c r="B187" s="1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/>
      <c r="B188" s="1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/>
      <c r="B189" s="1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/>
      <c r="B190" s="1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/>
      <c r="B192" s="1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/>
      <c r="B193" s="1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/>
      <c r="B194" s="1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/>
      <c r="B195" s="1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/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/>
      <c r="B197" s="1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/>
      <c r="B198" s="1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/>
      <c r="B199" s="1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/>
      <c r="B200" s="1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/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/>
      <c r="B202" s="1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/>
      <c r="B203" s="1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/>
      <c r="B204" s="1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/>
      <c r="B205" s="1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/>
      <c r="B206" s="1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/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/>
      <c r="B208" s="1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/>
      <c r="B209" s="1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/>
      <c r="B210" s="1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/>
      <c r="B211" s="1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/>
      <c r="B212" s="1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/>
      <c r="B213" s="1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/>
      <c r="B214" s="1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/>
      <c r="B215" s="1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/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/>
      <c r="B217" s="1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/>
      <c r="B218" s="1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/>
      <c r="B219" s="1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/>
      <c r="B220" s="1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1"/>
      <c r="B221" s="1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/>
      <c r="B222" s="1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1"/>
      <c r="B223" s="1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/>
      <c r="B224" s="1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1"/>
      <c r="B225" s="1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/>
      <c r="B226" s="1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"/>
      <c r="B227" s="1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"/>
      <c r="B228" s="1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/>
      <c r="B229" s="1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"/>
      <c r="B230" s="1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/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"/>
      <c r="B232" s="1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/>
      <c r="B233" s="1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"/>
      <c r="B234" s="1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/>
      <c r="B235" s="1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"/>
      <c r="B236" s="1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/>
      <c r="B237" s="1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"/>
      <c r="B238" s="1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/>
      <c r="B239" s="1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"/>
      <c r="B240" s="1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/>
      <c r="B241" s="1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"/>
      <c r="B242" s="1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/>
      <c r="B243" s="1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"/>
      <c r="B244" s="1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"/>
      <c r="B372" s="1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"/>
      <c r="B373" s="1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"/>
      <c r="B374" s="1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"/>
      <c r="B375" s="1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"/>
      <c r="B376" s="1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"/>
      <c r="B377" s="1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"/>
      <c r="B378" s="1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"/>
      <c r="B379" s="1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"/>
      <c r="B380" s="1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"/>
      <c r="B381" s="1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"/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"/>
      <c r="B383" s="1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"/>
      <c r="B384" s="1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"/>
      <c r="B385" s="1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"/>
      <c r="B386" s="1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"/>
      <c r="B387" s="1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"/>
      <c r="B388" s="1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/>
      <c r="B389" s="1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"/>
      <c r="B390" s="1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"/>
      <c r="B391" s="1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"/>
      <c r="B392" s="1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"/>
      <c r="B393" s="1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"/>
      <c r="B394" s="1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"/>
      <c r="B395" s="1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"/>
      <c r="B396" s="1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"/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"/>
      <c r="B398" s="1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/>
      <c r="B399" s="1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/>
      <c r="B400" s="1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"/>
      <c r="B401" s="1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"/>
      <c r="B402" s="1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"/>
      <c r="B403" s="1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"/>
      <c r="B404" s="1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"/>
      <c r="B405" s="1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"/>
      <c r="B406" s="1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"/>
      <c r="B407" s="1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"/>
      <c r="B408" s="1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"/>
      <c r="B409" s="1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"/>
      <c r="B410" s="1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"/>
      <c r="B411" s="1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"/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"/>
      <c r="B413" s="1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/>
      <c r="B414" s="1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"/>
      <c r="B415" s="1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"/>
      <c r="B416" s="1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"/>
      <c r="B417" s="1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"/>
      <c r="B418" s="1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"/>
      <c r="B419" s="1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"/>
      <c r="B420" s="1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"/>
      <c r="B421" s="1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"/>
      <c r="B422" s="1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"/>
      <c r="B423" s="1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"/>
      <c r="B424" s="1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"/>
      <c r="B425" s="1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"/>
      <c r="B426" s="1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"/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"/>
      <c r="B428" s="1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"/>
      <c r="B429" s="1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"/>
      <c r="B430" s="1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"/>
      <c r="B431" s="1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"/>
      <c r="B432" s="1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"/>
      <c r="B433" s="1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"/>
      <c r="B434" s="1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"/>
      <c r="B435" s="1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"/>
      <c r="B436" s="1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/>
      <c r="B437" s="1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"/>
      <c r="B438" s="1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"/>
      <c r="B439" s="1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"/>
      <c r="B440" s="1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"/>
      <c r="B441" s="1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"/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"/>
      <c r="B443" s="1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"/>
      <c r="B444" s="1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"/>
      <c r="B445" s="1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"/>
      <c r="B446" s="1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"/>
      <c r="B447" s="1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"/>
      <c r="B448" s="1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"/>
      <c r="B449" s="1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"/>
      <c r="B450" s="1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"/>
      <c r="B451" s="1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/>
      <c r="B452" s="1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"/>
      <c r="B453" s="1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/>
      <c r="B454" s="1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"/>
      <c r="B455" s="1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"/>
      <c r="B456" s="1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"/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"/>
      <c r="B458" s="1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"/>
      <c r="B459" s="1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"/>
      <c r="B460" s="1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"/>
      <c r="B461" s="1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"/>
      <c r="B462" s="1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"/>
      <c r="B463" s="1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"/>
      <c r="B464" s="1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"/>
      <c r="B465" s="1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"/>
      <c r="B466" s="1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"/>
      <c r="B467" s="1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"/>
      <c r="B468" s="1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"/>
      <c r="B469" s="1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"/>
      <c r="B470" s="1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"/>
      <c r="B471" s="1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"/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"/>
      <c r="B473" s="1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"/>
      <c r="B474" s="1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/>
      <c r="B475" s="1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"/>
      <c r="B476" s="1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"/>
      <c r="B477" s="1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"/>
      <c r="B478" s="1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"/>
      <c r="B479" s="1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"/>
      <c r="B480" s="1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"/>
      <c r="B481" s="1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"/>
      <c r="B482" s="1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"/>
      <c r="B483" s="1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"/>
      <c r="B484" s="1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"/>
      <c r="B485" s="1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1"/>
      <c r="B486" s="1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1"/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1"/>
      <c r="B488" s="1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"/>
      <c r="B489" s="1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"/>
      <c r="B490" s="1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"/>
      <c r="B491" s="1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"/>
      <c r="B492" s="1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"/>
      <c r="B493" s="1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"/>
      <c r="B494" s="1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"/>
      <c r="B495" s="1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"/>
      <c r="B496" s="1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"/>
      <c r="B497" s="1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"/>
      <c r="B498" s="1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"/>
      <c r="B499" s="1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"/>
      <c r="B500" s="1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"/>
      <c r="B501" s="1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"/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"/>
      <c r="B503" s="1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"/>
      <c r="B504" s="1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"/>
      <c r="B505" s="1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"/>
      <c r="B506" s="1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"/>
      <c r="B507" s="1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"/>
      <c r="B508" s="1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"/>
      <c r="B509" s="1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"/>
      <c r="B510" s="1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"/>
      <c r="B511" s="1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"/>
      <c r="B512" s="1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"/>
      <c r="B513" s="1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"/>
      <c r="B514" s="1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"/>
      <c r="B515" s="1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"/>
      <c r="B516" s="1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"/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"/>
      <c r="B518" s="1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"/>
      <c r="B519" s="1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"/>
      <c r="B520" s="1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"/>
      <c r="B521" s="1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"/>
      <c r="B522" s="1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"/>
      <c r="B523" s="1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"/>
      <c r="B524" s="1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"/>
      <c r="B525" s="1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"/>
      <c r="B526" s="1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"/>
      <c r="B527" s="1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"/>
      <c r="B528" s="1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"/>
      <c r="B529" s="1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"/>
      <c r="B530" s="1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"/>
      <c r="B531" s="1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"/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"/>
      <c r="B533" s="1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"/>
      <c r="B534" s="1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"/>
      <c r="B535" s="1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"/>
      <c r="B536" s="1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"/>
      <c r="B537" s="1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"/>
      <c r="B538" s="1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"/>
      <c r="B539" s="1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"/>
      <c r="B540" s="1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"/>
      <c r="B541" s="1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"/>
      <c r="B542" s="1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"/>
      <c r="B543" s="1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"/>
      <c r="B544" s="1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/>
      <c r="B545" s="1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"/>
      <c r="B546" s="1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"/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"/>
      <c r="B548" s="1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"/>
      <c r="B549" s="1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"/>
      <c r="B550" s="1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"/>
      <c r="B551" s="1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"/>
      <c r="B552" s="1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"/>
      <c r="B553" s="1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"/>
      <c r="B554" s="1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"/>
      <c r="B555" s="1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"/>
      <c r="B556" s="1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"/>
      <c r="B557" s="1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"/>
      <c r="B558" s="1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"/>
      <c r="B559" s="1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"/>
      <c r="B560" s="1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"/>
      <c r="B561" s="1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"/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"/>
      <c r="B563" s="1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"/>
      <c r="B564" s="1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"/>
      <c r="B565" s="1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"/>
      <c r="B566" s="1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"/>
      <c r="B567" s="1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"/>
      <c r="B568" s="1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"/>
      <c r="B569" s="1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"/>
      <c r="B570" s="1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"/>
      <c r="B571" s="1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"/>
      <c r="B572" s="1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"/>
      <c r="B573" s="1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"/>
      <c r="B574" s="1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"/>
      <c r="B575" s="1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"/>
      <c r="B576" s="1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"/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"/>
      <c r="B578" s="1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"/>
      <c r="B579" s="1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"/>
      <c r="B580" s="1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"/>
      <c r="B581" s="1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"/>
      <c r="B582" s="1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"/>
      <c r="B583" s="1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"/>
      <c r="B584" s="1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"/>
      <c r="B585" s="1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"/>
      <c r="B586" s="1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"/>
      <c r="B587" s="1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"/>
      <c r="B588" s="1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"/>
      <c r="B589" s="1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"/>
      <c r="B590" s="1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"/>
      <c r="B591" s="1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"/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"/>
      <c r="B593" s="1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"/>
      <c r="B594" s="1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"/>
      <c r="B595" s="1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"/>
      <c r="B596" s="1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"/>
      <c r="B597" s="1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"/>
      <c r="B598" s="1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"/>
      <c r="B599" s="1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"/>
      <c r="B600" s="1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"/>
      <c r="B601" s="1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"/>
      <c r="B602" s="1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"/>
      <c r="B603" s="1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"/>
      <c r="B604" s="1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"/>
      <c r="B605" s="1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"/>
      <c r="B606" s="1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"/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"/>
      <c r="B608" s="1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"/>
      <c r="B609" s="1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"/>
      <c r="B610" s="1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"/>
      <c r="B611" s="1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"/>
      <c r="B612" s="1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"/>
      <c r="B613" s="1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"/>
      <c r="B614" s="1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"/>
      <c r="B615" s="1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"/>
      <c r="B616" s="1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"/>
      <c r="B617" s="1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"/>
      <c r="B618" s="1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"/>
      <c r="B619" s="1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"/>
      <c r="B620" s="1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"/>
      <c r="B621" s="1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"/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"/>
      <c r="B623" s="1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"/>
      <c r="B624" s="1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"/>
      <c r="B625" s="1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"/>
      <c r="B626" s="1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"/>
      <c r="B627" s="1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"/>
      <c r="B628" s="1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"/>
      <c r="B629" s="1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"/>
      <c r="B630" s="1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"/>
      <c r="B631" s="1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"/>
      <c r="B632" s="1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"/>
      <c r="B633" s="1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"/>
      <c r="B634" s="1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"/>
      <c r="B635" s="1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"/>
      <c r="B636" s="1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"/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"/>
      <c r="B638" s="1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"/>
      <c r="B639" s="1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"/>
      <c r="B640" s="1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"/>
      <c r="B641" s="1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"/>
      <c r="B642" s="1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"/>
      <c r="B643" s="1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"/>
      <c r="B644" s="1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"/>
      <c r="B645" s="1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"/>
      <c r="B646" s="1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"/>
      <c r="B647" s="1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"/>
      <c r="B648" s="1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"/>
      <c r="B649" s="1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"/>
      <c r="B650" s="1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"/>
      <c r="B651" s="1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"/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"/>
      <c r="B653" s="1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"/>
      <c r="B654" s="1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"/>
      <c r="B655" s="1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"/>
      <c r="B656" s="1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"/>
      <c r="B657" s="1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"/>
      <c r="B658" s="1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"/>
      <c r="B659" s="1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"/>
      <c r="B660" s="1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"/>
      <c r="B661" s="1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"/>
      <c r="B662" s="1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"/>
      <c r="B663" s="1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"/>
      <c r="B664" s="1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"/>
      <c r="B665" s="1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"/>
      <c r="B666" s="1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"/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"/>
      <c r="B668" s="1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"/>
      <c r="B669" s="1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"/>
      <c r="B670" s="1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"/>
      <c r="B671" s="1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"/>
      <c r="B672" s="1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"/>
      <c r="B673" s="1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"/>
      <c r="B674" s="1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"/>
      <c r="B675" s="1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"/>
      <c r="B676" s="1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"/>
      <c r="B677" s="1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"/>
      <c r="B678" s="1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"/>
      <c r="B679" s="1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"/>
      <c r="B680" s="1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"/>
      <c r="B681" s="1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"/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"/>
      <c r="B683" s="1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"/>
      <c r="B684" s="1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"/>
      <c r="B685" s="1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"/>
      <c r="B686" s="1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"/>
      <c r="B687" s="1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"/>
      <c r="B688" s="1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"/>
      <c r="B689" s="1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"/>
      <c r="B690" s="1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"/>
      <c r="B691" s="1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"/>
      <c r="B692" s="1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"/>
      <c r="B693" s="1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"/>
      <c r="B694" s="1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"/>
      <c r="B695" s="1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"/>
      <c r="B696" s="1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"/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"/>
      <c r="B698" s="1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"/>
      <c r="B699" s="1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"/>
      <c r="B700" s="1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"/>
      <c r="B701" s="1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"/>
      <c r="B702" s="1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"/>
      <c r="B703" s="1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"/>
      <c r="B704" s="1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"/>
      <c r="B705" s="1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"/>
      <c r="B706" s="1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"/>
      <c r="B707" s="1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"/>
      <c r="B708" s="1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"/>
      <c r="B709" s="1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"/>
      <c r="B710" s="1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"/>
      <c r="B711" s="1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"/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"/>
      <c r="B713" s="1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"/>
      <c r="B714" s="1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"/>
      <c r="B715" s="1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"/>
      <c r="B716" s="1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"/>
      <c r="B717" s="1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"/>
      <c r="B718" s="1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"/>
      <c r="B719" s="1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"/>
      <c r="B720" s="1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"/>
      <c r="B721" s="1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"/>
      <c r="B722" s="1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"/>
      <c r="B723" s="1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"/>
      <c r="B724" s="1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"/>
      <c r="B725" s="1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"/>
      <c r="B726" s="1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"/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"/>
      <c r="B728" s="1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"/>
      <c r="B729" s="1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"/>
      <c r="B730" s="1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"/>
      <c r="B731" s="1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"/>
      <c r="B732" s="1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"/>
      <c r="B733" s="1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"/>
      <c r="B734" s="1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"/>
      <c r="B735" s="1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"/>
      <c r="B736" s="1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"/>
      <c r="B737" s="1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"/>
      <c r="B738" s="1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"/>
      <c r="B739" s="1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"/>
      <c r="B740" s="1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"/>
      <c r="B741" s="1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"/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"/>
      <c r="B743" s="1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"/>
      <c r="B744" s="1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"/>
      <c r="B745" s="1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"/>
      <c r="B746" s="1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"/>
      <c r="B747" s="1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"/>
      <c r="B748" s="1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"/>
      <c r="B749" s="1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"/>
      <c r="B750" s="1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"/>
      <c r="B751" s="1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"/>
      <c r="B752" s="1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"/>
      <c r="B753" s="1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"/>
      <c r="B754" s="1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"/>
      <c r="B755" s="1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"/>
      <c r="B756" s="1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"/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"/>
      <c r="B758" s="1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"/>
      <c r="B759" s="1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"/>
      <c r="B760" s="1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"/>
      <c r="B761" s="1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"/>
      <c r="B762" s="1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"/>
      <c r="B763" s="1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"/>
      <c r="B764" s="1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"/>
      <c r="B765" s="1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"/>
      <c r="B766" s="1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"/>
      <c r="B767" s="1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"/>
      <c r="B768" s="1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"/>
      <c r="B769" s="1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"/>
      <c r="B770" s="1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"/>
      <c r="B771" s="1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"/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"/>
      <c r="B773" s="1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"/>
      <c r="B774" s="1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"/>
      <c r="B775" s="1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"/>
      <c r="B776" s="1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"/>
      <c r="B777" s="1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"/>
      <c r="B778" s="1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"/>
      <c r="B779" s="1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"/>
      <c r="B780" s="1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"/>
      <c r="B781" s="1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"/>
      <c r="B782" s="1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"/>
      <c r="B783" s="1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"/>
      <c r="B784" s="1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"/>
      <c r="B785" s="1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"/>
      <c r="B786" s="1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"/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"/>
      <c r="B788" s="1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"/>
      <c r="B789" s="1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/>
      <c r="B790" s="1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"/>
      <c r="B791" s="1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"/>
      <c r="B792" s="1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"/>
      <c r="B793" s="1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"/>
      <c r="B794" s="1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"/>
      <c r="B795" s="1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"/>
      <c r="B796" s="1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"/>
      <c r="B797" s="1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"/>
      <c r="B798" s="1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"/>
      <c r="B799" s="1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"/>
      <c r="B800" s="1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"/>
      <c r="B801" s="1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"/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"/>
      <c r="B803" s="1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"/>
      <c r="B804" s="1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"/>
      <c r="B805" s="1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"/>
      <c r="B806" s="1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"/>
      <c r="B807" s="1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"/>
      <c r="B808" s="1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"/>
      <c r="B809" s="1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"/>
      <c r="B810" s="1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"/>
      <c r="B811" s="1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"/>
      <c r="B812" s="1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"/>
      <c r="B813" s="1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"/>
      <c r="B814" s="1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"/>
      <c r="B815" s="1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"/>
      <c r="B816" s="1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"/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"/>
      <c r="B818" s="1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"/>
      <c r="B819" s="1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"/>
      <c r="B820" s="1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"/>
      <c r="B821" s="1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"/>
      <c r="B822" s="1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"/>
      <c r="B823" s="1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"/>
      <c r="B824" s="1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"/>
      <c r="B825" s="1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"/>
      <c r="B826" s="1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"/>
      <c r="B827" s="1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"/>
      <c r="B828" s="1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"/>
      <c r="B829" s="1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"/>
      <c r="B830" s="1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"/>
      <c r="B831" s="1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"/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"/>
      <c r="B833" s="1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"/>
      <c r="B834" s="1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"/>
      <c r="B835" s="1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"/>
      <c r="B836" s="1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"/>
      <c r="B837" s="1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"/>
      <c r="B838" s="1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"/>
      <c r="B839" s="1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"/>
      <c r="B840" s="1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"/>
      <c r="B841" s="1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"/>
      <c r="B842" s="1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"/>
      <c r="B843" s="1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"/>
      <c r="B844" s="1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"/>
      <c r="B845" s="1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"/>
      <c r="B846" s="1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"/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"/>
      <c r="B848" s="1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"/>
      <c r="B849" s="1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"/>
      <c r="B850" s="1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"/>
      <c r="B851" s="1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"/>
      <c r="B852" s="1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"/>
      <c r="B853" s="1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"/>
      <c r="B854" s="1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"/>
      <c r="B855" s="1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"/>
      <c r="B856" s="1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"/>
      <c r="B857" s="1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"/>
      <c r="B858" s="1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"/>
      <c r="B859" s="1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"/>
      <c r="B860" s="1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"/>
      <c r="B861" s="1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"/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"/>
      <c r="B863" s="1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"/>
      <c r="B864" s="1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"/>
      <c r="B865" s="1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"/>
      <c r="B866" s="1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"/>
      <c r="B867" s="1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"/>
      <c r="B868" s="1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"/>
      <c r="B869" s="1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"/>
      <c r="B870" s="1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"/>
      <c r="B871" s="1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"/>
      <c r="B872" s="1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"/>
      <c r="B873" s="1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"/>
      <c r="B874" s="1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"/>
      <c r="B875" s="1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"/>
      <c r="B876" s="1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"/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"/>
      <c r="B878" s="1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"/>
      <c r="B879" s="1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"/>
      <c r="B880" s="1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"/>
      <c r="B881" s="1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"/>
      <c r="B882" s="1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"/>
      <c r="B883" s="1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"/>
      <c r="B884" s="1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"/>
      <c r="B885" s="1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"/>
      <c r="B886" s="1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"/>
      <c r="B887" s="1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"/>
      <c r="B888" s="1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"/>
      <c r="B889" s="1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"/>
      <c r="B890" s="1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"/>
      <c r="B891" s="1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"/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"/>
      <c r="B893" s="1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"/>
      <c r="B894" s="1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"/>
      <c r="B895" s="1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"/>
      <c r="B896" s="1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/>
      <c r="B897" s="1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/>
      <c r="B898" s="1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/>
      <c r="B899" s="1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/>
      <c r="B900" s="1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/>
      <c r="B901" s="1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/>
      <c r="B902" s="1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/>
      <c r="B903" s="1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/>
      <c r="B904" s="1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/>
      <c r="B905" s="1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/>
      <c r="B906" s="1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/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/>
      <c r="B908" s="1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/>
      <c r="B909" s="1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/>
      <c r="B910" s="1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/>
      <c r="B911" s="1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/>
      <c r="B912" s="1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/>
      <c r="B913" s="1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/>
      <c r="B914" s="1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/>
      <c r="B915" s="1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/>
      <c r="B916" s="1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/>
      <c r="B917" s="1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/>
      <c r="B918" s="1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/>
      <c r="B919" s="1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/>
      <c r="B920" s="1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/>
      <c r="B921" s="1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/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/>
      <c r="B923" s="1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/>
      <c r="B924" s="1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/>
      <c r="B925" s="1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/>
      <c r="B926" s="1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/>
      <c r="B927" s="1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/>
      <c r="B928" s="1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/>
      <c r="B929" s="1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/>
      <c r="B930" s="1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/>
      <c r="B931" s="1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/>
      <c r="B932" s="1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/>
      <c r="B933" s="1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/>
      <c r="B934" s="1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/>
      <c r="B935" s="1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/>
      <c r="B936" s="1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/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/>
      <c r="B938" s="1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/>
      <c r="B939" s="1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/>
      <c r="B940" s="1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/>
      <c r="B941" s="1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/>
      <c r="B942" s="1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/>
      <c r="B943" s="1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/>
      <c r="B944" s="1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/>
      <c r="B945" s="1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/>
      <c r="B946" s="1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/>
      <c r="B947" s="1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/>
      <c r="B948" s="1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/>
      <c r="B949" s="1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/>
      <c r="B950" s="1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/>
      <c r="B951" s="1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/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/>
      <c r="B953" s="1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/>
      <c r="B954" s="1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/>
      <c r="B955" s="1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/>
      <c r="B956" s="1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/>
      <c r="B957" s="1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/>
      <c r="B958" s="1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/>
      <c r="B959" s="1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/>
      <c r="B960" s="1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/>
      <c r="B961" s="1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/>
      <c r="B962" s="1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/>
      <c r="B963" s="1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/>
      <c r="B964" s="1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/>
      <c r="B965" s="1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/>
      <c r="B966" s="1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"/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"/>
      <c r="B968" s="1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"/>
      <c r="B969" s="1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/>
      <c r="B970" s="1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/>
      <c r="B971" s="1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/>
      <c r="B972" s="1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/>
      <c r="B973" s="1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/>
      <c r="B974" s="1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/>
      <c r="B975" s="1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/>
      <c r="B976" s="1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/>
      <c r="B977" s="1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/>
      <c r="B978" s="1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/>
      <c r="B979" s="1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/>
      <c r="B980" s="1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/>
      <c r="B981" s="1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/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/>
      <c r="B983" s="1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/>
      <c r="B984" s="1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/>
      <c r="B985" s="1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/>
      <c r="B986" s="1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/>
      <c r="B987" s="1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/>
      <c r="B988" s="1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/>
      <c r="B989" s="1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/>
      <c r="B990" s="1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/>
      <c r="B991" s="1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/>
      <c r="B992" s="1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/>
      <c r="B993" s="1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/>
      <c r="B994" s="1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/>
      <c r="B995" s="1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/>
      <c r="B996" s="1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/>
      <c r="B997" s="1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/>
      <c r="B998" s="1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/>
      <c r="B999" s="1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/>
      <c r="B1000" s="1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9.63"/>
    <col customWidth="1" min="3" max="3" width="13.38"/>
  </cols>
  <sheetData>
    <row r="1">
      <c r="A1" s="15" t="s">
        <v>969</v>
      </c>
      <c r="B1" s="16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7" t="s">
        <v>970</v>
      </c>
      <c r="B2" s="13" t="s">
        <v>971</v>
      </c>
      <c r="C2" s="2"/>
      <c r="D2" s="18"/>
      <c r="E2" s="18"/>
      <c r="F2" s="18"/>
      <c r="G2" s="18"/>
      <c r="H2" s="18"/>
      <c r="I2" s="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 t="s">
        <v>805</v>
      </c>
      <c r="B3" s="20">
        <f>IFERROR(__xludf.DUMMYFUNCTION("COUNTUNIQUE(FILTER('Вводные. Основные метрики'!$B$2:$B$896, 'Вводные. Основные метрики'!$A$2:$A$896=$A3)) /
  COUNTUNIQUE(FILTER('Вводные. Основные метрики'!$B$2:$B$896, 'Вводные. Основные метрики'!$A$2:$A$896=""Январь""))"),1.0)</f>
        <v>1</v>
      </c>
      <c r="C3" s="2"/>
      <c r="D3" s="18"/>
      <c r="E3" s="18"/>
      <c r="F3" s="18"/>
      <c r="G3" s="18"/>
      <c r="H3" s="18"/>
      <c r="I3" s="1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 t="s">
        <v>669</v>
      </c>
      <c r="B4" s="20">
        <f>IFERROR(__xludf.DUMMYFUNCTION("COUNTUNIQUE(FILTER('Вводные. Основные метрики'!$B$2:$B$896, 'Вводные. Основные метрики'!$A$2:$A$896=$A4)) /
  COUNTUNIQUE(FILTER('Вводные. Основные метрики'!$B$2:$B$896, 'Вводные. Основные метрики'!$A$2:$A$896=""Январь""))"),0.9259259259259259)</f>
        <v>0.9259259259</v>
      </c>
      <c r="C4" s="2"/>
      <c r="D4" s="18"/>
      <c r="E4" s="18"/>
      <c r="F4" s="18"/>
      <c r="G4" s="18"/>
      <c r="H4" s="18"/>
      <c r="I4" s="1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460</v>
      </c>
      <c r="B5" s="20">
        <f>IFERROR(__xludf.DUMMYFUNCTION("COUNTUNIQUE(FILTER('Вводные. Основные метрики'!$B$2:$B$896, 'Вводные. Основные метрики'!$A$2:$A$896=$A5)) /
  COUNTUNIQUE(FILTER('Вводные. Основные метрики'!$B$2:$B$896, 'Вводные. Основные метрики'!$A$2:$A$896=""Январь""))"),0.8703703703703703)</f>
        <v>0.8703703704</v>
      </c>
      <c r="C5" s="2"/>
      <c r="D5" s="18"/>
      <c r="E5" s="18"/>
      <c r="F5" s="18"/>
      <c r="G5" s="18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81</v>
      </c>
      <c r="B6" s="20">
        <f>IFERROR(__xludf.DUMMYFUNCTION("COUNTUNIQUE(FILTER('Вводные. Основные метрики'!$B$2:$B$896, 'Вводные. Основные метрики'!$A$2:$A$896=$A6)) /
  COUNTUNIQUE(FILTER('Вводные. Основные метрики'!$B$2:$B$896, 'Вводные. Основные метрики'!$A$2:$A$896=""Январь""))"),0.7962962962962963)</f>
        <v>0.7962962963</v>
      </c>
      <c r="C6" s="2"/>
      <c r="D6" s="18"/>
      <c r="E6" s="18"/>
      <c r="F6" s="18"/>
      <c r="G6" s="18"/>
      <c r="H6" s="18"/>
      <c r="I6" s="1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370</v>
      </c>
      <c r="B7" s="20">
        <f>IFERROR(__xludf.DUMMYFUNCTION("COUNTUNIQUE(FILTER('Вводные. Основные метрики'!$B$2:$B$896, 'Вводные. Основные метрики'!$A$2:$A$896=$A7)) /
  COUNTUNIQUE(FILTER('Вводные. Основные метрики'!$B$2:$B$896, 'Вводные. Основные метрики'!$A$2:$A$896=""Январь""))"),0.7037037037037037)</f>
        <v>0.7037037037</v>
      </c>
      <c r="C7" s="2"/>
      <c r="D7" s="18"/>
      <c r="E7" s="18"/>
      <c r="F7" s="18"/>
      <c r="G7" s="18"/>
      <c r="H7" s="18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282</v>
      </c>
      <c r="B8" s="20">
        <f>IFERROR(__xludf.DUMMYFUNCTION("COUNTUNIQUE(FILTER('Вводные. Основные метрики'!$B$2:$B$896, 'Вводные. Основные метрики'!$A$2:$A$896=$A8)) /
  COUNTUNIQUE(FILTER('Вводные. Основные метрики'!$B$2:$B$896, 'Вводные. Основные метрики'!$A$2:$A$896=""Январь""))"),0.5925925925925926)</f>
        <v>0.5925925926</v>
      </c>
      <c r="C8" s="2"/>
      <c r="D8" s="18"/>
      <c r="E8" s="18"/>
      <c r="F8" s="18"/>
      <c r="G8" s="18"/>
      <c r="H8" s="18"/>
      <c r="I8" s="1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207</v>
      </c>
      <c r="B9" s="20">
        <f>IFERROR(__xludf.DUMMYFUNCTION("COUNTUNIQUE(FILTER('Вводные. Основные метрики'!$B$2:$B$896, 'Вводные. Основные метрики'!$A$2:$A$896=$A9)) /
  COUNTUNIQUE(FILTER('Вводные. Основные метрики'!$B$2:$B$896, 'Вводные. Основные метрики'!$A$2:$A$896=""Январь""))"),0.5370370370370371)</f>
        <v>0.537037037</v>
      </c>
      <c r="C9" s="2"/>
      <c r="D9" s="18"/>
      <c r="E9" s="18"/>
      <c r="F9" s="18"/>
      <c r="G9" s="18"/>
      <c r="H9" s="18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4</v>
      </c>
      <c r="B10" s="20">
        <f>IFERROR(__xludf.DUMMYFUNCTION("COUNTUNIQUE(FILTER('Вводные. Основные метрики'!$B$2:$B$896, 'Вводные. Основные метрики'!$A$2:$A$896=$A10)) /
  COUNTUNIQUE(FILTER('Вводные. Основные метрики'!$B$2:$B$896, 'Вводные. Основные метрики'!$A$2:$A$896=""Январь""))"),0.48148148148148145)</f>
        <v>0.4814814815</v>
      </c>
      <c r="C10" s="2"/>
      <c r="D10" s="18"/>
      <c r="E10" s="18"/>
      <c r="F10" s="18"/>
      <c r="G10" s="18"/>
      <c r="H10" s="18"/>
      <c r="I10" s="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629</v>
      </c>
      <c r="B11" s="20">
        <f>IFERROR(__xludf.DUMMYFUNCTION("COUNTUNIQUE(FILTER('Вводные. Основные метрики'!$B$2:$B$896, 'Вводные. Основные метрики'!$A$2:$A$896=$A11)) /
  COUNTUNIQUE(FILTER('Вводные. Основные метрики'!$B$2:$B$896, 'Вводные. Основные метрики'!$A$2:$A$896=""Январь""))"),0.3888888888888889)</f>
        <v>0.3888888889</v>
      </c>
      <c r="C11" s="2"/>
      <c r="D11" s="18"/>
      <c r="E11" s="18"/>
      <c r="F11" s="18"/>
      <c r="G11" s="18"/>
      <c r="H11" s="18"/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602</v>
      </c>
      <c r="B12" s="20">
        <f>IFERROR(__xludf.DUMMYFUNCTION("COUNTUNIQUE(FILTER('Вводные. Основные метрики'!$B$2:$B$896, 'Вводные. Основные метрики'!$A$2:$A$896=$A12)) /
  COUNTUNIQUE(FILTER('Вводные. Основные метрики'!$B$2:$B$896, 'Вводные. Основные метрики'!$A$2:$A$896=""Январь""))"),0.2962962962962963)</f>
        <v>0.2962962963</v>
      </c>
      <c r="C12" s="2"/>
      <c r="D12" s="18"/>
      <c r="E12" s="18"/>
      <c r="F12" s="18"/>
      <c r="G12" s="18"/>
      <c r="H12" s="18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590</v>
      </c>
      <c r="B13" s="20">
        <f>IFERROR(__xludf.DUMMYFUNCTION("COUNTUNIQUE(FILTER('Вводные. Основные метрики'!$B$2:$B$896, 'Вводные. Основные метрики'!$A$2:$A$896=$A13)) /
  COUNTUNIQUE(FILTER('Вводные. Основные метрики'!$B$2:$B$896, 'Вводные. Основные метрики'!$A$2:$A$896=""Январь""))"),0.18518518518518517)</f>
        <v>0.1851851852</v>
      </c>
      <c r="C13" s="2"/>
      <c r="D13" s="18"/>
      <c r="E13" s="18"/>
      <c r="F13" s="18"/>
      <c r="G13" s="18"/>
      <c r="H13" s="18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972</v>
      </c>
      <c r="B14" s="21">
        <v>0.0</v>
      </c>
      <c r="C14" s="22"/>
      <c r="D14" s="18"/>
      <c r="E14" s="18"/>
      <c r="F14" s="18"/>
      <c r="G14" s="18"/>
      <c r="H14" s="18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1"/>
      <c r="C15" s="2"/>
      <c r="D15" s="18"/>
      <c r="E15" s="18"/>
      <c r="F15" s="18"/>
      <c r="G15" s="18"/>
      <c r="H15" s="18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1"/>
      <c r="C16" s="2"/>
      <c r="D16" s="18"/>
      <c r="E16" s="18"/>
      <c r="F16" s="18"/>
      <c r="G16" s="18"/>
      <c r="H16" s="18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3"/>
      <c r="B17" s="11"/>
      <c r="C17" s="2"/>
      <c r="D17" s="18"/>
      <c r="E17" s="18"/>
      <c r="F17" s="18"/>
      <c r="G17" s="18"/>
      <c r="H17" s="18"/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/>
      <c r="B18" s="25"/>
      <c r="C18" s="26"/>
      <c r="D18" s="18"/>
      <c r="E18" s="18"/>
      <c r="F18" s="18"/>
      <c r="G18" s="18"/>
      <c r="H18" s="18"/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B19" s="7"/>
      <c r="C19" s="2"/>
      <c r="D19" s="18"/>
      <c r="E19" s="18"/>
      <c r="F19" s="18"/>
      <c r="G19" s="18"/>
      <c r="H19" s="18"/>
      <c r="I19" s="1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/>
      <c r="B20" s="7"/>
      <c r="C20" s="2"/>
      <c r="D20" s="18"/>
      <c r="E20" s="18"/>
      <c r="F20" s="18"/>
      <c r="G20" s="18"/>
      <c r="H20" s="18"/>
      <c r="I20" s="1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7"/>
      <c r="B21" s="7"/>
      <c r="C21" s="2"/>
      <c r="D21" s="18"/>
      <c r="E21" s="18"/>
      <c r="F21" s="18"/>
      <c r="G21" s="18"/>
      <c r="H21" s="18"/>
      <c r="I21" s="1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7"/>
      <c r="B22" s="7"/>
      <c r="C22" s="2"/>
      <c r="D22" s="2"/>
      <c r="E22" s="2"/>
      <c r="F22" s="28"/>
      <c r="G22" s="2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7"/>
      <c r="B23" s="7"/>
      <c r="C23" s="2"/>
      <c r="D23" s="2"/>
      <c r="E23" s="2"/>
      <c r="F23" s="28"/>
      <c r="G23" s="2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7"/>
      <c r="B24" s="7"/>
      <c r="C24" s="2"/>
      <c r="D24" s="2"/>
      <c r="E24" s="2"/>
      <c r="F24" s="28"/>
      <c r="G24" s="2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7"/>
      <c r="B25" s="7"/>
      <c r="C25" s="2"/>
      <c r="D25" s="2"/>
      <c r="E25" s="2"/>
      <c r="F25" s="28"/>
      <c r="G25" s="2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"/>
      <c r="B26" s="7"/>
      <c r="C26" s="2"/>
      <c r="D26" s="2"/>
      <c r="E26" s="2"/>
      <c r="F26" s="28"/>
      <c r="G26" s="2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7"/>
      <c r="B27" s="27"/>
      <c r="C27" s="2"/>
      <c r="D27" s="2"/>
      <c r="E27" s="2"/>
      <c r="F27" s="28"/>
      <c r="G27" s="2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/>
      <c r="B28" s="27"/>
      <c r="C28" s="2"/>
      <c r="D28" s="2"/>
      <c r="E28" s="2"/>
      <c r="F28" s="28"/>
      <c r="G28" s="2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7"/>
      <c r="B29" s="27"/>
      <c r="C29" s="2"/>
      <c r="D29" s="2"/>
      <c r="E29" s="2"/>
      <c r="F29" s="28"/>
      <c r="G29" s="2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7"/>
      <c r="B30" s="30"/>
      <c r="C30" s="2"/>
      <c r="D30" s="2"/>
      <c r="E30" s="2"/>
      <c r="F30" s="28"/>
      <c r="G30" s="2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7"/>
      <c r="C35" s="8"/>
      <c r="D35" s="8"/>
      <c r="E35" s="8"/>
      <c r="F35" s="8"/>
      <c r="G35" s="8"/>
      <c r="H35" s="8"/>
      <c r="I35" s="8"/>
      <c r="J35" s="8"/>
      <c r="K35" s="9"/>
      <c r="L35" s="9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7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7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7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7"/>
      <c r="C41" s="8"/>
      <c r="D41" s="8"/>
      <c r="E41" s="8"/>
      <c r="F41" s="8"/>
      <c r="G41" s="8"/>
      <c r="H41" s="8"/>
      <c r="I41" s="8"/>
      <c r="J41" s="9"/>
      <c r="K41" s="9"/>
      <c r="L41" s="9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7"/>
      <c r="C42" s="8"/>
      <c r="D42" s="8"/>
      <c r="E42" s="8"/>
      <c r="F42" s="9"/>
      <c r="G42" s="9"/>
      <c r="H42" s="9"/>
      <c r="I42" s="9"/>
      <c r="J42" s="9"/>
      <c r="K42" s="9"/>
      <c r="L42" s="9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7"/>
      <c r="C43" s="8"/>
      <c r="D43" s="8"/>
      <c r="E43" s="9"/>
      <c r="F43" s="9"/>
      <c r="G43" s="9"/>
      <c r="H43" s="9"/>
      <c r="I43" s="9"/>
      <c r="J43" s="9"/>
      <c r="K43" s="9"/>
      <c r="L43" s="9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7"/>
      <c r="C44" s="8"/>
      <c r="D44" s="8"/>
      <c r="E44" s="8"/>
      <c r="F44" s="8"/>
      <c r="G44" s="8"/>
      <c r="H44" s="9"/>
      <c r="I44" s="9"/>
      <c r="J44" s="9"/>
      <c r="K44" s="9"/>
      <c r="L44" s="9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7"/>
      <c r="C45" s="8"/>
      <c r="D45" s="8"/>
      <c r="E45" s="8"/>
      <c r="F45" s="8"/>
      <c r="G45" s="8"/>
      <c r="H45" s="8"/>
      <c r="I45" s="8"/>
      <c r="J45" s="9"/>
      <c r="K45" s="9"/>
      <c r="L45" s="9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7"/>
      <c r="C46" s="9"/>
      <c r="D46" s="9"/>
      <c r="E46" s="9"/>
      <c r="F46" s="9"/>
      <c r="G46" s="9"/>
      <c r="H46" s="9"/>
      <c r="I46" s="9"/>
      <c r="J46" s="9"/>
      <c r="K46" s="9"/>
      <c r="L46" s="9"/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7"/>
      <c r="C47" s="8"/>
      <c r="D47" s="8"/>
      <c r="E47" s="8"/>
      <c r="F47" s="8"/>
      <c r="G47" s="8"/>
      <c r="H47" s="8"/>
      <c r="I47" s="9"/>
      <c r="J47" s="9"/>
      <c r="K47" s="9"/>
      <c r="L47" s="9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7"/>
      <c r="C48" s="8"/>
      <c r="D48" s="8"/>
      <c r="E48" s="8"/>
      <c r="F48" s="9"/>
      <c r="G48" s="9"/>
      <c r="H48" s="9"/>
      <c r="I48" s="9"/>
      <c r="J48" s="9"/>
      <c r="K48" s="9"/>
      <c r="L48" s="9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8"/>
      <c r="D49" s="9"/>
      <c r="E49" s="9"/>
      <c r="F49" s="9"/>
      <c r="G49" s="9"/>
      <c r="H49" s="9"/>
      <c r="I49" s="9"/>
      <c r="J49" s="9"/>
      <c r="K49" s="9"/>
      <c r="L49" s="9"/>
      <c r="M49" s="8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8"/>
      <c r="D50" s="8"/>
      <c r="E50" s="8"/>
      <c r="F50" s="8"/>
      <c r="G50" s="8"/>
      <c r="H50" s="8"/>
      <c r="I50" s="8"/>
      <c r="J50" s="9"/>
      <c r="K50" s="9"/>
      <c r="L50" s="9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8"/>
      <c r="D51" s="8"/>
      <c r="E51" s="9"/>
      <c r="F51" s="9"/>
      <c r="G51" s="9"/>
      <c r="H51" s="9"/>
      <c r="I51" s="9"/>
      <c r="J51" s="9"/>
      <c r="K51" s="9"/>
      <c r="L51" s="9"/>
      <c r="M51" s="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7"/>
      <c r="C52" s="8"/>
      <c r="D52" s="8"/>
      <c r="E52" s="8"/>
      <c r="F52" s="8"/>
      <c r="G52" s="8"/>
      <c r="H52" s="8"/>
      <c r="I52" s="8"/>
      <c r="J52" s="8"/>
      <c r="K52" s="9"/>
      <c r="L52" s="9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7"/>
      <c r="C53" s="8"/>
      <c r="D53" s="8"/>
      <c r="E53" s="8"/>
      <c r="F53" s="9"/>
      <c r="G53" s="9"/>
      <c r="H53" s="9"/>
      <c r="I53" s="9"/>
      <c r="J53" s="9"/>
      <c r="K53" s="9"/>
      <c r="L53" s="9"/>
      <c r="M53" s="8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8"/>
      <c r="D54" s="9"/>
      <c r="E54" s="9"/>
      <c r="F54" s="9"/>
      <c r="G54" s="9"/>
      <c r="H54" s="9"/>
      <c r="I54" s="9"/>
      <c r="J54" s="9"/>
      <c r="K54" s="9"/>
      <c r="L54" s="9"/>
      <c r="M54" s="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8"/>
      <c r="D55" s="8"/>
      <c r="E55" s="8"/>
      <c r="F55" s="8"/>
      <c r="G55" s="8"/>
      <c r="H55" s="8"/>
      <c r="I55" s="8"/>
      <c r="J55" s="9"/>
      <c r="K55" s="9"/>
      <c r="L55" s="9"/>
      <c r="M55" s="8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8"/>
      <c r="D56" s="8"/>
      <c r="E56" s="8"/>
      <c r="F56" s="8"/>
      <c r="G56" s="8"/>
      <c r="H56" s="8"/>
      <c r="I56" s="8"/>
      <c r="J56" s="9"/>
      <c r="K56" s="9"/>
      <c r="L56" s="9"/>
      <c r="M56" s="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8"/>
      <c r="D57" s="8"/>
      <c r="E57" s="8"/>
      <c r="F57" s="8"/>
      <c r="G57" s="8"/>
      <c r="H57" s="8"/>
      <c r="I57" s="9"/>
      <c r="J57" s="8"/>
      <c r="K57" s="8"/>
      <c r="L57" s="9"/>
      <c r="M57" s="8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8"/>
      <c r="D58" s="8"/>
      <c r="E58" s="8"/>
      <c r="F58" s="8"/>
      <c r="G58" s="8"/>
      <c r="H58" s="8"/>
      <c r="I58" s="8"/>
      <c r="J58" s="8"/>
      <c r="K58" s="8"/>
      <c r="L58" s="9"/>
      <c r="M58" s="8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8"/>
      <c r="D62" s="8"/>
      <c r="E62" s="8"/>
      <c r="F62" s="9"/>
      <c r="G62" s="9"/>
      <c r="H62" s="9"/>
      <c r="I62" s="9"/>
      <c r="J62" s="9"/>
      <c r="K62" s="9"/>
      <c r="L62" s="9"/>
      <c r="M62" s="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8"/>
      <c r="D63" s="8"/>
      <c r="E63" s="8"/>
      <c r="F63" s="8"/>
      <c r="G63" s="9"/>
      <c r="H63" s="9"/>
      <c r="I63" s="9"/>
      <c r="J63" s="9"/>
      <c r="K63" s="9"/>
      <c r="L63" s="9"/>
      <c r="M63" s="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8"/>
      <c r="D65" s="8"/>
      <c r="E65" s="8"/>
      <c r="F65" s="8"/>
      <c r="G65" s="8"/>
      <c r="H65" s="9"/>
      <c r="I65" s="8"/>
      <c r="J65" s="8"/>
      <c r="K65" s="8"/>
      <c r="L65" s="9"/>
      <c r="M65" s="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8"/>
      <c r="D66" s="8"/>
      <c r="E66" s="8"/>
      <c r="F66" s="8"/>
      <c r="G66" s="8"/>
      <c r="H66" s="8"/>
      <c r="I66" s="8"/>
      <c r="J66" s="8"/>
      <c r="K66" s="9"/>
      <c r="L66" s="9"/>
      <c r="M66" s="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7"/>
      <c r="C67" s="8"/>
      <c r="D67" s="8"/>
      <c r="E67" s="8"/>
      <c r="F67" s="8"/>
      <c r="G67" s="8"/>
      <c r="H67" s="8"/>
      <c r="I67" s="8"/>
      <c r="J67" s="9"/>
      <c r="K67" s="9"/>
      <c r="L67" s="9"/>
      <c r="M67" s="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7"/>
      <c r="C68" s="8"/>
      <c r="D68" s="8"/>
      <c r="E68" s="8"/>
      <c r="F68" s="8"/>
      <c r="G68" s="9"/>
      <c r="H68" s="9"/>
      <c r="I68" s="9"/>
      <c r="J68" s="9"/>
      <c r="K68" s="9"/>
      <c r="L68" s="9"/>
      <c r="M68" s="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7"/>
      <c r="C72" s="8"/>
      <c r="D72" s="8"/>
      <c r="E72" s="9"/>
      <c r="F72" s="9"/>
      <c r="G72" s="9"/>
      <c r="H72" s="9"/>
      <c r="I72" s="9"/>
      <c r="J72" s="9"/>
      <c r="K72" s="9"/>
      <c r="L72" s="9"/>
      <c r="M72" s="8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9"/>
      <c r="M73" s="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7"/>
      <c r="C74" s="8"/>
      <c r="D74" s="8"/>
      <c r="E74" s="8"/>
      <c r="F74" s="8"/>
      <c r="G74" s="9"/>
      <c r="H74" s="9"/>
      <c r="I74" s="9"/>
      <c r="J74" s="9"/>
      <c r="K74" s="9"/>
      <c r="L74" s="9"/>
      <c r="M74" s="8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7"/>
      <c r="C75" s="8"/>
      <c r="D75" s="8"/>
      <c r="E75" s="8"/>
      <c r="F75" s="8"/>
      <c r="G75" s="8"/>
      <c r="H75" s="9"/>
      <c r="I75" s="9"/>
      <c r="J75" s="9"/>
      <c r="K75" s="9"/>
      <c r="L75" s="9"/>
      <c r="M75" s="8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7"/>
      <c r="C76" s="9"/>
      <c r="D76" s="9"/>
      <c r="E76" s="9"/>
      <c r="F76" s="9"/>
      <c r="G76" s="9"/>
      <c r="H76" s="9"/>
      <c r="I76" s="9"/>
      <c r="J76" s="9"/>
      <c r="K76" s="9"/>
      <c r="L76" s="9"/>
      <c r="M76" s="8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7"/>
      <c r="C77" s="8"/>
      <c r="D77" s="8"/>
      <c r="E77" s="9"/>
      <c r="F77" s="9"/>
      <c r="G77" s="9"/>
      <c r="H77" s="9"/>
      <c r="I77" s="9"/>
      <c r="J77" s="9"/>
      <c r="K77" s="9"/>
      <c r="L77" s="9"/>
      <c r="M77" s="8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/>
      <c r="B79" s="7"/>
      <c r="C79" s="8"/>
      <c r="D79" s="8"/>
      <c r="E79" s="8"/>
      <c r="F79" s="9"/>
      <c r="G79" s="9"/>
      <c r="H79" s="9"/>
      <c r="I79" s="9"/>
      <c r="J79" s="9"/>
      <c r="K79" s="9"/>
      <c r="L79" s="9"/>
      <c r="M79" s="8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7"/>
      <c r="C80" s="8"/>
      <c r="D80" s="8"/>
      <c r="E80" s="8"/>
      <c r="F80" s="8"/>
      <c r="G80" s="9"/>
      <c r="H80" s="9"/>
      <c r="I80" s="9"/>
      <c r="J80" s="9"/>
      <c r="K80" s="9"/>
      <c r="L80" s="9"/>
      <c r="M80" s="8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/>
      <c r="B81" s="7"/>
      <c r="C81" s="8"/>
      <c r="D81" s="8"/>
      <c r="E81" s="8"/>
      <c r="F81" s="8"/>
      <c r="G81" s="8"/>
      <c r="H81" s="8"/>
      <c r="I81" s="8"/>
      <c r="J81" s="8"/>
      <c r="K81" s="9"/>
      <c r="L81" s="9"/>
      <c r="M81" s="8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/>
      <c r="B82" s="7"/>
      <c r="C82" s="8"/>
      <c r="D82" s="8"/>
      <c r="E82" s="8"/>
      <c r="F82" s="8"/>
      <c r="G82" s="8"/>
      <c r="H82" s="8"/>
      <c r="I82" s="8"/>
      <c r="J82" s="8"/>
      <c r="K82" s="8"/>
      <c r="L82" s="9"/>
      <c r="M82" s="8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/>
      <c r="B83" s="7"/>
      <c r="C83" s="8"/>
      <c r="D83" s="8"/>
      <c r="E83" s="8"/>
      <c r="F83" s="8"/>
      <c r="G83" s="8"/>
      <c r="H83" s="8"/>
      <c r="I83" s="8"/>
      <c r="J83" s="8"/>
      <c r="K83" s="9"/>
      <c r="L83" s="9"/>
      <c r="M83" s="8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/>
      <c r="B84" s="7"/>
      <c r="C84" s="8"/>
      <c r="D84" s="8"/>
      <c r="E84" s="8"/>
      <c r="F84" s="8"/>
      <c r="G84" s="9"/>
      <c r="H84" s="9"/>
      <c r="I84" s="9"/>
      <c r="J84" s="9"/>
      <c r="K84" s="9"/>
      <c r="L84" s="9"/>
      <c r="M84" s="8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/>
      <c r="B85" s="7"/>
      <c r="C85" s="8"/>
      <c r="D85" s="8"/>
      <c r="E85" s="8"/>
      <c r="F85" s="8"/>
      <c r="G85" s="9"/>
      <c r="H85" s="9"/>
      <c r="I85" s="9"/>
      <c r="J85" s="9"/>
      <c r="K85" s="9"/>
      <c r="L85" s="9"/>
      <c r="M85" s="8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7"/>
      <c r="C86" s="8"/>
      <c r="D86" s="8"/>
      <c r="E86" s="8"/>
      <c r="F86" s="8"/>
      <c r="G86" s="8"/>
      <c r="H86" s="8"/>
      <c r="I86" s="9"/>
      <c r="J86" s="9"/>
      <c r="K86" s="9"/>
      <c r="L86" s="9"/>
      <c r="M86" s="8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/>
      <c r="B87" s="7"/>
      <c r="C87" s="8"/>
      <c r="D87" s="8"/>
      <c r="E87" s="8"/>
      <c r="F87" s="8"/>
      <c r="G87" s="8"/>
      <c r="H87" s="8"/>
      <c r="I87" s="9"/>
      <c r="J87" s="9"/>
      <c r="K87" s="9"/>
      <c r="L87" s="9"/>
      <c r="M87" s="8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/>
      <c r="B88" s="7"/>
      <c r="C88" s="8"/>
      <c r="D88" s="9"/>
      <c r="E88" s="9"/>
      <c r="F88" s="9"/>
      <c r="G88" s="9"/>
      <c r="H88" s="9"/>
      <c r="I88" s="9"/>
      <c r="J88" s="9"/>
      <c r="K88" s="9"/>
      <c r="L88" s="9"/>
      <c r="M88" s="8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/>
      <c r="B108" s="1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/>
      <c r="B109" s="1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/>
      <c r="B110" s="1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/>
      <c r="B111" s="1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/>
      <c r="B112" s="1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/>
      <c r="B114" s="1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/>
      <c r="B115" s="1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/>
      <c r="B116" s="1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/>
      <c r="B117" s="1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/>
      <c r="B118" s="1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/>
      <c r="B120" s="1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/>
      <c r="B121" s="1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/>
      <c r="B122" s="1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/>
      <c r="B123" s="1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/>
      <c r="B124" s="1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/>
      <c r="B126" s="1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/>
      <c r="B127" s="1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/>
      <c r="B128" s="1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1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1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/>
      <c r="B132" s="1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/>
      <c r="B133" s="1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/>
      <c r="B134" s="1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/>
      <c r="B135" s="1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/>
      <c r="B136" s="1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/>
      <c r="B138" s="1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/>
      <c r="B139" s="1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/>
      <c r="B140" s="1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/>
      <c r="B141" s="1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/>
      <c r="B142" s="1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/>
      <c r="B144" s="1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/>
      <c r="B145" s="1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/>
      <c r="B146" s="1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/>
      <c r="B147" s="1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/>
      <c r="B148" s="1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/>
      <c r="B150" s="1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/>
      <c r="B151" s="1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/>
      <c r="B152" s="1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/>
      <c r="B153" s="1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/>
      <c r="B154" s="1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/>
      <c r="B156" s="1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/>
      <c r="B157" s="1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/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/>
      <c r="B159" s="1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/>
      <c r="B160" s="1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/>
      <c r="B162" s="1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/>
      <c r="B163" s="1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/>
      <c r="B164" s="1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/>
      <c r="B165" s="1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/>
      <c r="B166" s="1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/>
      <c r="B168" s="1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/>
      <c r="B169" s="1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/>
      <c r="B170" s="1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/>
      <c r="B171" s="1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/>
      <c r="B172" s="1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/>
      <c r="B174" s="1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/>
      <c r="B175" s="1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/>
      <c r="B176" s="1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/>
      <c r="B177" s="1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/>
      <c r="B178" s="1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/>
      <c r="B180" s="1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/>
      <c r="B181" s="1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/>
      <c r="B182" s="1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/>
      <c r="B183" s="1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/>
      <c r="B184" s="1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/>
      <c r="B186" s="1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/>
      <c r="B187" s="1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/>
      <c r="B188" s="1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/>
      <c r="B189" s="1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/>
      <c r="B190" s="1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/>
      <c r="B192" s="1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/>
      <c r="B193" s="1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/>
      <c r="B194" s="1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/>
      <c r="B195" s="1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/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/>
      <c r="B197" s="1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/>
      <c r="B198" s="1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/>
      <c r="B199" s="1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/>
      <c r="B200" s="1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/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/>
      <c r="B202" s="1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/>
      <c r="B203" s="1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/>
      <c r="B204" s="1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/>
      <c r="B205" s="1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/>
      <c r="B206" s="1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/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/>
      <c r="B208" s="1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/>
      <c r="B209" s="1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/>
      <c r="B210" s="1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/>
      <c r="B211" s="1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/>
      <c r="B212" s="1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/>
      <c r="B213" s="1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/>
      <c r="B214" s="1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/>
      <c r="B215" s="1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/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/>
      <c r="B217" s="1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/>
      <c r="B218" s="1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/>
      <c r="B219" s="1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/>
      <c r="B220" s="1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1"/>
      <c r="B221" s="1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/>
      <c r="B222" s="1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1"/>
      <c r="B223" s="1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/>
      <c r="B224" s="1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1"/>
      <c r="B225" s="1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/>
      <c r="B226" s="1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"/>
      <c r="B227" s="1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"/>
      <c r="B228" s="1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/>
      <c r="B229" s="1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"/>
      <c r="B230" s="1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/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"/>
      <c r="B232" s="1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/>
      <c r="B233" s="1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"/>
      <c r="B234" s="1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/>
      <c r="B235" s="1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"/>
      <c r="B236" s="1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/>
      <c r="B237" s="1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"/>
      <c r="B238" s="1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/>
      <c r="B239" s="1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"/>
      <c r="B240" s="1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/>
      <c r="B241" s="1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"/>
      <c r="B242" s="1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/>
      <c r="B243" s="1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"/>
      <c r="B244" s="1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"/>
      <c r="B372" s="1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"/>
      <c r="B373" s="1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"/>
      <c r="B374" s="1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"/>
      <c r="B375" s="1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"/>
      <c r="B376" s="1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"/>
      <c r="B377" s="1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"/>
      <c r="B378" s="1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"/>
      <c r="B379" s="1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"/>
      <c r="B380" s="1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"/>
      <c r="B381" s="1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"/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"/>
      <c r="B383" s="1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"/>
      <c r="B384" s="1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"/>
      <c r="B385" s="1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"/>
      <c r="B386" s="1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"/>
      <c r="B387" s="1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"/>
      <c r="B388" s="1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/>
      <c r="B389" s="1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"/>
      <c r="B390" s="1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"/>
      <c r="B391" s="1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"/>
      <c r="B392" s="1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"/>
      <c r="B393" s="1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"/>
      <c r="B394" s="1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"/>
      <c r="B395" s="1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"/>
      <c r="B396" s="1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"/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"/>
      <c r="B398" s="1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/>
      <c r="B399" s="1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/>
      <c r="B400" s="1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"/>
      <c r="B401" s="1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"/>
      <c r="B402" s="1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"/>
      <c r="B403" s="1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"/>
      <c r="B404" s="1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"/>
      <c r="B405" s="1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"/>
      <c r="B406" s="1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"/>
      <c r="B407" s="1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"/>
      <c r="B408" s="1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"/>
      <c r="B409" s="1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"/>
      <c r="B410" s="1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"/>
      <c r="B411" s="1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"/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"/>
      <c r="B413" s="1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/>
      <c r="B414" s="1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"/>
      <c r="B415" s="1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"/>
      <c r="B416" s="1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"/>
      <c r="B417" s="1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"/>
      <c r="B418" s="1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"/>
      <c r="B419" s="1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"/>
      <c r="B420" s="1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"/>
      <c r="B421" s="1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"/>
      <c r="B422" s="1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"/>
      <c r="B423" s="1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"/>
      <c r="B424" s="1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"/>
      <c r="B425" s="1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"/>
      <c r="B426" s="1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"/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"/>
      <c r="B428" s="1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"/>
      <c r="B429" s="1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"/>
      <c r="B430" s="1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"/>
      <c r="B431" s="1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"/>
      <c r="B432" s="1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"/>
      <c r="B433" s="1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"/>
      <c r="B434" s="1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"/>
      <c r="B435" s="1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"/>
      <c r="B436" s="1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/>
      <c r="B437" s="1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"/>
      <c r="B438" s="1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"/>
      <c r="B439" s="1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"/>
      <c r="B440" s="1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"/>
      <c r="B441" s="1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"/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"/>
      <c r="B443" s="1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"/>
      <c r="B444" s="1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"/>
      <c r="B445" s="1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"/>
      <c r="B446" s="1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"/>
      <c r="B447" s="1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"/>
      <c r="B448" s="1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"/>
      <c r="B449" s="1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"/>
      <c r="B450" s="1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"/>
      <c r="B451" s="1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/>
      <c r="B452" s="1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"/>
      <c r="B453" s="1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/>
      <c r="B454" s="1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"/>
      <c r="B455" s="1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"/>
      <c r="B456" s="1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"/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"/>
      <c r="B458" s="1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"/>
      <c r="B459" s="1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"/>
      <c r="B460" s="1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"/>
      <c r="B461" s="1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"/>
      <c r="B462" s="1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"/>
      <c r="B463" s="1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"/>
      <c r="B464" s="1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"/>
      <c r="B465" s="1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"/>
      <c r="B466" s="1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"/>
      <c r="B467" s="1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"/>
      <c r="B468" s="1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"/>
      <c r="B469" s="1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"/>
      <c r="B470" s="1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"/>
      <c r="B471" s="1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"/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"/>
      <c r="B473" s="1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"/>
      <c r="B474" s="1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/>
      <c r="B475" s="1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"/>
      <c r="B476" s="1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"/>
      <c r="B477" s="1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"/>
      <c r="B478" s="1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"/>
      <c r="B479" s="1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"/>
      <c r="B480" s="1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"/>
      <c r="B481" s="1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"/>
      <c r="B482" s="1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"/>
      <c r="B483" s="1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"/>
      <c r="B484" s="1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"/>
      <c r="B485" s="1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1"/>
      <c r="B486" s="1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1"/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1"/>
      <c r="B488" s="1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"/>
      <c r="B489" s="1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"/>
      <c r="B490" s="1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"/>
      <c r="B491" s="1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"/>
      <c r="B492" s="1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"/>
      <c r="B493" s="1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"/>
      <c r="B494" s="1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"/>
      <c r="B495" s="1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"/>
      <c r="B496" s="1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"/>
      <c r="B497" s="1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"/>
      <c r="B498" s="1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"/>
      <c r="B499" s="1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"/>
      <c r="B500" s="1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"/>
      <c r="B501" s="1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"/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"/>
      <c r="B503" s="1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"/>
      <c r="B504" s="1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"/>
      <c r="B505" s="1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"/>
      <c r="B506" s="1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"/>
      <c r="B507" s="1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"/>
      <c r="B508" s="1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"/>
      <c r="B509" s="1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"/>
      <c r="B510" s="1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"/>
      <c r="B511" s="1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"/>
      <c r="B512" s="1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"/>
      <c r="B513" s="1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"/>
      <c r="B514" s="1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"/>
      <c r="B515" s="1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"/>
      <c r="B516" s="1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"/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"/>
      <c r="B518" s="1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"/>
      <c r="B519" s="1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"/>
      <c r="B520" s="1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"/>
      <c r="B521" s="1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"/>
      <c r="B522" s="1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"/>
      <c r="B523" s="1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"/>
      <c r="B524" s="1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"/>
      <c r="B525" s="1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"/>
      <c r="B526" s="1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"/>
      <c r="B527" s="1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"/>
      <c r="B528" s="1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"/>
      <c r="B529" s="1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"/>
      <c r="B530" s="1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"/>
      <c r="B531" s="1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"/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"/>
      <c r="B533" s="1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"/>
      <c r="B534" s="1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"/>
      <c r="B535" s="1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"/>
      <c r="B536" s="1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"/>
      <c r="B537" s="1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"/>
      <c r="B538" s="1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"/>
      <c r="B539" s="1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"/>
      <c r="B540" s="1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"/>
      <c r="B541" s="1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"/>
      <c r="B542" s="1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"/>
      <c r="B543" s="1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"/>
      <c r="B544" s="1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/>
      <c r="B545" s="1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"/>
      <c r="B546" s="1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"/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"/>
      <c r="B548" s="1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"/>
      <c r="B549" s="1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"/>
      <c r="B550" s="1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"/>
      <c r="B551" s="1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"/>
      <c r="B552" s="1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"/>
      <c r="B553" s="1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"/>
      <c r="B554" s="1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"/>
      <c r="B555" s="1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"/>
      <c r="B556" s="1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"/>
      <c r="B557" s="1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"/>
      <c r="B558" s="1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"/>
      <c r="B559" s="1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"/>
      <c r="B560" s="1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"/>
      <c r="B561" s="1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"/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"/>
      <c r="B563" s="1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"/>
      <c r="B564" s="1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"/>
      <c r="B565" s="1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"/>
      <c r="B566" s="1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"/>
      <c r="B567" s="1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"/>
      <c r="B568" s="1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"/>
      <c r="B569" s="1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"/>
      <c r="B570" s="1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"/>
      <c r="B571" s="1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"/>
      <c r="B572" s="1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"/>
      <c r="B573" s="1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"/>
      <c r="B574" s="1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"/>
      <c r="B575" s="1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"/>
      <c r="B576" s="1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"/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"/>
      <c r="B578" s="1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"/>
      <c r="B579" s="1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"/>
      <c r="B580" s="1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"/>
      <c r="B581" s="1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"/>
      <c r="B582" s="1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"/>
      <c r="B583" s="1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"/>
      <c r="B584" s="1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"/>
      <c r="B585" s="1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"/>
      <c r="B586" s="1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"/>
      <c r="B587" s="1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"/>
      <c r="B588" s="1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"/>
      <c r="B589" s="1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"/>
      <c r="B590" s="1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"/>
      <c r="B591" s="1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"/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"/>
      <c r="B593" s="1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"/>
      <c r="B594" s="1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"/>
      <c r="B595" s="1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"/>
      <c r="B596" s="1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"/>
      <c r="B597" s="1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"/>
      <c r="B598" s="1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"/>
      <c r="B599" s="1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"/>
      <c r="B600" s="1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"/>
      <c r="B601" s="1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"/>
      <c r="B602" s="1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"/>
      <c r="B603" s="1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"/>
      <c r="B604" s="1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"/>
      <c r="B605" s="1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"/>
      <c r="B606" s="1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"/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"/>
      <c r="B608" s="1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"/>
      <c r="B609" s="1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"/>
      <c r="B610" s="1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"/>
      <c r="B611" s="1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"/>
      <c r="B612" s="1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"/>
      <c r="B613" s="1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"/>
      <c r="B614" s="1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"/>
      <c r="B615" s="1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"/>
      <c r="B616" s="1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"/>
      <c r="B617" s="1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"/>
      <c r="B618" s="1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"/>
      <c r="B619" s="1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"/>
      <c r="B620" s="1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"/>
      <c r="B621" s="1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"/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"/>
      <c r="B623" s="1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"/>
      <c r="B624" s="1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"/>
      <c r="B625" s="1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"/>
      <c r="B626" s="1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"/>
      <c r="B627" s="1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"/>
      <c r="B628" s="1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"/>
      <c r="B629" s="1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"/>
      <c r="B630" s="1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"/>
      <c r="B631" s="1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"/>
      <c r="B632" s="1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"/>
      <c r="B633" s="1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"/>
      <c r="B634" s="1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"/>
      <c r="B635" s="1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"/>
      <c r="B636" s="1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"/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"/>
      <c r="B638" s="1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"/>
      <c r="B639" s="1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"/>
      <c r="B640" s="1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"/>
      <c r="B641" s="1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"/>
      <c r="B642" s="1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"/>
      <c r="B643" s="1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"/>
      <c r="B644" s="1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"/>
      <c r="B645" s="1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"/>
      <c r="B646" s="1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"/>
      <c r="B647" s="1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"/>
      <c r="B648" s="1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"/>
      <c r="B649" s="1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"/>
      <c r="B650" s="1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"/>
      <c r="B651" s="1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"/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"/>
      <c r="B653" s="1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"/>
      <c r="B654" s="1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"/>
      <c r="B655" s="1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"/>
      <c r="B656" s="1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"/>
      <c r="B657" s="1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"/>
      <c r="B658" s="1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"/>
      <c r="B659" s="1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"/>
      <c r="B660" s="1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"/>
      <c r="B661" s="1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"/>
      <c r="B662" s="1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"/>
      <c r="B663" s="1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"/>
      <c r="B664" s="1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"/>
      <c r="B665" s="1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"/>
      <c r="B666" s="1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"/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"/>
      <c r="B668" s="1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"/>
      <c r="B669" s="1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"/>
      <c r="B670" s="1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"/>
      <c r="B671" s="1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"/>
      <c r="B672" s="1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"/>
      <c r="B673" s="1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"/>
      <c r="B674" s="1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"/>
      <c r="B675" s="1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"/>
      <c r="B676" s="1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"/>
      <c r="B677" s="1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"/>
      <c r="B678" s="1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"/>
      <c r="B679" s="1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"/>
      <c r="B680" s="1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"/>
      <c r="B681" s="1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"/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"/>
      <c r="B683" s="1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"/>
      <c r="B684" s="1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"/>
      <c r="B685" s="1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"/>
      <c r="B686" s="1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"/>
      <c r="B687" s="1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"/>
      <c r="B688" s="1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"/>
      <c r="B689" s="1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"/>
      <c r="B690" s="1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"/>
      <c r="B691" s="1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"/>
      <c r="B692" s="1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"/>
      <c r="B693" s="1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"/>
      <c r="B694" s="1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"/>
      <c r="B695" s="1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"/>
      <c r="B696" s="1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"/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"/>
      <c r="B698" s="1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"/>
      <c r="B699" s="1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"/>
      <c r="B700" s="1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"/>
      <c r="B701" s="1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"/>
      <c r="B702" s="1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"/>
      <c r="B703" s="1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"/>
      <c r="B704" s="1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"/>
      <c r="B705" s="1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"/>
      <c r="B706" s="1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"/>
      <c r="B707" s="1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"/>
      <c r="B708" s="1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"/>
      <c r="B709" s="1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"/>
      <c r="B710" s="1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"/>
      <c r="B711" s="1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"/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"/>
      <c r="B713" s="1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"/>
      <c r="B714" s="1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"/>
      <c r="B715" s="1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"/>
      <c r="B716" s="1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"/>
      <c r="B717" s="1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"/>
      <c r="B718" s="1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"/>
      <c r="B719" s="1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"/>
      <c r="B720" s="1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"/>
      <c r="B721" s="1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"/>
      <c r="B722" s="1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"/>
      <c r="B723" s="1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"/>
      <c r="B724" s="1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"/>
      <c r="B725" s="1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"/>
      <c r="B726" s="1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"/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"/>
      <c r="B728" s="1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"/>
      <c r="B729" s="1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"/>
      <c r="B730" s="1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"/>
      <c r="B731" s="1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"/>
      <c r="B732" s="1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"/>
      <c r="B733" s="1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"/>
      <c r="B734" s="1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"/>
      <c r="B735" s="1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"/>
      <c r="B736" s="1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"/>
      <c r="B737" s="1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"/>
      <c r="B738" s="1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"/>
      <c r="B739" s="1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"/>
      <c r="B740" s="1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"/>
      <c r="B741" s="1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"/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"/>
      <c r="B743" s="1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"/>
      <c r="B744" s="1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"/>
      <c r="B745" s="1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"/>
      <c r="B746" s="1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"/>
      <c r="B747" s="1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"/>
      <c r="B748" s="1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"/>
      <c r="B749" s="1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"/>
      <c r="B750" s="1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"/>
      <c r="B751" s="1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"/>
      <c r="B752" s="1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"/>
      <c r="B753" s="1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"/>
      <c r="B754" s="1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"/>
      <c r="B755" s="1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"/>
      <c r="B756" s="1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"/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"/>
      <c r="B758" s="1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"/>
      <c r="B759" s="1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"/>
      <c r="B760" s="1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"/>
      <c r="B761" s="1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"/>
      <c r="B762" s="1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"/>
      <c r="B763" s="1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"/>
      <c r="B764" s="1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"/>
      <c r="B765" s="1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"/>
      <c r="B766" s="1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"/>
      <c r="B767" s="1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"/>
      <c r="B768" s="1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"/>
      <c r="B769" s="1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"/>
      <c r="B770" s="1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"/>
      <c r="B771" s="1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"/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"/>
      <c r="B773" s="1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"/>
      <c r="B774" s="1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"/>
      <c r="B775" s="1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"/>
      <c r="B776" s="1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"/>
      <c r="B777" s="1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"/>
      <c r="B778" s="1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"/>
      <c r="B779" s="1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"/>
      <c r="B780" s="1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"/>
      <c r="B781" s="1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"/>
      <c r="B782" s="1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"/>
      <c r="B783" s="1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"/>
      <c r="B784" s="1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"/>
      <c r="B785" s="1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"/>
      <c r="B786" s="1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"/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"/>
      <c r="B788" s="1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"/>
      <c r="B789" s="1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/>
      <c r="B790" s="1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"/>
      <c r="B791" s="1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"/>
      <c r="B792" s="1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"/>
      <c r="B793" s="1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"/>
      <c r="B794" s="1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"/>
      <c r="B795" s="1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"/>
      <c r="B796" s="1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"/>
      <c r="B797" s="1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"/>
      <c r="B798" s="1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"/>
      <c r="B799" s="1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"/>
      <c r="B800" s="1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"/>
      <c r="B801" s="1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"/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"/>
      <c r="B803" s="1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"/>
      <c r="B804" s="1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"/>
      <c r="B805" s="1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"/>
      <c r="B806" s="1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"/>
      <c r="B807" s="1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"/>
      <c r="B808" s="1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"/>
      <c r="B809" s="1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"/>
      <c r="B810" s="1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"/>
      <c r="B811" s="1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"/>
      <c r="B812" s="1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"/>
      <c r="B813" s="1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"/>
      <c r="B814" s="1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"/>
      <c r="B815" s="1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"/>
      <c r="B816" s="1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"/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"/>
      <c r="B818" s="1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"/>
      <c r="B819" s="1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"/>
      <c r="B820" s="1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"/>
      <c r="B821" s="1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"/>
      <c r="B822" s="1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"/>
      <c r="B823" s="1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"/>
      <c r="B824" s="1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"/>
      <c r="B825" s="1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"/>
      <c r="B826" s="1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"/>
      <c r="B827" s="1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"/>
      <c r="B828" s="1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"/>
      <c r="B829" s="1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"/>
      <c r="B830" s="1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"/>
      <c r="B831" s="1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"/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"/>
      <c r="B833" s="1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"/>
      <c r="B834" s="1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"/>
      <c r="B835" s="1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"/>
      <c r="B836" s="1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"/>
      <c r="B837" s="1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"/>
      <c r="B838" s="1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"/>
      <c r="B839" s="1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"/>
      <c r="B840" s="1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"/>
      <c r="B841" s="1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"/>
      <c r="B842" s="1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"/>
      <c r="B843" s="1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"/>
      <c r="B844" s="1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"/>
      <c r="B845" s="1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"/>
      <c r="B846" s="1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"/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"/>
      <c r="B848" s="1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"/>
      <c r="B849" s="1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"/>
      <c r="B850" s="1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"/>
      <c r="B851" s="1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"/>
      <c r="B852" s="1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"/>
      <c r="B853" s="1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"/>
      <c r="B854" s="1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"/>
      <c r="B855" s="1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"/>
      <c r="B856" s="1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"/>
      <c r="B857" s="1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"/>
      <c r="B858" s="1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"/>
      <c r="B859" s="1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"/>
      <c r="B860" s="1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"/>
      <c r="B861" s="1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"/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"/>
      <c r="B863" s="1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"/>
      <c r="B864" s="1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"/>
      <c r="B865" s="1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"/>
      <c r="B866" s="1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"/>
      <c r="B867" s="1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"/>
      <c r="B868" s="1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"/>
      <c r="B869" s="1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"/>
      <c r="B870" s="1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"/>
      <c r="B871" s="1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"/>
      <c r="B872" s="1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"/>
      <c r="B873" s="1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"/>
      <c r="B874" s="1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"/>
      <c r="B875" s="1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"/>
      <c r="B876" s="1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"/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"/>
      <c r="B878" s="1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"/>
      <c r="B879" s="1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"/>
      <c r="B880" s="1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"/>
      <c r="B881" s="1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"/>
      <c r="B882" s="1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"/>
      <c r="B883" s="1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"/>
      <c r="B884" s="1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"/>
      <c r="B885" s="1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"/>
      <c r="B886" s="1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"/>
      <c r="B887" s="1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"/>
      <c r="B888" s="1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"/>
      <c r="B889" s="1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"/>
      <c r="B890" s="1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"/>
      <c r="B891" s="1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"/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"/>
      <c r="B893" s="1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"/>
      <c r="B894" s="1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"/>
      <c r="B895" s="1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"/>
      <c r="B896" s="1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/>
      <c r="B897" s="1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/>
      <c r="B898" s="1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/>
      <c r="B899" s="1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/>
      <c r="B900" s="1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/>
      <c r="B901" s="1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/>
      <c r="B902" s="1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/>
      <c r="B903" s="1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/>
      <c r="B904" s="1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/>
      <c r="B905" s="1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/>
      <c r="B906" s="1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/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/>
      <c r="B908" s="1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/>
      <c r="B909" s="1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/>
      <c r="B910" s="1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/>
      <c r="B911" s="1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/>
      <c r="B912" s="1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/>
      <c r="B913" s="1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/>
      <c r="B914" s="1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/>
      <c r="B915" s="1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/>
      <c r="B916" s="1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/>
      <c r="B917" s="1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/>
      <c r="B918" s="1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/>
      <c r="B919" s="1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/>
      <c r="B920" s="1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/>
      <c r="B921" s="1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/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/>
      <c r="B923" s="1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/>
      <c r="B924" s="1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/>
      <c r="B925" s="1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/>
      <c r="B926" s="1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/>
      <c r="B927" s="1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/>
      <c r="B928" s="1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/>
      <c r="B929" s="1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/>
      <c r="B930" s="1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/>
      <c r="B931" s="1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/>
      <c r="B932" s="1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/>
      <c r="B933" s="1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/>
      <c r="B934" s="1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/>
      <c r="B935" s="1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/>
      <c r="B936" s="1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/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/>
      <c r="B938" s="1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/>
      <c r="B939" s="1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/>
      <c r="B940" s="1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/>
      <c r="B941" s="1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/>
      <c r="B942" s="1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/>
      <c r="B943" s="1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/>
      <c r="B944" s="1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/>
      <c r="B945" s="1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/>
      <c r="B946" s="1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/>
      <c r="B947" s="1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/>
      <c r="B948" s="1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/>
      <c r="B949" s="1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/>
      <c r="B950" s="1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/>
      <c r="B951" s="1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/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/>
      <c r="B953" s="1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/>
      <c r="B954" s="1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/>
      <c r="B955" s="1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/>
      <c r="B956" s="1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/>
      <c r="B957" s="1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/>
      <c r="B958" s="1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/>
      <c r="B959" s="1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/>
      <c r="B960" s="1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/>
      <c r="B961" s="1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/>
      <c r="B962" s="1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/>
      <c r="B963" s="1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/>
      <c r="B964" s="1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/>
      <c r="B965" s="1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/>
      <c r="B966" s="1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"/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"/>
      <c r="B968" s="1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"/>
      <c r="B969" s="1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/>
      <c r="B970" s="1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/>
      <c r="B971" s="1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/>
      <c r="B972" s="1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/>
      <c r="B973" s="1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/>
      <c r="B974" s="1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/>
      <c r="B975" s="1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/>
      <c r="B976" s="1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/>
      <c r="B977" s="1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/>
      <c r="B978" s="1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/>
      <c r="B979" s="1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/>
      <c r="B980" s="1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/>
      <c r="B981" s="1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/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/>
      <c r="B983" s="1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/>
      <c r="B984" s="1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/>
      <c r="B985" s="1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/>
      <c r="B986" s="1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/>
      <c r="B987" s="1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/>
      <c r="B988" s="1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/>
      <c r="B989" s="1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/>
      <c r="B990" s="1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/>
      <c r="B991" s="1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/>
      <c r="B992" s="1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/>
      <c r="B993" s="1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/>
      <c r="B994" s="1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/>
      <c r="B995" s="1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/>
      <c r="B996" s="1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/>
      <c r="B997" s="1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/>
      <c r="B998" s="1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/>
      <c r="B999" s="1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/>
      <c r="B1000" s="1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1"/>
      <c r="B1001" s="1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1"/>
      <c r="B1002" s="1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1"/>
      <c r="B1003" s="1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1"/>
      <c r="B1004" s="1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1"/>
      <c r="B1005" s="1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1"/>
      <c r="B1006" s="1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9.13"/>
    <col customWidth="1" min="3" max="3" width="36.63"/>
    <col customWidth="1" min="4" max="4" width="19.0"/>
  </cols>
  <sheetData>
    <row r="1">
      <c r="A1" s="15" t="s">
        <v>973</v>
      </c>
      <c r="D1" s="2"/>
      <c r="E1" s="26"/>
      <c r="F1" s="2"/>
      <c r="G1" s="2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1" t="s">
        <v>970</v>
      </c>
      <c r="B2" s="13" t="s">
        <v>974</v>
      </c>
      <c r="C2" s="32" t="s">
        <v>975</v>
      </c>
      <c r="D2" s="2"/>
      <c r="E2" s="33"/>
      <c r="F2" s="26"/>
      <c r="G2" s="33"/>
      <c r="H2" s="3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4" t="s">
        <v>805</v>
      </c>
      <c r="B3" s="35">
        <f>IFERROR(__xludf.DUMMYFUNCTION("SUMIF('Вводные. Основные метрики'!$A$2:$A$896, $A3, 'Вводные. Основные метрики'!$D$2:$D$896) /
  COUNTUNIQUE(FILTER('Вводные. Основные метрики'!$B$2:$B$896, 'Вводные. Основные метрики'!$A$2:$A$896=$A3))"),1545.3703703703704)</f>
        <v>1545.37037</v>
      </c>
      <c r="C3" s="36" t="s">
        <v>976</v>
      </c>
      <c r="D3" s="2"/>
      <c r="E3" s="28"/>
      <c r="F3" s="37"/>
      <c r="G3" s="2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669</v>
      </c>
      <c r="B4" s="35">
        <f>IFERROR(__xludf.DUMMYFUNCTION("SUMIF('Вводные. Основные метрики'!$A$2:$A$896, $A4, 'Вводные. Основные метрики'!$D$2:$D$896) /
  COUNTUNIQUE(FILTER('Вводные. Основные метрики'!$B$2:$B$896, 'Вводные. Основные метрики'!$A$2:$A$896=$A4))"),1378.92)</f>
        <v>1378.92</v>
      </c>
      <c r="C4" s="38"/>
      <c r="D4" s="2"/>
      <c r="E4" s="28"/>
      <c r="F4" s="37"/>
      <c r="G4" s="2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4" t="s">
        <v>460</v>
      </c>
      <c r="B5" s="35">
        <f>IFERROR(__xludf.DUMMYFUNCTION("SUMIF('Вводные. Основные метрики'!$A$2:$A$896, $A5, 'Вводные. Основные метрики'!$D$2:$D$896) /
  COUNTUNIQUE(FILTER('Вводные. Основные метрики'!$B$2:$B$896, 'Вводные. Основные метрики'!$A$2:$A$896=$A5))"),1427.0212765957447)</f>
        <v>1427.021277</v>
      </c>
      <c r="C5" s="38"/>
      <c r="D5" s="2"/>
      <c r="E5" s="28"/>
      <c r="F5" s="37"/>
      <c r="G5" s="2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4" t="s">
        <v>81</v>
      </c>
      <c r="B6" s="35">
        <f>IFERROR(__xludf.DUMMYFUNCTION("SUMIF('Вводные. Основные метрики'!$A$2:$A$896, $A6, 'Вводные. Основные метрики'!$D$2:$D$896) /
  COUNTUNIQUE(FILTER('Вводные. Основные метрики'!$B$2:$B$896, 'Вводные. Основные метрики'!$A$2:$A$896=$A6))"),1383.0697674418604)</f>
        <v>1383.069767</v>
      </c>
      <c r="C6" s="38"/>
      <c r="D6" s="2"/>
      <c r="E6" s="28"/>
      <c r="F6" s="37"/>
      <c r="G6" s="2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4" t="s">
        <v>370</v>
      </c>
      <c r="B7" s="35">
        <f>IFERROR(__xludf.DUMMYFUNCTION("SUMIF('Вводные. Основные метрики'!$A$2:$A$896, $A7, 'Вводные. Основные метрики'!$D$2:$D$896) /
  COUNTUNIQUE(FILTER('Вводные. Основные метрики'!$B$2:$B$896, 'Вводные. Основные метрики'!$A$2:$A$896=$A7))"),1251.6315789473683)</f>
        <v>1251.631579</v>
      </c>
      <c r="C7" s="38"/>
      <c r="D7" s="2"/>
      <c r="E7" s="28"/>
      <c r="F7" s="37"/>
      <c r="G7" s="2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4" t="s">
        <v>282</v>
      </c>
      <c r="B8" s="35">
        <f>IFERROR(__xludf.DUMMYFUNCTION("SUMIF('Вводные. Основные метрики'!$A$2:$A$896, $A8, 'Вводные. Основные метрики'!$D$2:$D$896) /
  COUNTUNIQUE(FILTER('Вводные. Основные метрики'!$B$2:$B$896, 'Вводные. Основные метрики'!$A$2:$A$896=$A8))"),1487.75)</f>
        <v>1487.75</v>
      </c>
      <c r="C8" s="38"/>
      <c r="D8" s="2"/>
      <c r="E8" s="28"/>
      <c r="F8" s="37"/>
      <c r="G8" s="2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4" t="s">
        <v>207</v>
      </c>
      <c r="B9" s="35">
        <f>IFERROR(__xludf.DUMMYFUNCTION("SUMIF('Вводные. Основные метрики'!$A$2:$A$896, $A9, 'Вводные. Основные метрики'!$D$2:$D$896) /
  COUNTUNIQUE(FILTER('Вводные. Основные метрики'!$B$2:$B$896, 'Вводные. Основные метрики'!$A$2:$A$896=$A9))"),1414.1724137931035)</f>
        <v>1414.172414</v>
      </c>
      <c r="C9" s="38"/>
      <c r="D9" s="2"/>
      <c r="E9" s="28"/>
      <c r="F9" s="37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4" t="s">
        <v>4</v>
      </c>
      <c r="B10" s="35">
        <f>IFERROR(__xludf.DUMMYFUNCTION("SUMIF('Вводные. Основные метрики'!$A$2:$A$896, $A10, 'Вводные. Основные метрики'!$D$2:$D$896) /
  COUNTUNIQUE(FILTER('Вводные. Основные метрики'!$B$2:$B$896, 'Вводные. Основные метрики'!$A$2:$A$896=$A10))"),1159.6153846153845)</f>
        <v>1159.615385</v>
      </c>
      <c r="C10" s="38"/>
      <c r="D10" s="2"/>
      <c r="E10" s="28"/>
      <c r="F10" s="37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4" t="s">
        <v>629</v>
      </c>
      <c r="B11" s="35">
        <f>IFERROR(__xludf.DUMMYFUNCTION("SUMIF('Вводные. Основные метрики'!$A$2:$A$896, $A11, 'Вводные. Основные метрики'!$D$2:$D$896) /
  COUNTUNIQUE(FILTER('Вводные. Основные метрики'!$B$2:$B$896, 'Вводные. Основные метрики'!$A$2:$A$896=$A11))"),873.5714285714286)</f>
        <v>873.5714286</v>
      </c>
      <c r="C11" s="38"/>
      <c r="D11" s="2"/>
      <c r="E11" s="28"/>
      <c r="F11" s="37"/>
      <c r="G11" s="2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4" t="s">
        <v>602</v>
      </c>
      <c r="B12" s="35">
        <f>IFERROR(__xludf.DUMMYFUNCTION("SUMIF('Вводные. Основные метрики'!$A$2:$A$896, $A12, 'Вводные. Основные метрики'!$D$2:$D$896) /
  COUNTUNIQUE(FILTER('Вводные. Основные метрики'!$B$2:$B$896, 'Вводные. Основные метрики'!$A$2:$A$896=$A12))"),997.6875)</f>
        <v>997.6875</v>
      </c>
      <c r="C12" s="38"/>
      <c r="D12" s="2"/>
      <c r="E12" s="28"/>
      <c r="F12" s="37"/>
      <c r="G12" s="2"/>
      <c r="H12" s="2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4" t="s">
        <v>590</v>
      </c>
      <c r="B13" s="35">
        <f>IFERROR(__xludf.DUMMYFUNCTION("SUMIF('Вводные. Основные метрики'!$A$2:$A$896, $A13, 'Вводные. Основные метрики'!$D$2:$D$896) /
  COUNTUNIQUE(FILTER('Вводные. Основные метрики'!$B$2:$B$896, 'Вводные. Основные метрики'!$A$2:$A$896=$A13))"),601.1)</f>
        <v>601.1</v>
      </c>
      <c r="C13" s="38"/>
      <c r="D13" s="2"/>
      <c r="E13" s="28"/>
      <c r="F13" s="37"/>
      <c r="G13" s="2"/>
      <c r="H13" s="2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9" t="s">
        <v>977</v>
      </c>
      <c r="B14" s="35">
        <f>AVERAGE(B3:B13)</f>
        <v>1229.082702</v>
      </c>
      <c r="C14" s="40"/>
      <c r="D14" s="2"/>
      <c r="E14" s="41"/>
      <c r="F14" s="2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1"/>
      <c r="C15" s="4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1"/>
      <c r="C16" s="1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1"/>
      <c r="C17" s="1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3"/>
      <c r="B18" s="11"/>
      <c r="C18" s="1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7"/>
      <c r="C20" s="7"/>
      <c r="D20" s="8"/>
      <c r="E20" s="8"/>
      <c r="F20" s="8"/>
      <c r="G20" s="8"/>
      <c r="H20" s="8"/>
      <c r="I20" s="8"/>
      <c r="J20" s="8"/>
      <c r="K20" s="9"/>
      <c r="L20" s="9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7"/>
      <c r="C21" s="7"/>
      <c r="D21" s="8"/>
      <c r="E21" s="8"/>
      <c r="F21" s="8"/>
      <c r="G21" s="8"/>
      <c r="H21" s="8"/>
      <c r="I21" s="8"/>
      <c r="J21" s="8"/>
      <c r="K21" s="8"/>
      <c r="L21" s="9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/>
      <c r="B22" s="7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7"/>
      <c r="C23" s="44"/>
      <c r="D23" s="9"/>
      <c r="E23" s="9"/>
      <c r="F23" s="9"/>
      <c r="G23" s="9"/>
      <c r="H23" s="9"/>
      <c r="I23" s="9"/>
      <c r="J23" s="9"/>
      <c r="K23" s="9"/>
      <c r="L23" s="9"/>
      <c r="M23" s="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/>
      <c r="B24" s="7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/>
      <c r="B25" s="7"/>
      <c r="C25" s="44"/>
      <c r="D25" s="9"/>
      <c r="E25" s="9"/>
      <c r="F25" s="9"/>
      <c r="G25" s="9"/>
      <c r="H25" s="9"/>
      <c r="I25" s="9"/>
      <c r="J25" s="9"/>
      <c r="K25" s="9"/>
      <c r="L25" s="9"/>
      <c r="M25" s="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/>
      <c r="B26" s="7"/>
      <c r="C26" s="7"/>
      <c r="D26" s="8"/>
      <c r="E26" s="8"/>
      <c r="F26" s="8"/>
      <c r="G26" s="8"/>
      <c r="H26" s="8"/>
      <c r="I26" s="8"/>
      <c r="J26" s="9"/>
      <c r="K26" s="9"/>
      <c r="L26" s="9"/>
      <c r="M26" s="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7"/>
      <c r="C27" s="7"/>
      <c r="D27" s="8"/>
      <c r="E27" s="8"/>
      <c r="F27" s="9"/>
      <c r="G27" s="9"/>
      <c r="H27" s="9"/>
      <c r="I27" s="9"/>
      <c r="J27" s="9"/>
      <c r="K27" s="9"/>
      <c r="L27" s="9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7"/>
      <c r="C28" s="7"/>
      <c r="D28" s="8"/>
      <c r="E28" s="9"/>
      <c r="F28" s="9"/>
      <c r="G28" s="9"/>
      <c r="H28" s="9"/>
      <c r="I28" s="9"/>
      <c r="J28" s="9"/>
      <c r="K28" s="9"/>
      <c r="L28" s="9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/>
      <c r="B29" s="7"/>
      <c r="C29" s="7"/>
      <c r="D29" s="8"/>
      <c r="E29" s="8"/>
      <c r="F29" s="8"/>
      <c r="G29" s="8"/>
      <c r="H29" s="9"/>
      <c r="I29" s="9"/>
      <c r="J29" s="9"/>
      <c r="K29" s="9"/>
      <c r="L29" s="9"/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/>
      <c r="B30" s="7"/>
      <c r="C30" s="7"/>
      <c r="D30" s="8"/>
      <c r="E30" s="8"/>
      <c r="F30" s="8"/>
      <c r="G30" s="8"/>
      <c r="H30" s="8"/>
      <c r="I30" s="8"/>
      <c r="J30" s="9"/>
      <c r="K30" s="9"/>
      <c r="L30" s="9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  <c r="B31" s="7"/>
      <c r="C31" s="44"/>
      <c r="D31" s="9"/>
      <c r="E31" s="9"/>
      <c r="F31" s="9"/>
      <c r="G31" s="9"/>
      <c r="H31" s="9"/>
      <c r="I31" s="9"/>
      <c r="J31" s="9"/>
      <c r="K31" s="9"/>
      <c r="L31" s="9"/>
      <c r="M31" s="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/>
      <c r="B32" s="7"/>
      <c r="C32" s="7"/>
      <c r="D32" s="8"/>
      <c r="E32" s="8"/>
      <c r="F32" s="8"/>
      <c r="G32" s="8"/>
      <c r="H32" s="8"/>
      <c r="I32" s="9"/>
      <c r="J32" s="9"/>
      <c r="K32" s="9"/>
      <c r="L32" s="9"/>
      <c r="M32" s="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7"/>
      <c r="C33" s="7"/>
      <c r="D33" s="8"/>
      <c r="E33" s="8"/>
      <c r="F33" s="9"/>
      <c r="G33" s="9"/>
      <c r="H33" s="9"/>
      <c r="I33" s="9"/>
      <c r="J33" s="9"/>
      <c r="K33" s="9"/>
      <c r="L33" s="9"/>
      <c r="M33" s="8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7"/>
      <c r="C34" s="7"/>
      <c r="D34" s="9"/>
      <c r="E34" s="9"/>
      <c r="F34" s="9"/>
      <c r="G34" s="9"/>
      <c r="H34" s="9"/>
      <c r="I34" s="9"/>
      <c r="J34" s="9"/>
      <c r="K34" s="9"/>
      <c r="L34" s="9"/>
      <c r="M34" s="8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7"/>
      <c r="C35" s="7"/>
      <c r="D35" s="8"/>
      <c r="E35" s="8"/>
      <c r="F35" s="8"/>
      <c r="G35" s="8"/>
      <c r="H35" s="8"/>
      <c r="I35" s="8"/>
      <c r="J35" s="9"/>
      <c r="K35" s="9"/>
      <c r="L35" s="9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7"/>
      <c r="C36" s="7"/>
      <c r="D36" s="8"/>
      <c r="E36" s="9"/>
      <c r="F36" s="9"/>
      <c r="G36" s="9"/>
      <c r="H36" s="9"/>
      <c r="I36" s="9"/>
      <c r="J36" s="9"/>
      <c r="K36" s="9"/>
      <c r="L36" s="9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7"/>
      <c r="D37" s="8"/>
      <c r="E37" s="8"/>
      <c r="F37" s="8"/>
      <c r="G37" s="8"/>
      <c r="H37" s="8"/>
      <c r="I37" s="8"/>
      <c r="J37" s="8"/>
      <c r="K37" s="9"/>
      <c r="L37" s="9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7"/>
      <c r="C38" s="7"/>
      <c r="D38" s="8"/>
      <c r="E38" s="8"/>
      <c r="F38" s="9"/>
      <c r="G38" s="9"/>
      <c r="H38" s="9"/>
      <c r="I38" s="9"/>
      <c r="J38" s="9"/>
      <c r="K38" s="9"/>
      <c r="L38" s="9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7"/>
      <c r="C39" s="7"/>
      <c r="D39" s="9"/>
      <c r="E39" s="9"/>
      <c r="F39" s="9"/>
      <c r="G39" s="9"/>
      <c r="H39" s="9"/>
      <c r="I39" s="9"/>
      <c r="J39" s="9"/>
      <c r="K39" s="9"/>
      <c r="L39" s="9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7"/>
      <c r="C40" s="7"/>
      <c r="D40" s="8"/>
      <c r="E40" s="8"/>
      <c r="F40" s="8"/>
      <c r="G40" s="8"/>
      <c r="H40" s="8"/>
      <c r="I40" s="8"/>
      <c r="J40" s="9"/>
      <c r="K40" s="9"/>
      <c r="L40" s="9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7"/>
      <c r="C41" s="7"/>
      <c r="D41" s="8"/>
      <c r="E41" s="8"/>
      <c r="F41" s="8"/>
      <c r="G41" s="8"/>
      <c r="H41" s="8"/>
      <c r="I41" s="8"/>
      <c r="J41" s="9"/>
      <c r="K41" s="9"/>
      <c r="L41" s="9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7"/>
      <c r="C42" s="7"/>
      <c r="D42" s="8"/>
      <c r="E42" s="8"/>
      <c r="F42" s="8"/>
      <c r="G42" s="8"/>
      <c r="H42" s="8"/>
      <c r="I42" s="9"/>
      <c r="J42" s="8"/>
      <c r="K42" s="8"/>
      <c r="L42" s="9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7"/>
      <c r="C43" s="7"/>
      <c r="D43" s="8"/>
      <c r="E43" s="8"/>
      <c r="F43" s="8"/>
      <c r="G43" s="8"/>
      <c r="H43" s="8"/>
      <c r="I43" s="8"/>
      <c r="J43" s="8"/>
      <c r="K43" s="8"/>
      <c r="L43" s="9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7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7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7"/>
      <c r="C47" s="7"/>
      <c r="D47" s="8"/>
      <c r="E47" s="8"/>
      <c r="F47" s="9"/>
      <c r="G47" s="9"/>
      <c r="H47" s="9"/>
      <c r="I47" s="9"/>
      <c r="J47" s="9"/>
      <c r="K47" s="9"/>
      <c r="L47" s="9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7"/>
      <c r="C48" s="7"/>
      <c r="D48" s="8"/>
      <c r="E48" s="8"/>
      <c r="F48" s="8"/>
      <c r="G48" s="9"/>
      <c r="H48" s="9"/>
      <c r="I48" s="9"/>
      <c r="J48" s="9"/>
      <c r="K48" s="9"/>
      <c r="L48" s="9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8"/>
      <c r="E50" s="8"/>
      <c r="F50" s="8"/>
      <c r="G50" s="8"/>
      <c r="H50" s="9"/>
      <c r="I50" s="8"/>
      <c r="J50" s="8"/>
      <c r="K50" s="8"/>
      <c r="L50" s="9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7"/>
      <c r="D51" s="8"/>
      <c r="E51" s="8"/>
      <c r="F51" s="8"/>
      <c r="G51" s="8"/>
      <c r="H51" s="8"/>
      <c r="I51" s="8"/>
      <c r="J51" s="8"/>
      <c r="K51" s="9"/>
      <c r="L51" s="9"/>
      <c r="M51" s="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7"/>
      <c r="C52" s="7"/>
      <c r="D52" s="8"/>
      <c r="E52" s="8"/>
      <c r="F52" s="8"/>
      <c r="G52" s="8"/>
      <c r="H52" s="8"/>
      <c r="I52" s="8"/>
      <c r="J52" s="9"/>
      <c r="K52" s="9"/>
      <c r="L52" s="9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7"/>
      <c r="C53" s="7"/>
      <c r="D53" s="8"/>
      <c r="E53" s="8"/>
      <c r="F53" s="8"/>
      <c r="G53" s="9"/>
      <c r="H53" s="9"/>
      <c r="I53" s="9"/>
      <c r="J53" s="9"/>
      <c r="K53" s="9"/>
      <c r="L53" s="9"/>
      <c r="M53" s="8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7"/>
      <c r="D57" s="8"/>
      <c r="E57" s="9"/>
      <c r="F57" s="9"/>
      <c r="G57" s="9"/>
      <c r="H57" s="9"/>
      <c r="I57" s="9"/>
      <c r="J57" s="9"/>
      <c r="K57" s="9"/>
      <c r="L57" s="9"/>
      <c r="M57" s="8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7"/>
      <c r="D58" s="8"/>
      <c r="E58" s="8"/>
      <c r="F58" s="8"/>
      <c r="G58" s="8"/>
      <c r="H58" s="8"/>
      <c r="I58" s="8"/>
      <c r="J58" s="8"/>
      <c r="K58" s="8"/>
      <c r="L58" s="9"/>
      <c r="M58" s="8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7"/>
      <c r="D59" s="8"/>
      <c r="E59" s="8"/>
      <c r="F59" s="8"/>
      <c r="G59" s="9"/>
      <c r="H59" s="9"/>
      <c r="I59" s="9"/>
      <c r="J59" s="9"/>
      <c r="K59" s="9"/>
      <c r="L59" s="9"/>
      <c r="M59" s="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7"/>
      <c r="D60" s="8"/>
      <c r="E60" s="8"/>
      <c r="F60" s="8"/>
      <c r="G60" s="8"/>
      <c r="H60" s="9"/>
      <c r="I60" s="9"/>
      <c r="J60" s="9"/>
      <c r="K60" s="9"/>
      <c r="L60" s="9"/>
      <c r="M60" s="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44"/>
      <c r="D61" s="9"/>
      <c r="E61" s="9"/>
      <c r="F61" s="9"/>
      <c r="G61" s="9"/>
      <c r="H61" s="9"/>
      <c r="I61" s="9"/>
      <c r="J61" s="9"/>
      <c r="K61" s="9"/>
      <c r="L61" s="9"/>
      <c r="M61" s="8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7"/>
      <c r="D62" s="8"/>
      <c r="E62" s="9"/>
      <c r="F62" s="9"/>
      <c r="G62" s="9"/>
      <c r="H62" s="9"/>
      <c r="I62" s="9"/>
      <c r="J62" s="9"/>
      <c r="K62" s="9"/>
      <c r="L62" s="9"/>
      <c r="M62" s="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7"/>
      <c r="D64" s="8"/>
      <c r="E64" s="8"/>
      <c r="F64" s="9"/>
      <c r="G64" s="9"/>
      <c r="H64" s="9"/>
      <c r="I64" s="9"/>
      <c r="J64" s="9"/>
      <c r="K64" s="9"/>
      <c r="L64" s="9"/>
      <c r="M64" s="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7"/>
      <c r="D65" s="8"/>
      <c r="E65" s="8"/>
      <c r="F65" s="8"/>
      <c r="G65" s="9"/>
      <c r="H65" s="9"/>
      <c r="I65" s="9"/>
      <c r="J65" s="9"/>
      <c r="K65" s="9"/>
      <c r="L65" s="9"/>
      <c r="M65" s="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7"/>
      <c r="D66" s="8"/>
      <c r="E66" s="8"/>
      <c r="F66" s="8"/>
      <c r="G66" s="8"/>
      <c r="H66" s="8"/>
      <c r="I66" s="8"/>
      <c r="J66" s="8"/>
      <c r="K66" s="9"/>
      <c r="L66" s="9"/>
      <c r="M66" s="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7"/>
      <c r="C67" s="7"/>
      <c r="D67" s="8"/>
      <c r="E67" s="8"/>
      <c r="F67" s="8"/>
      <c r="G67" s="8"/>
      <c r="H67" s="8"/>
      <c r="I67" s="8"/>
      <c r="J67" s="8"/>
      <c r="K67" s="8"/>
      <c r="L67" s="9"/>
      <c r="M67" s="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7"/>
      <c r="C68" s="7"/>
      <c r="D68" s="8"/>
      <c r="E68" s="8"/>
      <c r="F68" s="8"/>
      <c r="G68" s="8"/>
      <c r="H68" s="8"/>
      <c r="I68" s="8"/>
      <c r="J68" s="8"/>
      <c r="K68" s="9"/>
      <c r="L68" s="9"/>
      <c r="M68" s="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7"/>
      <c r="C69" s="7"/>
      <c r="D69" s="8"/>
      <c r="E69" s="8"/>
      <c r="F69" s="8"/>
      <c r="G69" s="9"/>
      <c r="H69" s="9"/>
      <c r="I69" s="9"/>
      <c r="J69" s="9"/>
      <c r="K69" s="9"/>
      <c r="L69" s="9"/>
      <c r="M69" s="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7"/>
      <c r="C70" s="7"/>
      <c r="D70" s="8"/>
      <c r="E70" s="8"/>
      <c r="F70" s="8"/>
      <c r="G70" s="9"/>
      <c r="H70" s="9"/>
      <c r="I70" s="9"/>
      <c r="J70" s="9"/>
      <c r="K70" s="9"/>
      <c r="L70" s="9"/>
      <c r="M70" s="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7"/>
      <c r="C71" s="7"/>
      <c r="D71" s="8"/>
      <c r="E71" s="8"/>
      <c r="F71" s="8"/>
      <c r="G71" s="8"/>
      <c r="H71" s="8"/>
      <c r="I71" s="9"/>
      <c r="J71" s="9"/>
      <c r="K71" s="9"/>
      <c r="L71" s="9"/>
      <c r="M71" s="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7"/>
      <c r="C72" s="7"/>
      <c r="D72" s="8"/>
      <c r="E72" s="8"/>
      <c r="F72" s="8"/>
      <c r="G72" s="8"/>
      <c r="H72" s="8"/>
      <c r="I72" s="9"/>
      <c r="J72" s="9"/>
      <c r="K72" s="9"/>
      <c r="L72" s="9"/>
      <c r="M72" s="8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7"/>
      <c r="C73" s="7"/>
      <c r="D73" s="9"/>
      <c r="E73" s="9"/>
      <c r="F73" s="9"/>
      <c r="G73" s="9"/>
      <c r="H73" s="9"/>
      <c r="I73" s="9"/>
      <c r="J73" s="9"/>
      <c r="K73" s="9"/>
      <c r="L73" s="9"/>
      <c r="M73" s="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1"/>
      <c r="C75" s="1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1"/>
      <c r="C76" s="1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1"/>
      <c r="C77" s="1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1"/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1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1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1"/>
      <c r="C81" s="1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1"/>
      <c r="C82" s="1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1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1"/>
      <c r="C84" s="1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1"/>
      <c r="C85" s="1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1"/>
      <c r="C86" s="1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1"/>
      <c r="C87" s="1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1"/>
      <c r="C88" s="1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1"/>
      <c r="C89" s="1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1"/>
      <c r="C90" s="1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1"/>
      <c r="C91" s="1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1"/>
      <c r="C92" s="1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1"/>
      <c r="C93" s="1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1"/>
      <c r="C94" s="1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1"/>
      <c r="C95" s="1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1"/>
      <c r="C96" s="1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1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1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1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1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1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1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1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1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1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1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1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/>
      <c r="B108" s="11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/>
      <c r="B109" s="11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/>
      <c r="B110" s="11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/>
      <c r="B111" s="11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/>
      <c r="B112" s="11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/>
      <c r="B113" s="11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/>
      <c r="B114" s="11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/>
      <c r="B115" s="11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/>
      <c r="B116" s="11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/>
      <c r="B117" s="11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/>
      <c r="B118" s="11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/>
      <c r="B119" s="11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/>
      <c r="B120" s="11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/>
      <c r="B121" s="11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/>
      <c r="B122" s="11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/>
      <c r="B123" s="11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/>
      <c r="B124" s="11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/>
      <c r="B125" s="11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/>
      <c r="B126" s="11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/>
      <c r="B127" s="11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/>
      <c r="B128" s="11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11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11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11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/>
      <c r="B132" s="11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/>
      <c r="B133" s="11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/>
      <c r="B134" s="11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/>
      <c r="B135" s="11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/>
      <c r="B136" s="11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/>
      <c r="B137" s="11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/>
      <c r="B138" s="11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/>
      <c r="B139" s="11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/>
      <c r="B140" s="11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/>
      <c r="B141" s="11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/>
      <c r="B142" s="11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/>
      <c r="B143" s="11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/>
      <c r="B144" s="11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/>
      <c r="B145" s="11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/>
      <c r="B146" s="11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/>
      <c r="B147" s="11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/>
      <c r="B148" s="11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/>
      <c r="B149" s="11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/>
      <c r="B150" s="11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/>
      <c r="B151" s="11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/>
      <c r="B152" s="11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/>
      <c r="B153" s="11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/>
      <c r="B154" s="11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/>
      <c r="B155" s="11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/>
      <c r="B156" s="11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/>
      <c r="B157" s="11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/>
      <c r="B158" s="11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/>
      <c r="B159" s="11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/>
      <c r="B160" s="11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/>
      <c r="B161" s="11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/>
      <c r="B162" s="11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/>
      <c r="B163" s="11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/>
      <c r="B164" s="11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/>
      <c r="B165" s="11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/>
      <c r="B166" s="11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/>
      <c r="B167" s="11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/>
      <c r="B168" s="11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/>
      <c r="B169" s="11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/>
      <c r="B170" s="11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/>
      <c r="B171" s="11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/>
      <c r="B172" s="11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/>
      <c r="B173" s="11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/>
      <c r="B174" s="11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/>
      <c r="B175" s="11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/>
      <c r="B176" s="11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/>
      <c r="B177" s="11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/>
      <c r="B178" s="11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/>
      <c r="B179" s="11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/>
      <c r="B180" s="11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/>
      <c r="B181" s="11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/>
      <c r="B182" s="11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/>
      <c r="B183" s="11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/>
      <c r="B184" s="11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/>
      <c r="B185" s="11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/>
      <c r="B186" s="11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/>
      <c r="B187" s="11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/>
      <c r="B188" s="11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/>
      <c r="B189" s="11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/>
      <c r="B190" s="11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/>
      <c r="B191" s="11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/>
      <c r="B192" s="11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/>
      <c r="B193" s="11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/>
      <c r="B194" s="11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/>
      <c r="B195" s="11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/>
      <c r="B196" s="11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/>
      <c r="B197" s="11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/>
      <c r="B198" s="11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/>
      <c r="B199" s="11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/>
      <c r="B200" s="11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/>
      <c r="B201" s="11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/>
      <c r="B202" s="11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/>
      <c r="B203" s="11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/>
      <c r="B204" s="11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/>
      <c r="B205" s="11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/>
      <c r="B206" s="11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/>
      <c r="B207" s="11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/>
      <c r="B208" s="11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/>
      <c r="B209" s="11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/>
      <c r="B210" s="11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/>
      <c r="B211" s="11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/>
      <c r="B212" s="11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/>
      <c r="B213" s="11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/>
      <c r="B214" s="11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/>
      <c r="B215" s="11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/>
      <c r="B216" s="11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/>
      <c r="B217" s="11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/>
      <c r="B218" s="11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/>
      <c r="B219" s="11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/>
      <c r="B220" s="11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1"/>
      <c r="B221" s="11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/>
      <c r="B222" s="11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1"/>
      <c r="B223" s="11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/>
      <c r="B224" s="11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1"/>
      <c r="B225" s="11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/>
      <c r="B226" s="11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"/>
      <c r="B227" s="11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"/>
      <c r="B228" s="11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/>
      <c r="B229" s="11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"/>
      <c r="B230" s="11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/>
      <c r="B231" s="11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"/>
      <c r="B232" s="11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/>
      <c r="B233" s="11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"/>
      <c r="B234" s="11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/>
      <c r="B235" s="11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"/>
      <c r="B236" s="11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/>
      <c r="B237" s="11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"/>
      <c r="B238" s="11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/>
      <c r="B239" s="11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"/>
      <c r="B240" s="11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/>
      <c r="B241" s="11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"/>
      <c r="B242" s="11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/>
      <c r="B243" s="11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"/>
      <c r="B244" s="11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/>
      <c r="B245" s="11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"/>
      <c r="B246" s="11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/>
      <c r="B247" s="11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"/>
      <c r="B248" s="11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/>
      <c r="B249" s="11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"/>
      <c r="B250" s="11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/>
      <c r="B251" s="11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"/>
      <c r="B252" s="11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"/>
      <c r="B253" s="11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"/>
      <c r="B254" s="11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"/>
      <c r="B255" s="11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"/>
      <c r="B256" s="11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"/>
      <c r="B257" s="11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"/>
      <c r="B258" s="11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"/>
      <c r="B259" s="11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"/>
      <c r="B260" s="11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"/>
      <c r="B261" s="11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"/>
      <c r="B262" s="11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"/>
      <c r="B263" s="11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"/>
      <c r="B264" s="11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"/>
      <c r="B265" s="11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"/>
      <c r="B266" s="11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"/>
      <c r="B267" s="11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"/>
      <c r="B268" s="11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"/>
      <c r="B269" s="11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"/>
      <c r="B270" s="11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"/>
      <c r="B271" s="11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"/>
      <c r="B272" s="11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"/>
      <c r="B273" s="11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"/>
      <c r="B274" s="11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"/>
      <c r="B275" s="11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"/>
      <c r="B276" s="11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"/>
      <c r="B277" s="11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"/>
      <c r="B278" s="11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"/>
      <c r="B279" s="11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"/>
      <c r="B280" s="11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"/>
      <c r="B281" s="11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"/>
      <c r="B282" s="11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"/>
      <c r="B283" s="11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"/>
      <c r="B284" s="11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"/>
      <c r="B285" s="11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"/>
      <c r="B286" s="11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/>
      <c r="B287" s="11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"/>
      <c r="B288" s="11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"/>
      <c r="B289" s="11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/>
      <c r="B290" s="11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/>
      <c r="B291" s="11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"/>
      <c r="B292" s="11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"/>
      <c r="B293" s="11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"/>
      <c r="B294" s="11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"/>
      <c r="B295" s="11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"/>
      <c r="B296" s="11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"/>
      <c r="B297" s="11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"/>
      <c r="B298" s="11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"/>
      <c r="B299" s="11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"/>
      <c r="B300" s="11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"/>
      <c r="B301" s="11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"/>
      <c r="B302" s="11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"/>
      <c r="B303" s="11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"/>
      <c r="B304" s="11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"/>
      <c r="B305" s="11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"/>
      <c r="B306" s="11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"/>
      <c r="B307" s="11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"/>
      <c r="B308" s="11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"/>
      <c r="B309" s="11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"/>
      <c r="B310" s="11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"/>
      <c r="B311" s="11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"/>
      <c r="B312" s="11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"/>
      <c r="B313" s="11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"/>
      <c r="B314" s="11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"/>
      <c r="B315" s="11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"/>
      <c r="B316" s="11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"/>
      <c r="B317" s="11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"/>
      <c r="B318" s="11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"/>
      <c r="B319" s="11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"/>
      <c r="B320" s="11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"/>
      <c r="B321" s="11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"/>
      <c r="B322" s="11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/>
      <c r="B323" s="11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"/>
      <c r="B324" s="11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"/>
      <c r="B325" s="11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"/>
      <c r="B326" s="11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"/>
      <c r="B327" s="11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"/>
      <c r="B328" s="11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"/>
      <c r="B329" s="11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"/>
      <c r="B330" s="11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"/>
      <c r="B331" s="11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"/>
      <c r="B332" s="11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"/>
      <c r="B333" s="11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"/>
      <c r="B334" s="11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"/>
      <c r="B335" s="11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"/>
      <c r="B336" s="11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"/>
      <c r="B337" s="11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"/>
      <c r="B338" s="11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"/>
      <c r="B339" s="11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"/>
      <c r="B340" s="11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"/>
      <c r="B341" s="11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"/>
      <c r="B342" s="11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"/>
      <c r="B343" s="11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"/>
      <c r="B344" s="11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"/>
      <c r="B345" s="11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"/>
      <c r="B346" s="11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"/>
      <c r="B347" s="11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"/>
      <c r="B348" s="11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"/>
      <c r="B349" s="11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"/>
      <c r="B350" s="11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"/>
      <c r="B351" s="11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"/>
      <c r="B352" s="11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"/>
      <c r="B353" s="11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"/>
      <c r="B354" s="11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"/>
      <c r="B355" s="11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"/>
      <c r="B356" s="11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"/>
      <c r="B357" s="11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"/>
      <c r="B358" s="11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"/>
      <c r="B359" s="11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"/>
      <c r="B360" s="11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"/>
      <c r="B361" s="11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"/>
      <c r="B362" s="11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"/>
      <c r="B363" s="11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"/>
      <c r="B364" s="11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"/>
      <c r="B365" s="11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"/>
      <c r="B366" s="11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"/>
      <c r="B367" s="11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"/>
      <c r="B368" s="11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"/>
      <c r="B369" s="11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"/>
      <c r="B370" s="11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"/>
      <c r="B371" s="11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"/>
      <c r="B372" s="11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"/>
      <c r="B373" s="11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"/>
      <c r="B374" s="11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"/>
      <c r="B375" s="11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"/>
      <c r="B376" s="11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"/>
      <c r="B377" s="11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"/>
      <c r="B378" s="11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"/>
      <c r="B379" s="11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"/>
      <c r="B380" s="11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"/>
      <c r="B381" s="11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"/>
      <c r="B382" s="11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"/>
      <c r="B383" s="11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"/>
      <c r="B384" s="11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"/>
      <c r="B385" s="11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"/>
      <c r="B386" s="11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"/>
      <c r="B387" s="11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"/>
      <c r="B388" s="11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/>
      <c r="B389" s="11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"/>
      <c r="B390" s="11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"/>
      <c r="B391" s="11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"/>
      <c r="B392" s="11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"/>
      <c r="B393" s="11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"/>
      <c r="B394" s="11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"/>
      <c r="B395" s="11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"/>
      <c r="B396" s="11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"/>
      <c r="B397" s="11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"/>
      <c r="B398" s="11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/>
      <c r="B399" s="11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/>
      <c r="B400" s="11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"/>
      <c r="B401" s="11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"/>
      <c r="B402" s="11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"/>
      <c r="B403" s="11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"/>
      <c r="B404" s="11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"/>
      <c r="B405" s="11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"/>
      <c r="B406" s="11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"/>
      <c r="B407" s="11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"/>
      <c r="B408" s="11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"/>
      <c r="B409" s="11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"/>
      <c r="B410" s="11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"/>
      <c r="B411" s="11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"/>
      <c r="B412" s="11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"/>
      <c r="B413" s="11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/>
      <c r="B414" s="11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"/>
      <c r="B415" s="11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"/>
      <c r="B416" s="11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"/>
      <c r="B417" s="11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"/>
      <c r="B418" s="11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"/>
      <c r="B419" s="11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"/>
      <c r="B420" s="11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"/>
      <c r="B421" s="11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"/>
      <c r="B422" s="11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"/>
      <c r="B423" s="11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"/>
      <c r="B424" s="11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"/>
      <c r="B425" s="11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"/>
      <c r="B426" s="11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"/>
      <c r="B427" s="11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"/>
      <c r="B428" s="11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"/>
      <c r="B429" s="11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"/>
      <c r="B430" s="11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"/>
      <c r="B431" s="11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"/>
      <c r="B432" s="11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"/>
      <c r="B433" s="11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"/>
      <c r="B434" s="11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"/>
      <c r="B435" s="11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"/>
      <c r="B436" s="11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/>
      <c r="B437" s="11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"/>
      <c r="B438" s="11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"/>
      <c r="B439" s="11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"/>
      <c r="B440" s="11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"/>
      <c r="B441" s="11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"/>
      <c r="B442" s="11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"/>
      <c r="B443" s="11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"/>
      <c r="B444" s="11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"/>
      <c r="B445" s="11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"/>
      <c r="B446" s="11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"/>
      <c r="B447" s="11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"/>
      <c r="B448" s="11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"/>
      <c r="B449" s="11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"/>
      <c r="B450" s="11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"/>
      <c r="B451" s="11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/>
      <c r="B452" s="11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"/>
      <c r="B453" s="11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/>
      <c r="B454" s="11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"/>
      <c r="B455" s="11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"/>
      <c r="B456" s="11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"/>
      <c r="B457" s="11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"/>
      <c r="B458" s="11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"/>
      <c r="B459" s="11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"/>
      <c r="B460" s="11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"/>
      <c r="B461" s="11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"/>
      <c r="B462" s="11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"/>
      <c r="B463" s="11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"/>
      <c r="B464" s="11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"/>
      <c r="B465" s="11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"/>
      <c r="B466" s="11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"/>
      <c r="B467" s="11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"/>
      <c r="B468" s="11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"/>
      <c r="B469" s="11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"/>
      <c r="B470" s="11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"/>
      <c r="B471" s="11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"/>
      <c r="B472" s="11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"/>
      <c r="B473" s="11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"/>
      <c r="B474" s="11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/>
      <c r="B475" s="11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"/>
      <c r="B476" s="11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"/>
      <c r="B477" s="11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"/>
      <c r="B478" s="11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"/>
      <c r="B479" s="11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"/>
      <c r="B480" s="11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"/>
      <c r="B481" s="11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"/>
      <c r="B482" s="11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"/>
      <c r="B483" s="11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"/>
      <c r="B484" s="11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"/>
      <c r="B485" s="11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1"/>
      <c r="B486" s="11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1"/>
      <c r="B487" s="11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1"/>
      <c r="B488" s="11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"/>
      <c r="B489" s="11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"/>
      <c r="B490" s="11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"/>
      <c r="B491" s="11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"/>
      <c r="B492" s="11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"/>
      <c r="B493" s="11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"/>
      <c r="B494" s="11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"/>
      <c r="B495" s="11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"/>
      <c r="B496" s="11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"/>
      <c r="B497" s="11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"/>
      <c r="B498" s="11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"/>
      <c r="B499" s="11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"/>
      <c r="B500" s="11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"/>
      <c r="B501" s="11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"/>
      <c r="B502" s="11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"/>
      <c r="B503" s="11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"/>
      <c r="B504" s="11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"/>
      <c r="B505" s="11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"/>
      <c r="B506" s="11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"/>
      <c r="B507" s="11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"/>
      <c r="B508" s="11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"/>
      <c r="B509" s="11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"/>
      <c r="B510" s="11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"/>
      <c r="B511" s="11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"/>
      <c r="B512" s="11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"/>
      <c r="B513" s="11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"/>
      <c r="B514" s="11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"/>
      <c r="B515" s="11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"/>
      <c r="B516" s="11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"/>
      <c r="B517" s="11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"/>
      <c r="B518" s="11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"/>
      <c r="B519" s="11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"/>
      <c r="B520" s="11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"/>
      <c r="B521" s="11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"/>
      <c r="B522" s="11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"/>
      <c r="B523" s="11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"/>
      <c r="B524" s="11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"/>
      <c r="B525" s="11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"/>
      <c r="B526" s="11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"/>
      <c r="B527" s="11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"/>
      <c r="B528" s="11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"/>
      <c r="B529" s="11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"/>
      <c r="B530" s="11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"/>
      <c r="B531" s="11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"/>
      <c r="B532" s="11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"/>
      <c r="B533" s="11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"/>
      <c r="B534" s="11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"/>
      <c r="B535" s="11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"/>
      <c r="B536" s="11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"/>
      <c r="B537" s="11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"/>
      <c r="B538" s="11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"/>
      <c r="B539" s="11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"/>
      <c r="B540" s="11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"/>
      <c r="B541" s="11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"/>
      <c r="B542" s="11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"/>
      <c r="B543" s="11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"/>
      <c r="B544" s="11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/>
      <c r="B545" s="11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"/>
      <c r="B546" s="11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"/>
      <c r="B547" s="11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"/>
      <c r="B548" s="11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"/>
      <c r="B549" s="11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"/>
      <c r="B550" s="11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"/>
      <c r="B551" s="11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"/>
      <c r="B552" s="11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"/>
      <c r="B553" s="11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"/>
      <c r="B554" s="11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"/>
      <c r="B555" s="11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"/>
      <c r="B556" s="11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"/>
      <c r="B557" s="11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"/>
      <c r="B558" s="11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"/>
      <c r="B559" s="11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"/>
      <c r="B560" s="11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"/>
      <c r="B561" s="11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"/>
      <c r="B562" s="11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"/>
      <c r="B563" s="11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"/>
      <c r="B564" s="11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"/>
      <c r="B565" s="11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"/>
      <c r="B566" s="11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"/>
      <c r="B567" s="11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"/>
      <c r="B568" s="11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"/>
      <c r="B569" s="11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"/>
      <c r="B570" s="11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"/>
      <c r="B571" s="11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"/>
      <c r="B572" s="11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"/>
      <c r="B573" s="11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"/>
      <c r="B574" s="11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"/>
      <c r="B575" s="11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"/>
      <c r="B576" s="11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"/>
      <c r="B577" s="11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"/>
      <c r="B578" s="11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"/>
      <c r="B579" s="11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"/>
      <c r="B580" s="11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"/>
      <c r="B581" s="11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"/>
      <c r="B582" s="11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"/>
      <c r="B583" s="11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"/>
      <c r="B584" s="11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"/>
      <c r="B585" s="11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"/>
      <c r="B586" s="11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"/>
      <c r="B587" s="11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"/>
      <c r="B588" s="11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"/>
      <c r="B589" s="11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"/>
      <c r="B590" s="11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"/>
      <c r="B591" s="11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"/>
      <c r="B592" s="11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"/>
      <c r="B593" s="11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"/>
      <c r="B594" s="11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"/>
      <c r="B595" s="11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"/>
      <c r="B596" s="11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"/>
      <c r="B597" s="11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"/>
      <c r="B598" s="11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"/>
      <c r="B599" s="11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"/>
      <c r="B600" s="11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"/>
      <c r="B601" s="11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"/>
      <c r="B602" s="11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"/>
      <c r="B603" s="11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"/>
      <c r="B604" s="11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"/>
      <c r="B605" s="11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"/>
      <c r="B606" s="11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"/>
      <c r="B607" s="11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"/>
      <c r="B608" s="11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"/>
      <c r="B609" s="11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"/>
      <c r="B610" s="11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"/>
      <c r="B611" s="11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"/>
      <c r="B612" s="11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"/>
      <c r="B613" s="11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"/>
      <c r="B614" s="11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"/>
      <c r="B615" s="11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"/>
      <c r="B616" s="11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"/>
      <c r="B617" s="11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"/>
      <c r="B618" s="11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"/>
      <c r="B619" s="11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"/>
      <c r="B620" s="11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"/>
      <c r="B621" s="11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"/>
      <c r="B622" s="11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"/>
      <c r="B623" s="11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"/>
      <c r="B624" s="11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"/>
      <c r="B625" s="11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"/>
      <c r="B626" s="11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"/>
      <c r="B627" s="11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"/>
      <c r="B628" s="11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"/>
      <c r="B629" s="11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"/>
      <c r="B630" s="11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"/>
      <c r="B631" s="11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"/>
      <c r="B632" s="11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"/>
      <c r="B633" s="11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"/>
      <c r="B634" s="11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"/>
      <c r="B635" s="11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"/>
      <c r="B636" s="11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"/>
      <c r="B637" s="11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"/>
      <c r="B638" s="11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"/>
      <c r="B639" s="11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"/>
      <c r="B640" s="11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"/>
      <c r="B641" s="11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"/>
      <c r="B642" s="11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"/>
      <c r="B643" s="11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"/>
      <c r="B644" s="11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"/>
      <c r="B645" s="11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"/>
      <c r="B646" s="11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"/>
      <c r="B647" s="11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"/>
      <c r="B648" s="11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"/>
      <c r="B649" s="11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"/>
      <c r="B650" s="11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"/>
      <c r="B651" s="11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"/>
      <c r="B652" s="11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"/>
      <c r="B653" s="11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"/>
      <c r="B654" s="11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"/>
      <c r="B655" s="11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"/>
      <c r="B656" s="11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"/>
      <c r="B657" s="11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"/>
      <c r="B658" s="11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"/>
      <c r="B659" s="11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"/>
      <c r="B660" s="11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"/>
      <c r="B661" s="11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"/>
      <c r="B662" s="11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"/>
      <c r="B663" s="11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"/>
      <c r="B664" s="11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"/>
      <c r="B665" s="11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"/>
      <c r="B666" s="11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"/>
      <c r="B667" s="11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"/>
      <c r="B668" s="11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"/>
      <c r="B669" s="11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"/>
      <c r="B670" s="11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"/>
      <c r="B671" s="11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"/>
      <c r="B672" s="11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"/>
      <c r="B673" s="11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"/>
      <c r="B674" s="11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"/>
      <c r="B675" s="11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"/>
      <c r="B676" s="11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"/>
      <c r="B677" s="11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"/>
      <c r="B678" s="11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"/>
      <c r="B679" s="11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"/>
      <c r="B680" s="11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"/>
      <c r="B681" s="11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"/>
      <c r="B682" s="11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"/>
      <c r="B683" s="11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"/>
      <c r="B684" s="11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"/>
      <c r="B685" s="11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"/>
      <c r="B686" s="11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"/>
      <c r="B687" s="11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"/>
      <c r="B688" s="11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"/>
      <c r="B689" s="11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"/>
      <c r="B690" s="11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"/>
      <c r="B691" s="11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"/>
      <c r="B692" s="11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"/>
      <c r="B693" s="11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"/>
      <c r="B694" s="11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"/>
      <c r="B695" s="11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"/>
      <c r="B696" s="11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"/>
      <c r="B697" s="11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"/>
      <c r="B698" s="11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"/>
      <c r="B699" s="11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"/>
      <c r="B700" s="11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"/>
      <c r="B701" s="11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"/>
      <c r="B702" s="11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"/>
      <c r="B703" s="11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"/>
      <c r="B704" s="11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"/>
      <c r="B705" s="11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"/>
      <c r="B706" s="11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"/>
      <c r="B707" s="11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"/>
      <c r="B708" s="11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"/>
      <c r="B709" s="11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"/>
      <c r="B710" s="11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"/>
      <c r="B711" s="11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"/>
      <c r="B712" s="11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"/>
      <c r="B713" s="11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"/>
      <c r="B714" s="11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"/>
      <c r="B715" s="11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"/>
      <c r="B716" s="11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"/>
      <c r="B717" s="11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"/>
      <c r="B718" s="11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"/>
      <c r="B719" s="11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"/>
      <c r="B720" s="11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"/>
      <c r="B721" s="11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"/>
      <c r="B722" s="11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"/>
      <c r="B723" s="11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"/>
      <c r="B724" s="11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"/>
      <c r="B725" s="11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"/>
      <c r="B726" s="11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"/>
      <c r="B727" s="11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"/>
      <c r="B728" s="11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"/>
      <c r="B729" s="11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"/>
      <c r="B730" s="11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"/>
      <c r="B731" s="11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"/>
      <c r="B732" s="11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"/>
      <c r="B733" s="11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"/>
      <c r="B734" s="11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"/>
      <c r="B735" s="11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"/>
      <c r="B736" s="11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"/>
      <c r="B737" s="11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"/>
      <c r="B738" s="11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"/>
      <c r="B739" s="11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"/>
      <c r="B740" s="11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"/>
      <c r="B741" s="11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"/>
      <c r="B742" s="11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"/>
      <c r="B743" s="11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"/>
      <c r="B744" s="11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"/>
      <c r="B745" s="11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"/>
      <c r="B746" s="11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"/>
      <c r="B747" s="11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"/>
      <c r="B748" s="11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"/>
      <c r="B749" s="11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"/>
      <c r="B750" s="11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"/>
      <c r="B751" s="11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"/>
      <c r="B752" s="11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"/>
      <c r="B753" s="11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"/>
      <c r="B754" s="11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"/>
      <c r="B755" s="11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"/>
      <c r="B756" s="11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"/>
      <c r="B757" s="11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"/>
      <c r="B758" s="11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"/>
      <c r="B759" s="11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"/>
      <c r="B760" s="11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"/>
      <c r="B761" s="11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"/>
      <c r="B762" s="11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"/>
      <c r="B763" s="11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"/>
      <c r="B764" s="11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"/>
      <c r="B765" s="11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"/>
      <c r="B766" s="11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"/>
      <c r="B767" s="11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"/>
      <c r="B768" s="11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"/>
      <c r="B769" s="11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"/>
      <c r="B770" s="11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"/>
      <c r="B771" s="11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"/>
      <c r="B772" s="11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"/>
      <c r="B773" s="11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"/>
      <c r="B774" s="11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"/>
      <c r="B775" s="11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"/>
      <c r="B776" s="11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"/>
      <c r="B777" s="11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"/>
      <c r="B778" s="11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"/>
      <c r="B779" s="11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"/>
      <c r="B780" s="11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"/>
      <c r="B781" s="11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"/>
      <c r="B782" s="11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"/>
      <c r="B783" s="11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"/>
      <c r="B784" s="11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"/>
      <c r="B785" s="11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"/>
      <c r="B786" s="11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"/>
      <c r="B787" s="11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"/>
      <c r="B788" s="11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"/>
      <c r="B789" s="11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/>
      <c r="B790" s="11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"/>
      <c r="B791" s="11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"/>
      <c r="B792" s="11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"/>
      <c r="B793" s="11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"/>
      <c r="B794" s="11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"/>
      <c r="B795" s="11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"/>
      <c r="B796" s="11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"/>
      <c r="B797" s="11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"/>
      <c r="B798" s="11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"/>
      <c r="B799" s="11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"/>
      <c r="B800" s="11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"/>
      <c r="B801" s="11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"/>
      <c r="B802" s="11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"/>
      <c r="B803" s="11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"/>
      <c r="B804" s="11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"/>
      <c r="B805" s="11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"/>
      <c r="B806" s="11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"/>
      <c r="B807" s="11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"/>
      <c r="B808" s="11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"/>
      <c r="B809" s="11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"/>
      <c r="B810" s="11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"/>
      <c r="B811" s="11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"/>
      <c r="B812" s="11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"/>
      <c r="B813" s="11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"/>
      <c r="B814" s="11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"/>
      <c r="B815" s="11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"/>
      <c r="B816" s="11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"/>
      <c r="B817" s="11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"/>
      <c r="B818" s="11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"/>
      <c r="B819" s="11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"/>
      <c r="B820" s="11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"/>
      <c r="B821" s="11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"/>
      <c r="B822" s="11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"/>
      <c r="B823" s="11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"/>
      <c r="B824" s="11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"/>
      <c r="B825" s="11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"/>
      <c r="B826" s="11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"/>
      <c r="B827" s="11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"/>
      <c r="B828" s="11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"/>
      <c r="B829" s="11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"/>
      <c r="B830" s="11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"/>
      <c r="B831" s="11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"/>
      <c r="B832" s="11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"/>
      <c r="B833" s="11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"/>
      <c r="B834" s="11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"/>
      <c r="B835" s="11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"/>
      <c r="B836" s="11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"/>
      <c r="B837" s="11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"/>
      <c r="B838" s="11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"/>
      <c r="B839" s="11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"/>
      <c r="B840" s="11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"/>
      <c r="B841" s="11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"/>
      <c r="B842" s="11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"/>
      <c r="B843" s="11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"/>
      <c r="B844" s="11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"/>
      <c r="B845" s="11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"/>
      <c r="B846" s="11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"/>
      <c r="B847" s="11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"/>
      <c r="B848" s="11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"/>
      <c r="B849" s="11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"/>
      <c r="B850" s="11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"/>
      <c r="B851" s="11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"/>
      <c r="B852" s="11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"/>
      <c r="B853" s="11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"/>
      <c r="B854" s="11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"/>
      <c r="B855" s="11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"/>
      <c r="B856" s="11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"/>
      <c r="B857" s="11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"/>
      <c r="B858" s="11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"/>
      <c r="B859" s="11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"/>
      <c r="B860" s="11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"/>
      <c r="B861" s="11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"/>
      <c r="B862" s="11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"/>
      <c r="B863" s="11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"/>
      <c r="B864" s="11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"/>
      <c r="B865" s="11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"/>
      <c r="B866" s="11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"/>
      <c r="B867" s="11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"/>
      <c r="B868" s="11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"/>
      <c r="B869" s="11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"/>
      <c r="B870" s="11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"/>
      <c r="B871" s="11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"/>
      <c r="B872" s="11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"/>
      <c r="B873" s="11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"/>
      <c r="B874" s="11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"/>
      <c r="B875" s="11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"/>
      <c r="B876" s="11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"/>
      <c r="B877" s="11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"/>
      <c r="B878" s="11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"/>
      <c r="B879" s="11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"/>
      <c r="B880" s="11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"/>
      <c r="B881" s="11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"/>
      <c r="B882" s="11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"/>
      <c r="B883" s="11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"/>
      <c r="B884" s="11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"/>
      <c r="B885" s="11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"/>
      <c r="B886" s="11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"/>
      <c r="B887" s="11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"/>
      <c r="B888" s="11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"/>
      <c r="B889" s="11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"/>
      <c r="B890" s="11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"/>
      <c r="B891" s="11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"/>
      <c r="B892" s="11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"/>
      <c r="B893" s="11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"/>
      <c r="B894" s="11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"/>
      <c r="B895" s="11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"/>
      <c r="B896" s="11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/>
      <c r="B897" s="11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/>
      <c r="B898" s="11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/>
      <c r="B899" s="11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/>
      <c r="B900" s="11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/>
      <c r="B901" s="11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/>
      <c r="B902" s="11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/>
      <c r="B903" s="11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/>
      <c r="B904" s="11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/>
      <c r="B905" s="11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/>
      <c r="B906" s="11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/>
      <c r="B907" s="11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/>
      <c r="B908" s="11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/>
      <c r="B909" s="11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/>
      <c r="B910" s="11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/>
      <c r="B911" s="11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/>
      <c r="B912" s="11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/>
      <c r="B913" s="11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/>
      <c r="B914" s="11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/>
      <c r="B915" s="11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/>
      <c r="B916" s="11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/>
      <c r="B917" s="11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/>
      <c r="B918" s="11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/>
      <c r="B919" s="11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/>
      <c r="B920" s="11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/>
      <c r="B921" s="11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/>
      <c r="B922" s="11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/>
      <c r="B923" s="11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/>
      <c r="B924" s="11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/>
      <c r="B925" s="11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/>
      <c r="B926" s="11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/>
      <c r="B927" s="11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/>
      <c r="B928" s="11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/>
      <c r="B929" s="11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/>
      <c r="B930" s="11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/>
      <c r="B931" s="11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/>
      <c r="B932" s="11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/>
      <c r="B933" s="11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/>
      <c r="B934" s="11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/>
      <c r="B935" s="11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/>
      <c r="B936" s="11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/>
      <c r="B937" s="11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/>
      <c r="B938" s="11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/>
      <c r="B939" s="11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/>
      <c r="B940" s="11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/>
      <c r="B941" s="11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/>
      <c r="B942" s="11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/>
      <c r="B943" s="11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/>
      <c r="B944" s="11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/>
      <c r="B945" s="11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/>
      <c r="B946" s="11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/>
      <c r="B947" s="11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/>
      <c r="B948" s="11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/>
      <c r="B949" s="11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/>
      <c r="B950" s="11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/>
      <c r="B951" s="11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/>
      <c r="B952" s="11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/>
      <c r="B953" s="11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/>
      <c r="B954" s="11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/>
      <c r="B955" s="11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/>
      <c r="B956" s="11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/>
      <c r="B957" s="11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/>
      <c r="B958" s="11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/>
      <c r="B959" s="11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/>
      <c r="B960" s="11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/>
      <c r="B961" s="11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/>
      <c r="B962" s="11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/>
      <c r="B963" s="11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/>
      <c r="B964" s="11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/>
      <c r="B965" s="11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/>
      <c r="B966" s="11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"/>
      <c r="B967" s="11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"/>
      <c r="B968" s="11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"/>
      <c r="B969" s="11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/>
      <c r="B970" s="11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/>
      <c r="B971" s="11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/>
      <c r="B972" s="11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/>
      <c r="B973" s="11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/>
      <c r="B974" s="11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/>
      <c r="B975" s="11"/>
      <c r="C975" s="1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/>
      <c r="B976" s="11"/>
      <c r="C976" s="1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/>
      <c r="B977" s="11"/>
      <c r="C977" s="1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/>
      <c r="B978" s="11"/>
      <c r="C978" s="1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/>
      <c r="B979" s="11"/>
      <c r="C979" s="1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/>
      <c r="B980" s="11"/>
      <c r="C980" s="1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/>
      <c r="B981" s="11"/>
      <c r="C981" s="1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/>
      <c r="B982" s="11"/>
      <c r="C982" s="1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/>
      <c r="B983" s="11"/>
      <c r="C983" s="1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/>
      <c r="B984" s="11"/>
      <c r="C984" s="1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/>
      <c r="B985" s="11"/>
      <c r="C985" s="1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/>
      <c r="B986" s="11"/>
      <c r="C986" s="1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/>
      <c r="B987" s="11"/>
      <c r="C987" s="1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/>
      <c r="B988" s="11"/>
      <c r="C988" s="1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/>
      <c r="B989" s="11"/>
      <c r="C989" s="1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/>
      <c r="B990" s="11"/>
      <c r="C990" s="1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/>
      <c r="B991" s="11"/>
      <c r="C991" s="1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/>
      <c r="B992" s="11"/>
      <c r="C992" s="1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/>
      <c r="B993" s="11"/>
      <c r="C993" s="1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/>
      <c r="B994" s="11"/>
      <c r="C994" s="1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/>
      <c r="B995" s="11"/>
      <c r="C995" s="1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/>
      <c r="B996" s="11"/>
      <c r="C996" s="1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/>
      <c r="B997" s="11"/>
      <c r="C997" s="1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/>
      <c r="B998" s="11"/>
      <c r="C998" s="1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/>
      <c r="B999" s="11"/>
      <c r="C999" s="1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/>
      <c r="B1000" s="11"/>
      <c r="C1000" s="1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C3:C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3.0"/>
  </cols>
  <sheetData>
    <row r="1">
      <c r="A1" s="45" t="s">
        <v>978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6"/>
      <c r="B2" s="47" t="s">
        <v>979</v>
      </c>
      <c r="C2" s="48" t="s">
        <v>980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9" t="s">
        <v>981</v>
      </c>
      <c r="B3" s="35">
        <f>IFERROR(__xludf.DUMMYFUNCTION("AVERAGE(INDEX(QUERY(FILTER('Вводные. Основные метрики'!$B$2:$B998, 'Вводные. Основные метрики'!$B$2:$B998&lt;&gt;""""), ""select Col1, count(Col1) group by Col1 label count(Col1) ''"", 0), , 2))"),16.574074074074073)</f>
        <v>16.57407407</v>
      </c>
      <c r="C3" s="50" t="s">
        <v>982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1"/>
      <c r="B4" s="51"/>
      <c r="C4" s="5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45" t="s">
        <v>983</v>
      </c>
      <c r="C1" s="2"/>
      <c r="D1" s="2"/>
      <c r="E1" s="2"/>
      <c r="F1" s="52"/>
      <c r="G1" s="2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3"/>
      <c r="B2" s="49" t="s">
        <v>979</v>
      </c>
      <c r="C2" s="2"/>
      <c r="D2" s="2"/>
      <c r="E2" s="52"/>
      <c r="F2" s="2"/>
      <c r="G2" s="22"/>
      <c r="H2" s="2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9" t="s">
        <v>984</v>
      </c>
      <c r="B3" s="54">
        <f>Lifetime!B3*IF(COUNT('Вводные. Основные метрики'!$D$2:$D1000)=0, 0, SUM('Вводные. Основные метрики'!$D$2:$D1000) / COUNT('Вводные. Основные метрики'!$D$2:$D1000))</f>
        <v>8992.37037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2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52"/>
      <c r="F5" s="22"/>
      <c r="G5" s="5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33"/>
      <c r="F7" s="2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8"/>
      <c r="F8" s="3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8"/>
      <c r="F9" s="3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8"/>
      <c r="F10" s="3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8"/>
      <c r="F11" s="3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8"/>
      <c r="F12" s="3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8"/>
      <c r="F13" s="3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8"/>
      <c r="F14" s="3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8"/>
      <c r="F15" s="3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8"/>
      <c r="F16" s="3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8"/>
      <c r="F17" s="3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8"/>
      <c r="F18" s="3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8"/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4.63"/>
    <col customWidth="1" min="3" max="3" width="19.63"/>
  </cols>
  <sheetData>
    <row r="1">
      <c r="A1" s="56" t="s">
        <v>985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7" t="s">
        <v>964</v>
      </c>
      <c r="B2" s="57" t="s">
        <v>986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8" t="s">
        <v>965</v>
      </c>
      <c r="B3" s="54">
        <f>IFERROR(__xludf.DUMMYFUNCTION("VLOOKUP($A3, 'Вводные. Затраты на канал'!$A$2:$B$4, 2, FALSE) / COUNTUNIQUE(FILTER('Вводные. Канал привлечения'!$A$2:$A$55, 'Вводные. Канал привлечения'!$B$2:$B$55=$A3))"),2894.7368421052633)</f>
        <v>2894.736842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8" t="s">
        <v>966</v>
      </c>
      <c r="B4" s="54">
        <f>IFERROR(__xludf.DUMMYFUNCTION("VLOOKUP($A4, 'Вводные. Затраты на канал'!$A$2:$B$4, 2, FALSE) / COUNTUNIQUE(FILTER('Вводные. Канал привлечения'!$A$2:$A$55, 'Вводные. Канал привлечения'!$B$2:$B$55=$A4))"),2857.1428571428573)</f>
        <v>2857.142857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8" t="s">
        <v>967</v>
      </c>
      <c r="B5" s="54">
        <f>IFERROR(__xludf.DUMMYFUNCTION("VLOOKUP($A5, 'Вводные. Затраты на канал'!$A$2:$B$4, 2, FALSE) / COUNTUNIQUE(FILTER('Вводные. Канал привлечения'!$A$2:$A$55, 'Вводные. Канал привлечения'!$B$2:$B$55=$A5))"),4357.142857142857)</f>
        <v>4357.142857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/>
      <c r="B8" s="26"/>
      <c r="C8" s="26"/>
      <c r="D8" s="2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9"/>
      <c r="B9" s="37"/>
      <c r="C9" s="2"/>
      <c r="D9" s="6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9"/>
      <c r="B10" s="37"/>
      <c r="C10" s="2"/>
      <c r="D10" s="6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37"/>
      <c r="C11" s="2"/>
      <c r="D11" s="6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1"/>
      <c r="B13" s="6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/>
      <c r="B24" s="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/>
      <c r="B25" s="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/>
      <c r="B26" s="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7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/>
      <c r="B29" s="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3" t="s">
        <v>845</v>
      </c>
      <c r="B67" s="63" t="s">
        <v>967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4.88"/>
    <col customWidth="1" min="3" max="3" width="19.75"/>
    <col customWidth="1" min="4" max="4" width="30.13"/>
    <col customWidth="1" min="6" max="6" width="16.13"/>
  </cols>
  <sheetData>
    <row r="1">
      <c r="A1" s="45" t="s">
        <v>987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7" t="s">
        <v>964</v>
      </c>
      <c r="B2" s="64" t="s">
        <v>988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8" t="s">
        <v>965</v>
      </c>
      <c r="B3" s="65">
        <f t="array" ref="B3"> (LTV!$B$3 - XLOOKUP($A3, CAC!$A$3:$A$100, CAC!$B$3:$B$100)) / XLOOKUP($A3, CAC!$A$3:$A$100, CAC!$B$3:$B$100)</f>
        <v>2.106455219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8" t="s">
        <v>966</v>
      </c>
      <c r="B4" s="65">
        <f t="array" ref="B4"> (LTV!$B$3 - XLOOKUP($A4, CAC!$A$3:$A$100, CAC!$B$3:$B$100)) / XLOOKUP($A4, CAC!$A$3:$A$100, CAC!$B$3:$B$100)</f>
        <v>2.14732963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6" t="s">
        <v>967</v>
      </c>
      <c r="B5" s="65">
        <f t="array" ref="B5"> (LTV!$B$3 - XLOOKUP($A5, CAC!$A$3:$A$100, CAC!$B$3:$B$100)) / XLOOKUP($A5, CAC!$A$3:$A$100, CAC!$B$3:$B$100)</f>
        <v>1.063822708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7"/>
      <c r="C8" s="6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59"/>
      <c r="C9" s="6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9"/>
      <c r="C10" s="68"/>
      <c r="D10" s="69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7"/>
      <c r="C11" s="6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0"/>
      <c r="B13" s="22"/>
      <c r="C13" s="2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1"/>
      <c r="B14" s="22"/>
      <c r="C14" s="3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2"/>
      <c r="C15" s="3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2"/>
      <c r="C16" s="3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3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drawing r:id="rId1"/>
</worksheet>
</file>