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<sst xmlns="http://schemas.openxmlformats.org/spreadsheetml/2006/main" count="54" uniqueCount="51">
  <si>
    <t>Воронка привлечения</t>
  </si>
  <si>
    <t>Сделки</t>
  </si>
  <si>
    <t>Удержание клиентов</t>
  </si>
  <si>
    <t>Стоимость привлечения клиента</t>
  </si>
  <si>
    <t>Затраты на каждую сделку</t>
  </si>
  <si>
    <t>Метрики сходимости экономики</t>
  </si>
  <si>
    <t>Экономика</t>
  </si>
  <si>
    <t>Количество потребителей (лидов) на входе воронки</t>
  </si>
  <si>
    <t>Конверсия из входа воронки в шаг 2</t>
  </si>
  <si>
    <t>Количество потребителей на шаге 2</t>
  </si>
  <si>
    <t>Конверсия из шага 2 в шаг 3</t>
  </si>
  <si>
    <t>Количество потребителей на шаге 3</t>
  </si>
  <si>
    <t>Конверсия из шага 3 в клиента</t>
  </si>
  <si>
    <t>Количество клиентов на выходе из воронки</t>
  </si>
  <si>
    <t>Среднее количество покупок на клиента за период</t>
  </si>
  <si>
    <t>Средний чек одной покупки</t>
  </si>
  <si>
    <t>Retention клиентов 2 периода</t>
  </si>
  <si>
    <t>Retention клиентов 3 периода</t>
  </si>
  <si>
    <t>Retention клиентов 4 периода</t>
  </si>
  <si>
    <t>Количество оставшихся клиентов во 2 периоде</t>
  </si>
  <si>
    <t>Количество оставшихся клиентов в 3 периоде</t>
  </si>
  <si>
    <t>Количество оставшихся клиентов в 4 периоде</t>
  </si>
  <si>
    <t>Стоимость потребителя (лида) на входе воронки</t>
  </si>
  <si>
    <t>Стоимость конверсии во второй шаг</t>
  </si>
  <si>
    <t>Стоимость конверсии в третий шаг</t>
  </si>
  <si>
    <t>Стоимость конверсии в клиента</t>
  </si>
  <si>
    <t>Стоимость привлечения клиента (только маркетинг)</t>
  </si>
  <si>
    <t>Стоимость активации клиента</t>
  </si>
  <si>
    <t>Общая стоимость привлечения клиента</t>
  </si>
  <si>
    <t>Средняя себестоимость товара</t>
  </si>
  <si>
    <t>Затраты 1</t>
  </si>
  <si>
    <t>Затраты 2</t>
  </si>
  <si>
    <t>Затраты 3</t>
  </si>
  <si>
    <t>Совокупные затраты</t>
  </si>
  <si>
    <t>Маржинальная прибыль с клиента за один период</t>
  </si>
  <si>
    <t>LTV1 (период привлечения клиента)</t>
  </si>
  <si>
    <t>LTV2</t>
  </si>
  <si>
    <t>LTV3</t>
  </si>
  <si>
    <t>LTV4</t>
  </si>
  <si>
    <t>ROI</t>
  </si>
  <si>
    <t>Выручка с новых клиентов за первый период</t>
  </si>
  <si>
    <t>Выручка с удержанных клиентов</t>
  </si>
  <si>
    <t>Общая выручка за 4 периода</t>
  </si>
  <si>
    <t>Общие расходы на привлечение клиентов</t>
  </si>
  <si>
    <t>Общие расходы на проведение сделок</t>
  </si>
  <si>
    <t>Прибыль за 4 периода</t>
  </si>
  <si>
    <t>Сходится юнит-экономика?</t>
  </si>
  <si>
    <t>Нет</t>
  </si>
  <si>
    <t>CAC</t>
  </si>
  <si>
    <t>Прибыль</t>
  </si>
  <si>
    <t>Экономика за 4 месяца не сходится - слишком большая стоимость привлечения. Месячная маржинальная прибыль с клиента (2289 руб.) не окупает привлечение клиента (12885), при этом каждый месяц наблюдается отток клиентов. В приоритете для продукта сейчас снижение САС с помощью других каналов привлечения и повышение конверсии.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</si>
</sst>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2" fillId="5" fontId="1" numFmtId="0" xfId="0" applyAlignment="1" applyBorder="1" applyFill="1" applyFont="1">
      <alignment vertical="bottom"/>
    </xf>
    <xf borderId="4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vertical="bottom"/>
    </xf>
    <xf borderId="4" fillId="0" fontId="3" numFmtId="1" xfId="0" applyAlignment="1" applyBorder="1" applyFont="1" applyNumberFormat="1">
      <alignment horizontal="right" readingOrder="0" vertical="bottom"/>
    </xf>
    <xf borderId="5" fillId="0" fontId="3" numFmtId="9" xfId="0" applyAlignment="1" applyBorder="1" applyFont="1" applyNumberFormat="1">
      <alignment horizontal="right" readingOrder="0" vertical="bottom"/>
    </xf>
    <xf borderId="5" fillId="6" fontId="3" numFmtId="1" xfId="0" applyAlignment="1" applyBorder="1" applyFill="1" applyFont="1" applyNumberFormat="1">
      <alignment readingOrder="0" vertical="bottom"/>
    </xf>
    <xf borderId="6" fillId="6" fontId="3" numFmtId="1" xfId="0" applyAlignment="1" applyBorder="1" applyFont="1" applyNumberFormat="1">
      <alignment readingOrder="0" vertical="bottom"/>
    </xf>
    <xf borderId="5" fillId="7" fontId="3" numFmtId="1" xfId="0" applyAlignment="1" applyBorder="1" applyFill="1" applyFont="1" applyNumberFormat="1">
      <alignment horizontal="right" readingOrder="0" vertical="bottom"/>
    </xf>
    <xf borderId="6" fillId="7" fontId="3" numFmtId="1" xfId="0" applyAlignment="1" applyBorder="1" applyFont="1" applyNumberFormat="1">
      <alignment horizontal="right" readingOrder="0" vertical="bottom"/>
    </xf>
    <xf borderId="5" fillId="0" fontId="3" numFmtId="1" xfId="0" applyAlignment="1" applyBorder="1" applyFont="1" applyNumberFormat="1">
      <alignment horizontal="right" readingOrder="0" vertical="bottom"/>
    </xf>
    <xf borderId="5" fillId="0" fontId="3" numFmtId="1" xfId="0" applyAlignment="1" applyBorder="1" applyFont="1" applyNumberFormat="1">
      <alignment horizontal="right" vertical="bottom"/>
    </xf>
    <xf borderId="5" fillId="6" fontId="3" numFmtId="1" xfId="0" applyAlignment="1" applyBorder="1" applyFont="1" applyNumberFormat="1">
      <alignment horizontal="right" vertical="bottom"/>
    </xf>
    <xf borderId="6" fillId="6" fontId="3" numFmtId="10" xfId="0" applyAlignment="1" applyBorder="1" applyFont="1" applyNumberFormat="1">
      <alignment horizontal="right" vertical="bottom"/>
    </xf>
    <xf borderId="5" fillId="6" fontId="3" numFmtId="164" xfId="0" applyAlignment="1" applyBorder="1" applyFont="1" applyNumberFormat="1">
      <alignment horizontal="right" vertical="bottom"/>
    </xf>
    <xf borderId="6" fillId="6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10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3"/>
      <c r="J1" s="5" t="s">
        <v>2</v>
      </c>
      <c r="K1" s="2"/>
      <c r="L1" s="2"/>
      <c r="M1" s="2"/>
      <c r="N1" s="2"/>
      <c r="O1" s="2"/>
      <c r="P1" s="6" t="s">
        <v>3</v>
      </c>
      <c r="Q1" s="2"/>
      <c r="R1" s="2"/>
      <c r="S1" s="2"/>
      <c r="T1" s="2"/>
      <c r="U1" s="2"/>
      <c r="V1" s="3"/>
      <c r="W1" s="5" t="s">
        <v>4</v>
      </c>
      <c r="X1" s="2"/>
      <c r="Y1" s="2"/>
      <c r="Z1" s="2"/>
      <c r="AA1" s="2"/>
      <c r="AB1" s="4" t="s">
        <v>5</v>
      </c>
      <c r="AC1" s="2"/>
      <c r="AD1" s="2"/>
      <c r="AE1" s="2"/>
      <c r="AF1" s="2"/>
      <c r="AG1" s="2"/>
      <c r="AH1" s="3"/>
      <c r="AI1" s="7" t="s">
        <v>6</v>
      </c>
      <c r="AJ1" s="2"/>
      <c r="AK1" s="2"/>
      <c r="AL1" s="2"/>
      <c r="AM1" s="2"/>
      <c r="AN1" s="3"/>
    </row>
    <row r="2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10" t="s">
        <v>13</v>
      </c>
      <c r="H2" s="9" t="s">
        <v>14</v>
      </c>
      <c r="I2" s="10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10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10" t="s">
        <v>28</v>
      </c>
      <c r="W2" s="9" t="s">
        <v>29</v>
      </c>
      <c r="X2" s="9" t="s">
        <v>30</v>
      </c>
      <c r="Y2" s="9" t="s">
        <v>31</v>
      </c>
      <c r="Z2" s="9" t="s">
        <v>32</v>
      </c>
      <c r="AA2" s="10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9" t="s">
        <v>38</v>
      </c>
      <c r="AG2" s="9" t="s">
        <v>28</v>
      </c>
      <c r="AH2" s="11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10" t="s">
        <v>45</v>
      </c>
    </row>
    <row r="3">
      <c r="A3" s="12">
        <v>40000.0</v>
      </c>
      <c r="B3" s="13">
        <v>0.5</v>
      </c>
      <c r="C3" s="14">
        <f>A3*B3</f>
        <v>20000</v>
      </c>
      <c r="D3" s="13">
        <v>0.3</v>
      </c>
      <c r="E3" s="14">
        <f>C3*D3</f>
        <v>6000</v>
      </c>
      <c r="F3" s="13">
        <v>0.8</v>
      </c>
      <c r="G3" s="15">
        <f>E3*F3</f>
        <v>4800</v>
      </c>
      <c r="H3" s="16">
        <v>1.0</v>
      </c>
      <c r="I3" s="17">
        <v>2789.0</v>
      </c>
      <c r="J3" s="13">
        <v>0.95</v>
      </c>
      <c r="K3" s="13">
        <v>0.9</v>
      </c>
      <c r="L3" s="13">
        <v>0.89</v>
      </c>
      <c r="M3" s="14">
        <f>$G$3*J3</f>
        <v>4560</v>
      </c>
      <c r="N3" s="14">
        <f>$G$3*K3*J3</f>
        <v>4104</v>
      </c>
      <c r="O3" s="14">
        <f>$G$3*J3*K3*L3</f>
        <v>3652.56</v>
      </c>
      <c r="P3" s="18">
        <v>1500.0</v>
      </c>
      <c r="Q3" s="18">
        <v>0.0</v>
      </c>
      <c r="R3" s="19">
        <v>100.0</v>
      </c>
      <c r="S3" s="18">
        <v>60.0</v>
      </c>
      <c r="T3" s="14">
        <f>(A3*P3)/G3</f>
        <v>12500</v>
      </c>
      <c r="U3" s="14">
        <f>Q3/D3/F3 + R3/F3 + S3</f>
        <v>185</v>
      </c>
      <c r="V3" s="15">
        <f>T3+(E3*R3)/G3+(E3*S3)/G3+U3</f>
        <v>12885</v>
      </c>
      <c r="W3" s="18">
        <v>0.0</v>
      </c>
      <c r="X3" s="18">
        <v>300.0</v>
      </c>
      <c r="Y3" s="18">
        <v>200.0</v>
      </c>
      <c r="Z3" s="18">
        <v>0.0</v>
      </c>
      <c r="AA3" s="15">
        <f>SUM(W3:Z3)</f>
        <v>500</v>
      </c>
      <c r="AB3" s="20">
        <f>H3*I3-AA3</f>
        <v>2289</v>
      </c>
      <c r="AC3" s="20">
        <f>AB3</f>
        <v>2289</v>
      </c>
      <c r="AD3" s="20">
        <f>AC3+AB3*J3</f>
        <v>4463.55</v>
      </c>
      <c r="AE3" s="20">
        <f>AD3+AB3*J3*K3</f>
        <v>6420.645</v>
      </c>
      <c r="AF3" s="20">
        <f>AE3+AB3*J3*K3*L3</f>
        <v>8162.45955</v>
      </c>
      <c r="AG3" s="20">
        <f>V3</f>
        <v>12885</v>
      </c>
      <c r="AH3" s="21">
        <f>(AF3-AG3)/AG3</f>
        <v>-0.3665145867</v>
      </c>
      <c r="AI3" s="22">
        <f>G3*H3*I3</f>
        <v>13387200</v>
      </c>
      <c r="AJ3" s="22">
        <f>M3*H3*I3+N3*H3*I3+O3*H3*I3</f>
        <v>34350885.84</v>
      </c>
      <c r="AK3" s="22">
        <f>AI3+AJ3</f>
        <v>47738085.84</v>
      </c>
      <c r="AL3" s="22">
        <f>G3*V3</f>
        <v>61848000</v>
      </c>
      <c r="AM3" s="22">
        <f>(G3+M3+N3+O3)*AA3</f>
        <v>8558280</v>
      </c>
      <c r="AN3" s="23">
        <f>AK3-AL3-AM3</f>
        <v>-22668194.16</v>
      </c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46</v>
      </c>
      <c r="C5" s="25" t="s">
        <v>47</v>
      </c>
      <c r="D5" s="25" t="s">
        <v>39</v>
      </c>
      <c r="E5" s="25" t="s">
        <v>38</v>
      </c>
      <c r="F5" s="25" t="s">
        <v>48</v>
      </c>
      <c r="G5" s="25" t="s">
        <v>49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7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4"/>
      <c r="B6" s="24"/>
      <c r="C6" s="24"/>
      <c r="D6" s="28">
        <f>AH3</f>
        <v>-0.3665145867</v>
      </c>
      <c r="E6" s="29">
        <f>AF3</f>
        <v>8162.45955</v>
      </c>
      <c r="F6" s="29">
        <f>V3</f>
        <v>12885</v>
      </c>
      <c r="G6" s="30">
        <f>AN3</f>
        <v>-22668194.16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7" t="s">
        <v>50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5"/>
      <c r="S8" s="25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  <c r="S9" s="25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5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5"/>
      <c r="S11" s="25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5"/>
      <c r="S12" s="25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5"/>
      <c r="S13" s="25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5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</row>
  </sheetData>
  <mergeCells count="9">
    <mergeCell ref="A5:B5"/>
    <mergeCell ref="A7:F10"/>
    <mergeCell ref="A1:G1"/>
    <mergeCell ref="H1:I1"/>
    <mergeCell ref="J1:O1"/>
    <mergeCell ref="P1:V1"/>
    <mergeCell ref="W1:AA1"/>
    <mergeCell ref="AB1:AH1"/>
    <mergeCell ref="AI1:AN1"/>
  </mergeCells>
  <dataValidations>
    <dataValidation type="list" allowBlank="1" showErrorMessage="1" sqref="C5">
      <formula1>"Да,Нет"</formula1>
    </dataValidation>
  </dataValidations>
  <drawing r:id="rId1"/>
</worksheet>
</file>