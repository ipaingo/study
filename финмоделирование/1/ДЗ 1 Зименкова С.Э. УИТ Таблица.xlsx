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четность для анализа (стейки)" sheetId="1" r:id="rId5"/>
    <sheet state="visible" name="Анализ каналов привлечения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tc={1c3bb406-2ff2-4b49-9c5f-370b4cb791b0}</author>
    <author>tc={376fb18b-5349-4298-a98f-8099108ba16b}</author>
    <author>tc={5e64ff32-c7b1-4383-a0dc-3698ac2bca0e}</author>
    <author>tc={6a2219ad-6e83-4ea3-89ae-8c74d74106ef}</author>
    <author>tc={7567243b-5f2d-4013-be3f-3f77500f15e9}</author>
    <author>tc={8900f729-0b24-4d2e-91d4-ee70a4373d4d}</author>
    <author>tc={9c6c0925-8e18-40bc-9198-4bad2e2b41ab}</author>
    <author>tc={a1efd23b-b101-42f7-8540-9bbd718a089b}</author>
    <author>tc={adc53115-6db5-499e-878c-811b7415770c}</author>
    <author>tc={b3464fd8-a7e4-4021-8114-3a99a9f9bca3}</author>
    <author>tc={b8ff31e3-1439-484c-adbe-bb4eaee274d3}</author>
    <author>tc={ce58548d-92af-4727-9962-f3b883a0d4ea}</author>
    <author>tc={d3bdcb27-1826-4093-9168-6271ac5d1a14}</author>
  </authors>
  <commentList>
    <comment authorId="0" xr:uid="{1c3bb406-2ff2-4b49-9c5f-370b4cb791b0}" ref="G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что случилось с показами в октябре? почему, в отличие от яндекса и tg ads, так упали метрики в январе?
</t>
      </text>
    </comment>
    <comment authorId="1" xr:uid="{376fb18b-5349-4298-a98f-8099108ba16b}" ref="G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количество заказов увеличилось в 2 раза, а стоимость курьерских услуг в 4, почему подорожала доставка?
</t>
      </text>
    </comment>
    <comment authorId="2" xr:uid="{5e64ff32-c7b1-4383-a0dc-3698ac2bca0e}" ref="G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что произошло в ноябре? подготовка к декабрю или разовая "случайная" закупка?
</t>
      </text>
    </comment>
    <comment authorId="3" xr:uid="{6a2219ad-6e83-4ea3-89ae-8c74d74106ef}" ref="G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для многих магазинов рост продаж в декабре и падение в январе это нормально, но стоит все равно уточнить, с чем именно связаны такие различия в числах. каждый год так или только в этот? у нас есть новогодние скидки и акции, чтобы подогревать интерес покупателей к новому году?
</t>
      </text>
    </comment>
    <comment authorId="4" xr:uid="{7567243b-5f2d-4013-be3f-3f77500f15e9}" ref="G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 сумму попали ИТ-услуги, поэтому ФОТ рассчитывается неверно.
</t>
      </text>
    </comment>
    <comment authorId="5" xr:uid="{8900f729-0b24-4d2e-91d4-ee70a4373d4d}" ref="G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 хватает детализации. что отражают эти числа, оплаты? при каких затратах, показах, визитах, заявках получены эти оплаты?
</t>
      </text>
    </comment>
    <comment authorId="6" xr:uid="{9c6c0925-8e18-40bc-9198-4bad2e2b41ab}" ref="G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новогодняя акция в декабре?
</t>
      </text>
    </comment>
    <comment authorId="7" xr:uid="{a1efd23b-b101-42f7-8540-9bbd718a089b}" ref="G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что за ИТ-услуги? почему в декабре, когда для маркетинговых мероприятий по максимуму вложились, сумма по ИТ-услугам 0?
</t>
      </text>
    </comment>
    <comment authorId="8" xr:uid="{adc53115-6db5-499e-878c-811b7415770c}" ref="G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что произошло в январе с представительскими?
</t>
      </text>
    </comment>
    <comment authorId="9" xr:uid="{b3464fd8-a7e4-4021-8114-3a99a9f9bca3}" ref="G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почему Петров зарабротал в 2 раза больше денег в январе?
</t>
      </text>
    </comment>
    <comment authorId="10" xr:uid="{b8ff31e3-1439-484c-adbe-bb4eaee274d3}" ref="G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затраты растут, но и оплат по этому каналу больше, чем по остальным. очень не хватает CAC в отчете, чтобы сделать выводы.
</t>
      </text>
    </comment>
    <comment authorId="11" xr:uid="{ce58548d-92af-4727-9962-f3b883a0d4ea}" ref="G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отлично, что смогли снизить затраты без потери эффективности рекламы. что для этого сделали? можно ли применить ту же технологию для других каналов?
</t>
      </text>
    </comment>
    <comment authorId="12" xr:uid="{d3bdcb27-1826-4093-9168-6271ac5d1a14}" ref="G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админ. директор переработал в декабре?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tc={be707a69-5e09-44f4-ac91-5fd38b118bde}</author>
  </authors>
  <commentList>
    <comment authorId="0" xr:uid="{be707a69-5e09-44f4-ac91-5fd38b118bde}" ref="L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что же это за прочие такие?!
</t>
      </text>
    </comment>
  </commentList>
</comments>
</file>

<file path=xl/sharedStrings.xml><?xml version="1.0" encoding="utf-8"?>
<sst xmlns="http://schemas.openxmlformats.org/spreadsheetml/2006/main" count="216" uniqueCount="73">
  <si>
    <t>МЕСЯЦ</t>
  </si>
  <si>
    <t>СЕНТЯБРЬ</t>
  </si>
  <si>
    <t>ОКТЯБРЬ</t>
  </si>
  <si>
    <t>НОЯБРЬ</t>
  </si>
  <si>
    <t>ДЕКАБРЬ</t>
  </si>
  <si>
    <t>ЯНВАРЬ</t>
  </si>
  <si>
    <t>Количество продаж</t>
  </si>
  <si>
    <t>комментарий</t>
  </si>
  <si>
    <t>Средний чек</t>
  </si>
  <si>
    <t>Сумма продаж</t>
  </si>
  <si>
    <t>Бюджет реклама ВКонтакте</t>
  </si>
  <si>
    <t>Показы</t>
  </si>
  <si>
    <t>Визитов</t>
  </si>
  <si>
    <t>Заявок</t>
  </si>
  <si>
    <t>Оплат</t>
  </si>
  <si>
    <t>Бюджет реклама Яндекс</t>
  </si>
  <si>
    <t>Бюджет реклама TG ADS</t>
  </si>
  <si>
    <t>&lt;- тут</t>
  </si>
  <si>
    <t>одинаково с Яндексом - ошибка заполнения отчета?</t>
  </si>
  <si>
    <t>&lt;- и тут</t>
  </si>
  <si>
    <t>Прочие каналы трафика</t>
  </si>
  <si>
    <t>исправила ошибку в формуле ФОТ</t>
  </si>
  <si>
    <t>ОПИУ</t>
  </si>
  <si>
    <t>Выручка от продаж</t>
  </si>
  <si>
    <t>Себестоимость</t>
  </si>
  <si>
    <t>Валовая прибыль</t>
  </si>
  <si>
    <t>Операционные расходы</t>
  </si>
  <si>
    <t>Списания</t>
  </si>
  <si>
    <t>- Курьер</t>
  </si>
  <si>
    <t>- Представительские</t>
  </si>
  <si>
    <t>Маркетинг и реклама</t>
  </si>
  <si>
    <t>- ВКонтакте</t>
  </si>
  <si>
    <t>- Яндекс</t>
  </si>
  <si>
    <t>- TG ADS</t>
  </si>
  <si>
    <t>- СМС.ру</t>
  </si>
  <si>
    <t>- Маркетинговое агентство</t>
  </si>
  <si>
    <t>- Блогеры/ролики</t>
  </si>
  <si>
    <t>ФОТ</t>
  </si>
  <si>
    <t>- Петров (партнер)</t>
  </si>
  <si>
    <t>- Админ. директор</t>
  </si>
  <si>
    <t>- ФОТ продажники</t>
  </si>
  <si>
    <t>- ФОТ сборщики</t>
  </si>
  <si>
    <t>- Бухгалтер</t>
  </si>
  <si>
    <t>- SMM-менеджер</t>
  </si>
  <si>
    <t>- Юрист</t>
  </si>
  <si>
    <t>ИТ-услуги</t>
  </si>
  <si>
    <t>Аренда</t>
  </si>
  <si>
    <t>Вывоз мусора и уборка</t>
  </si>
  <si>
    <t>Подрядчики</t>
  </si>
  <si>
    <t>АХО и канцелярия</t>
  </si>
  <si>
    <t>Курьерские услуги</t>
  </si>
  <si>
    <t>Связь</t>
  </si>
  <si>
    <t>Рекрутинг</t>
  </si>
  <si>
    <t>Партнерские %</t>
  </si>
  <si>
    <t>Операционная прибыль</t>
  </si>
  <si>
    <t>Налоги и сборы</t>
  </si>
  <si>
    <t>сумма (что по итогам 5 месяцев)</t>
  </si>
  <si>
    <t>Чистая прибыль</t>
  </si>
  <si>
    <t>на целых 166 тыс. больше заработали, чем посчитали!</t>
  </si>
  <si>
    <t>Продажи ВК</t>
  </si>
  <si>
    <t>Продажи Яндекс</t>
  </si>
  <si>
    <t>Продажи TG Ads</t>
  </si>
  <si>
    <t>Продажи прочие</t>
  </si>
  <si>
    <t>CAC ВК</t>
  </si>
  <si>
    <t>CAC Яндекс</t>
  </si>
  <si>
    <t>CAC TG Ads</t>
  </si>
  <si>
    <t>КОНВЕРСИЯ</t>
  </si>
  <si>
    <t>Визиты -&gt; заявки</t>
  </si>
  <si>
    <t>ВК</t>
  </si>
  <si>
    <t>Яндекс</t>
  </si>
  <si>
    <t>TG Ads</t>
  </si>
  <si>
    <t>Заявки -&gt; Оплаты</t>
  </si>
  <si>
    <t>вывод: TG Ads самый эффективный канал по CAC, количеству продаж и конверсии, но это если верить данным из отчета, а они могут быть неверные - данные по TG Ads и Яндексу совпадают в двух строках.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</si>
</sst>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[$ ₽]"/>
  </numFmts>
  <fonts count="15">
    <font>
      <sz val="10.0"/>
      <color rgb="FF000000"/>
      <name val="Arial"/>
      <scheme val="minor"/>
    </font>
    <font>
      <b/>
      <color rgb="FF000000"/>
      <name val="&quot;Century Gothic&quot;"/>
    </font>
    <font>
      <color rgb="FFFFFFFF"/>
      <name val="&quot;Century Gothic&quot;"/>
    </font>
    <font>
      <b/>
      <color rgb="FF222222"/>
      <name val="&quot;Century Gothic&quot;"/>
    </font>
    <font>
      <color rgb="FF000000"/>
      <name val="&quot;Century Gothic&quot;"/>
    </font>
    <font>
      <color rgb="FF222222"/>
      <name val="&quot;Century Gothic&quot;"/>
    </font>
    <font>
      <color theme="1"/>
      <name val="Century Gothic"/>
    </font>
    <font>
      <color theme="1"/>
      <name val="Arial"/>
      <scheme val="minor"/>
    </font>
    <font>
      <b/>
      <color rgb="FF000000"/>
      <name val="Century Gothic"/>
    </font>
    <font>
      <color rgb="FFFFFFFF"/>
      <name val="Century Gothic"/>
    </font>
    <font>
      <b/>
      <color rgb="FF222222"/>
      <name val="Century Gothic"/>
    </font>
    <font>
      <color rgb="FF000000"/>
      <name val="Century Gothic"/>
    </font>
    <font>
      <color rgb="FF222222"/>
      <name val="Century Gothic"/>
    </font>
    <font>
      <color rgb="FF666666"/>
      <name val="Century Gothic"/>
    </font>
    <font>
      <b/>
      <color theme="1"/>
      <name val="Century Gothic"/>
    </font>
  </fonts>
  <fills count="3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</fills>
  <borders count="13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0" fontId="3" numFmtId="0" xfId="0" applyAlignment="1" applyFont="1">
      <alignment shrinkToFit="0" wrapText="0"/>
    </xf>
    <xf borderId="0" fillId="0" fontId="1" numFmtId="3" xfId="0" applyAlignment="1" applyFont="1" applyNumberFormat="1">
      <alignment readingOrder="0" shrinkToFit="0" wrapText="0"/>
    </xf>
    <xf borderId="0" fillId="0" fontId="4" numFmtId="0" xfId="0" applyAlignment="1" applyFont="1">
      <alignment horizontal="left" readingOrder="0" shrinkToFit="0" wrapText="0"/>
    </xf>
    <xf borderId="0" fillId="0" fontId="4" numFmtId="3" xfId="0" applyAlignment="1" applyFont="1" applyNumberFormat="1">
      <alignment readingOrder="0" shrinkToFit="0" wrapText="0"/>
    </xf>
    <xf borderId="0" fillId="0" fontId="4" numFmtId="3" xfId="0" applyAlignment="1" applyFont="1" applyNumberFormat="1">
      <alignment shrinkToFit="0" wrapText="0"/>
    </xf>
    <xf borderId="0" fillId="0" fontId="3" numFmtId="3" xfId="0" applyAlignment="1" applyFont="1" applyNumberFormat="1">
      <alignment shrinkToFit="0" wrapText="0"/>
    </xf>
    <xf borderId="0" fillId="0" fontId="1" numFmtId="0" xfId="0" applyAlignment="1" applyFont="1">
      <alignment horizontal="left" readingOrder="0"/>
    </xf>
    <xf borderId="0" fillId="0" fontId="1" numFmtId="3" xfId="0" applyAlignment="1" applyFont="1" applyNumberFormat="1">
      <alignment horizontal="right" readingOrder="0" shrinkToFit="0" wrapText="0"/>
    </xf>
    <xf borderId="0" fillId="0" fontId="4" numFmtId="0" xfId="0" applyAlignment="1" applyFont="1">
      <alignment horizontal="left" readingOrder="0"/>
    </xf>
    <xf borderId="0" fillId="0" fontId="5" numFmtId="1" xfId="0" applyAlignment="1" applyFont="1" applyNumberFormat="1">
      <alignment shrinkToFit="0" wrapText="0"/>
    </xf>
    <xf borderId="0" fillId="0" fontId="5" numFmtId="1" xfId="0" applyAlignment="1" applyFont="1" applyNumberFormat="1">
      <alignment readingOrder="0" shrinkToFit="0" wrapText="0"/>
    </xf>
    <xf borderId="0" fillId="0" fontId="3" numFmtId="3" xfId="0" applyAlignment="1" applyFont="1" applyNumberFormat="1">
      <alignment readingOrder="0" shrinkToFit="0" wrapText="0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/>
    </xf>
    <xf borderId="1" fillId="0" fontId="1" numFmtId="0" xfId="0" applyAlignment="1" applyBorder="1" applyFont="1">
      <alignment horizontal="left" readingOrder="0"/>
    </xf>
    <xf borderId="1" fillId="0" fontId="3" numFmtId="3" xfId="0" applyAlignment="1" applyBorder="1" applyFont="1" applyNumberFormat="1">
      <alignment readingOrder="0" shrinkToFit="0" wrapText="0"/>
    </xf>
    <xf borderId="1" fillId="0" fontId="1" numFmtId="3" xfId="0" applyAlignment="1" applyBorder="1" applyFont="1" applyNumberFormat="1">
      <alignment readingOrder="0" shrinkToFit="0" wrapText="0"/>
    </xf>
    <xf borderId="0" fillId="0" fontId="1" numFmtId="0" xfId="0" applyAlignment="1" applyFont="1">
      <alignment horizontal="left"/>
    </xf>
    <xf borderId="0" fillId="0" fontId="1" numFmtId="10" xfId="0" applyAlignment="1" applyFont="1" applyNumberFormat="1">
      <alignment horizontal="left"/>
    </xf>
    <xf borderId="0" fillId="0" fontId="1" numFmtId="3" xfId="0" applyAlignment="1" applyFont="1" applyNumberFormat="1">
      <alignment horizontal="left"/>
    </xf>
    <xf borderId="2" fillId="0" fontId="1" numFmtId="0" xfId="0" applyAlignment="1" applyBorder="1" applyFont="1">
      <alignment horizontal="left" readingOrder="0"/>
    </xf>
    <xf borderId="3" fillId="0" fontId="1" numFmtId="3" xfId="0" applyAlignment="1" applyBorder="1" applyFont="1" applyNumberFormat="1">
      <alignment readingOrder="0" shrinkToFit="0" wrapText="0"/>
    </xf>
    <xf borderId="4" fillId="0" fontId="1" numFmtId="3" xfId="0" applyAlignment="1" applyBorder="1" applyFont="1" applyNumberFormat="1">
      <alignment readingOrder="0" shrinkToFit="0" wrapText="0"/>
    </xf>
    <xf borderId="3" fillId="0" fontId="1" numFmtId="3" xfId="0" applyAlignment="1" applyBorder="1" applyFont="1" applyNumberFormat="1">
      <alignment horizontal="right" readingOrder="0" shrinkToFit="0" wrapText="0"/>
    </xf>
    <xf borderId="4" fillId="0" fontId="1" numFmtId="3" xfId="0" applyAlignment="1" applyBorder="1" applyFont="1" applyNumberFormat="1">
      <alignment horizontal="right" readingOrder="0" shrinkToFit="0" wrapText="0"/>
    </xf>
    <xf borderId="0" fillId="0" fontId="4" numFmtId="3" xfId="0" applyAlignment="1" applyFont="1" applyNumberFormat="1">
      <alignment horizontal="right" readingOrder="0" shrinkToFit="0" wrapText="0"/>
    </xf>
    <xf borderId="2" fillId="0" fontId="1" numFmtId="0" xfId="0" applyAlignment="1" applyBorder="1" applyFont="1">
      <alignment horizontal="left" readingOrder="0" shrinkToFit="0" wrapText="0"/>
    </xf>
    <xf borderId="0" fillId="0" fontId="4" numFmtId="3" xfId="0" applyAlignment="1" applyFont="1" applyNumberFormat="1">
      <alignment horizontal="right" shrinkToFit="0" wrapText="0"/>
    </xf>
    <xf borderId="0" fillId="0" fontId="1" numFmtId="0" xfId="0" applyAlignment="1" applyFont="1">
      <alignment readingOrder="0" shrinkToFit="0" wrapText="0"/>
    </xf>
    <xf borderId="5" fillId="2" fontId="1" numFmtId="3" xfId="0" applyAlignment="1" applyBorder="1" applyFill="1" applyFont="1" applyNumberFormat="1">
      <alignment readingOrder="0" shrinkToFit="0" wrapText="0"/>
    </xf>
    <xf borderId="0" fillId="0" fontId="6" numFmtId="3" xfId="0" applyFont="1" applyNumberFormat="1"/>
    <xf borderId="0" fillId="0" fontId="8" numFmtId="0" xfId="0" applyAlignment="1" applyFont="1">
      <alignment horizontal="left" readingOrder="0" shrinkToFit="0" wrapText="0"/>
    </xf>
    <xf borderId="0" fillId="0" fontId="8" numFmtId="0" xfId="0" applyAlignment="1" applyFont="1">
      <alignment horizontal="center" readingOrder="0" shrinkToFit="0" wrapText="0"/>
    </xf>
    <xf borderId="2" fillId="0" fontId="8" numFmtId="0" xfId="0" applyAlignment="1" applyBorder="1" applyFont="1">
      <alignment horizontal="left" readingOrder="0" shrinkToFit="0" wrapText="0"/>
    </xf>
    <xf borderId="3" fillId="0" fontId="8" numFmtId="0" xfId="0" applyAlignment="1" applyBorder="1" applyFont="1">
      <alignment horizontal="center" readingOrder="0" shrinkToFit="0" wrapText="0"/>
    </xf>
    <xf borderId="4" fillId="0" fontId="8" numFmtId="0" xfId="0" applyAlignment="1" applyBorder="1" applyFont="1">
      <alignment horizontal="center" readingOrder="0" shrinkToFit="0" wrapText="0"/>
    </xf>
    <xf borderId="0" fillId="0" fontId="6" numFmtId="0" xfId="0" applyFont="1"/>
    <xf borderId="0" fillId="0" fontId="9" numFmtId="0" xfId="0" applyAlignment="1" applyFont="1">
      <alignment horizontal="left" readingOrder="0" shrinkToFit="0" wrapText="0"/>
    </xf>
    <xf borderId="0" fillId="0" fontId="9" numFmtId="0" xfId="0" applyAlignment="1" applyFont="1">
      <alignment horizontal="center" readingOrder="0" shrinkToFit="0" wrapText="0"/>
    </xf>
    <xf borderId="0" fillId="0" fontId="10" numFmtId="0" xfId="0" applyAlignment="1" applyFont="1">
      <alignment shrinkToFit="0" wrapText="0"/>
    </xf>
    <xf borderId="6" fillId="0" fontId="6" numFmtId="0" xfId="0" applyAlignment="1" applyBorder="1" applyFont="1">
      <alignment readingOrder="0"/>
    </xf>
    <xf borderId="0" fillId="0" fontId="6" numFmtId="1" xfId="0" applyFont="1" applyNumberFormat="1"/>
    <xf borderId="7" fillId="0" fontId="6" numFmtId="1" xfId="0" applyBorder="1" applyFont="1" applyNumberFormat="1"/>
    <xf borderId="0" fillId="0" fontId="8" numFmtId="3" xfId="0" applyAlignment="1" applyFont="1" applyNumberFormat="1">
      <alignment readingOrder="0" shrinkToFit="0" wrapText="0"/>
    </xf>
    <xf borderId="0" fillId="0" fontId="11" numFmtId="0" xfId="0" applyAlignment="1" applyFont="1">
      <alignment horizontal="left" readingOrder="0" shrinkToFit="0" wrapText="0"/>
    </xf>
    <xf borderId="0" fillId="0" fontId="11" numFmtId="3" xfId="0" applyAlignment="1" applyFont="1" applyNumberFormat="1">
      <alignment readingOrder="0" shrinkToFit="0" wrapText="0"/>
    </xf>
    <xf borderId="0" fillId="0" fontId="11" numFmtId="3" xfId="0" applyAlignment="1" applyFont="1" applyNumberFormat="1">
      <alignment shrinkToFit="0" wrapText="0"/>
    </xf>
    <xf borderId="7" fillId="0" fontId="6" numFmtId="3" xfId="0" applyBorder="1" applyFont="1" applyNumberFormat="1"/>
    <xf borderId="0" fillId="0" fontId="10" numFmtId="3" xfId="0" applyAlignment="1" applyFont="1" applyNumberFormat="1">
      <alignment shrinkToFit="0" wrapText="0"/>
    </xf>
    <xf borderId="8" fillId="0" fontId="6" numFmtId="0" xfId="0" applyAlignment="1" applyBorder="1" applyFont="1">
      <alignment readingOrder="0"/>
    </xf>
    <xf borderId="9" fillId="0" fontId="6" numFmtId="164" xfId="0" applyBorder="1" applyFont="1" applyNumberFormat="1"/>
    <xf borderId="10" fillId="0" fontId="6" numFmtId="164" xfId="0" applyBorder="1" applyFont="1" applyNumberFormat="1"/>
    <xf borderId="0" fillId="0" fontId="8" numFmtId="0" xfId="0" applyAlignment="1" applyFont="1">
      <alignment horizontal="left" readingOrder="0"/>
    </xf>
    <xf borderId="0" fillId="0" fontId="8" numFmtId="3" xfId="0" applyAlignment="1" applyFont="1" applyNumberFormat="1">
      <alignment horizontal="right" readingOrder="0" shrinkToFit="0" wrapText="0"/>
    </xf>
    <xf borderId="0" fillId="0" fontId="6" numFmtId="164" xfId="0" applyFont="1" applyNumberFormat="1"/>
    <xf borderId="7" fillId="0" fontId="6" numFmtId="164" xfId="0" applyBorder="1" applyFont="1" applyNumberFormat="1"/>
    <xf borderId="0" fillId="0" fontId="11" numFmtId="0" xfId="0" applyAlignment="1" applyFont="1">
      <alignment horizontal="left" readingOrder="0"/>
    </xf>
    <xf borderId="0" fillId="0" fontId="12" numFmtId="1" xfId="0" applyAlignment="1" applyFont="1" applyNumberFormat="1">
      <alignment shrinkToFit="0" wrapText="0"/>
    </xf>
    <xf borderId="0" fillId="0" fontId="12" numFmtId="1" xfId="0" applyAlignment="1" applyFont="1" applyNumberFormat="1">
      <alignment readingOrder="0" shrinkToFit="0" wrapText="0"/>
    </xf>
    <xf borderId="11" fillId="0" fontId="6" numFmtId="0" xfId="0" applyAlignment="1" applyBorder="1" applyFont="1">
      <alignment readingOrder="0"/>
    </xf>
    <xf borderId="1" fillId="0" fontId="6" numFmtId="164" xfId="0" applyBorder="1" applyFont="1" applyNumberFormat="1"/>
    <xf borderId="12" fillId="0" fontId="6" numFmtId="164" xfId="0" applyBorder="1" applyFont="1" applyNumberFormat="1"/>
    <xf borderId="2" fillId="0" fontId="13" numFmtId="0" xfId="0" applyAlignment="1" applyBorder="1" applyFont="1">
      <alignment horizontal="left" readingOrder="0" shrinkToFit="0" wrapText="0"/>
    </xf>
    <xf borderId="3" fillId="0" fontId="13" numFmtId="3" xfId="0" applyBorder="1" applyFont="1" applyNumberFormat="1"/>
    <xf borderId="4" fillId="0" fontId="13" numFmtId="3" xfId="0" applyBorder="1" applyFont="1" applyNumberFormat="1"/>
    <xf borderId="2" fillId="0" fontId="14" numFmtId="0" xfId="0" applyAlignment="1" applyBorder="1" applyFont="1">
      <alignment readingOrder="0"/>
    </xf>
    <xf borderId="2" fillId="0" fontId="6" numFmtId="0" xfId="0" applyAlignment="1" applyBorder="1" applyFont="1">
      <alignment readingOrder="0"/>
    </xf>
    <xf borderId="3" fillId="0" fontId="6" numFmtId="0" xfId="0" applyBorder="1" applyFont="1"/>
    <xf borderId="4" fillId="0" fontId="6" numFmtId="0" xfId="0" applyBorder="1" applyFont="1"/>
    <xf borderId="0" fillId="0" fontId="6" numFmtId="10" xfId="0" applyFont="1" applyNumberFormat="1"/>
    <xf borderId="7" fillId="0" fontId="6" numFmtId="10" xfId="0" applyBorder="1" applyFont="1" applyNumberFormat="1"/>
    <xf borderId="0" fillId="0" fontId="10" numFmtId="3" xfId="0" applyAlignment="1" applyFont="1" applyNumberFormat="1">
      <alignment readingOrder="0" shrinkToFit="0" wrapText="0"/>
    </xf>
    <xf borderId="9" fillId="0" fontId="6" numFmtId="10" xfId="0" applyBorder="1" applyFont="1" applyNumberFormat="1"/>
    <xf borderId="10" fillId="0" fontId="6" numFmtId="10" xfId="0" applyBorder="1" applyFont="1" applyNumberFormat="1"/>
    <xf borderId="1" fillId="0" fontId="6" numFmtId="10" xfId="0" applyBorder="1" applyFont="1" applyNumberFormat="1"/>
    <xf borderId="12" fillId="0" fontId="6" numFmtId="10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Продажи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'Отчетность для анализа (стейки)'!$A$3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'Отчетность для анализа (стейки)'!$B$2:$F$2</c:f>
            </c:strRef>
          </c:cat>
          <c:val>
            <c:numRef>
              <c:f>'Отчетность для анализа (стейки)'!$B$3:$F$3</c:f>
              <c:numCache/>
            </c:numRef>
          </c:val>
        </c:ser>
        <c:axId val="1248433125"/>
        <c:axId val="1351169049"/>
      </c:barChart>
      <c:catAx>
        <c:axId val="12484331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1169049"/>
      </c:catAx>
      <c:valAx>
        <c:axId val="13511690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8433125"/>
      </c:valAx>
      <c:lineChart>
        <c:varyColors val="0"/>
        <c:ser>
          <c:idx val="1"/>
          <c:order val="1"/>
          <c:tx>
            <c:strRef>
              <c:f>'Отчетность для анализа (стейки)'!$A$4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'Отчетность для анализа (стейки)'!$B$2:$F$2</c:f>
            </c:strRef>
          </c:cat>
          <c:val>
            <c:numRef>
              <c:f>'Отчетность для анализа (стейки)'!$B$4:$F$4</c:f>
              <c:numCache/>
            </c:numRef>
          </c:val>
          <c:smooth val="0"/>
        </c:ser>
        <c:axId val="1522583268"/>
        <c:axId val="1364190139"/>
      </c:lineChart>
      <c:catAx>
        <c:axId val="15225832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4190139"/>
      </c:catAx>
      <c:valAx>
        <c:axId val="136419013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258326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CAC каналов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'Анализ каналов привлечения'!$H$9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'Анализ каналов привлечения'!$I$1:$M$1</c:f>
            </c:strRef>
          </c:cat>
          <c:val>
            <c:numRef>
              <c:f>'Анализ каналов привлечения'!$I$9:$M$9</c:f>
              <c:numCache/>
            </c:numRef>
          </c:val>
        </c:ser>
        <c:axId val="1106253052"/>
        <c:axId val="949741751"/>
      </c:barChart>
      <c:lineChart>
        <c:ser>
          <c:idx val="1"/>
          <c:order val="1"/>
          <c:tx>
            <c:strRef>
              <c:f>'Анализ каналов привлечения'!$H$6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'Анализ каналов привлечения'!$I$1:$M$1</c:f>
            </c:strRef>
          </c:cat>
          <c:val>
            <c:numRef>
              <c:f>'Анализ каналов привлечения'!$I$6:$M$6</c:f>
              <c:numCache/>
            </c:numRef>
          </c:val>
          <c:smooth val="0"/>
        </c:ser>
        <c:ser>
          <c:idx val="2"/>
          <c:order val="2"/>
          <c:tx>
            <c:strRef>
              <c:f>'Анализ каналов привлечения'!$H$7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'Анализ каналов привлечения'!$I$1:$M$1</c:f>
            </c:strRef>
          </c:cat>
          <c:val>
            <c:numRef>
              <c:f>'Анализ каналов привлечения'!$I$7:$M$7</c:f>
              <c:numCache/>
            </c:numRef>
          </c:val>
          <c:smooth val="0"/>
        </c:ser>
        <c:ser>
          <c:idx val="3"/>
          <c:order val="3"/>
          <c:tx>
            <c:strRef>
              <c:f>'Анализ каналов привлечения'!$H$8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'Анализ каналов привлечения'!$I$1:$M$1</c:f>
            </c:strRef>
          </c:cat>
          <c:val>
            <c:numRef>
              <c:f>'Анализ каналов привлечения'!$I$8:$M$8</c:f>
              <c:numCache/>
            </c:numRef>
          </c:val>
          <c:smooth val="0"/>
        </c:ser>
        <c:axId val="1106253052"/>
        <c:axId val="949741751"/>
      </c:lineChart>
      <c:catAx>
        <c:axId val="11062530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Месяц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9741751"/>
      </c:catAx>
      <c:valAx>
        <c:axId val="9497417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Стоимость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62530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657225</xdr:colOff>
      <xdr:row>0</xdr:row>
      <xdr:rowOff>200025</xdr:rowOff>
    </xdr:from>
    <xdr:ext cx="4562475" cy="229552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838200</xdr:colOff>
      <xdr:row>0</xdr:row>
      <xdr:rowOff>0</xdr:rowOff>
    </xdr:from>
    <xdr:ext cx="5715000" cy="52482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Софья Зименкова" id="{ff40619c-8eb5-4b4b-b952-0202cbf58a5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60" dT="2026-04-12T19:34:35.00" personId="{ff40619c-8eb5-4b4b-b952-0202cbf58a5f}" id="{376fb18b-5349-4298-a98f-8099108ba16b}" done="0">
    <x18tc:text xml:space="preserve">количество заказов увеличилось в 2 раза, а стоимость курьерских услуг в 4, почему подорожала доставка?</x18tc:text>
  </x18tc:threadedComment>
  <x18tc:threadedComment ref="G48" dT="2026-04-12T20:23:53.00" personId="{ff40619c-8eb5-4b4b-b952-0202cbf58a5f}" id="{b3464fd8-a7e4-4021-8114-3a99a9f9bca3}" done="0">
    <x18tc:text xml:space="preserve">почему Петров зарабротал в 2 раза больше денег в январе?</x18tc:text>
  </x18tc:threadedComment>
  <x18tc:threadedComment ref="G39" dT="2026-04-12T19:35:21.00" personId="{ff40619c-8eb5-4b4b-b952-0202cbf58a5f}" id="{adc53115-6db5-499e-878c-811b7415770c}" done="0">
    <x18tc:text xml:space="preserve">что произошло в январе с представительскими?</x18tc:text>
  </x18tc:threadedComment>
  <x18tc:threadedComment ref="G7" dT="2026-04-12T19:00:34.00" personId="{ff40619c-8eb5-4b4b-b952-0202cbf58a5f}" id="{1c3bb406-2ff2-4b49-9c5f-370b4cb791b0}" done="0">
    <x18tc:text xml:space="preserve">что случилось с показами в октябре? почему, в отличие от яндекса и tg ads, так упали метрики в январе?</x18tc:text>
  </x18tc:threadedComment>
  <x18tc:threadedComment ref="G21" dT="2026-04-12T19:01:52.00" personId="{ff40619c-8eb5-4b4b-b952-0202cbf58a5f}" id="{b8ff31e3-1439-484c-adbe-bb4eaee274d3}" done="0">
    <x18tc:text xml:space="preserve">затраты растут, но и оплат по этому каналу больше, чем по остальным. очень не хватает CAC в отчете, чтобы сделать выводы.</x18tc:text>
  </x18tc:threadedComment>
  <x18tc:threadedComment ref="G49" dT="2026-04-12T19:29:58.00" personId="{ff40619c-8eb5-4b4b-b952-0202cbf58a5f}" id="{d3bdcb27-1826-4093-9168-6271ac5d1a14}" done="0">
    <x18tc:text xml:space="preserve">админ. директор переработал в декабре?</x18tc:text>
  </x18tc:threadedComment>
  <x18tc:threadedComment ref="G3" dT="2026-04-12T19:04:10.00" personId="{ff40619c-8eb5-4b4b-b952-0202cbf58a5f}" id="{6a2219ad-6e83-4ea3-89ae-8c74d74106ef}" done="0">
    <x18tc:text xml:space="preserve">для многих магазинов рост продаж в декабре и падение в январе это нормально, но стоит все равно уточнить, с чем именно связаны такие различия в числах. каждый год так или только в этот? у нас есть новогодние скидки и акции, чтобы подогревать интерес покупателей к новому году?</x18tc:text>
  </x18tc:threadedComment>
  <x18tc:threadedComment ref="G50" dT="2026-04-12T19:30:12.00" personId="{ff40619c-8eb5-4b4b-b952-0202cbf58a5f}" id="{9c6c0925-8e18-40bc-9198-4bad2e2b41ab}" done="0">
    <x18tc:text xml:space="preserve">новогодняя акция в декабре?</x18tc:text>
  </x18tc:threadedComment>
  <x18tc:threadedComment ref="G29" dT="2026-04-12T19:05:39.00" personId="{ff40619c-8eb5-4b4b-b952-0202cbf58a5f}" id="{8900f729-0b24-4d2e-91d4-ee70a4373d4d}" done="0">
    <x18tc:text xml:space="preserve">не хватает детализации. что отражают эти числа, оплаты? при каких затратах, показах, визитах, заявках получены эти оплаты?</x18tc:text>
  </x18tc:threadedComment>
  <x18tc:threadedComment ref="G14" dT="2026-04-12T18:59:34.00" personId="{ff40619c-8eb5-4b4b-b952-0202cbf58a5f}" id="{ce58548d-92af-4727-9962-f3b883a0d4ea}" done="0">
    <x18tc:text xml:space="preserve">отлично, что смогли снизить затраты без потери эффективности рекламы. что для этого сделали? можно ли применить ту же технологию для других каналов?</x18tc:text>
  </x18tc:threadedComment>
  <x18tc:threadedComment ref="G55" dT="2026-04-12T19:31:03.00" personId="{ff40619c-8eb5-4b4b-b952-0202cbf58a5f}" id="{a1efd23b-b101-42f7-8540-9bbd718a089b}" done="0">
    <x18tc:text xml:space="preserve">что за ИТ-услуги? почему в декабре, когда для маркетинговых мероприятий по максимуму вложились, сумма по ИТ-услугам 0?</x18tc:text>
  </x18tc:threadedComment>
  <x18tc:threadedComment ref="G47" dT="2026-04-12T19:06:50.00" personId="{ff40619c-8eb5-4b4b-b952-0202cbf58a5f}" id="{7567243b-5f2d-4013-be3f-3f77500f15e9}" done="0">
    <x18tc:text xml:space="preserve">в сумму попали ИТ-услуги, поэтому ФОТ рассчитывается неверно.</x18tc:text>
  </x18tc:threadedComment>
  <x18tc:threadedComment ref="G59" dT="2026-04-12T19:32:01.00" personId="{ff40619c-8eb5-4b4b-b952-0202cbf58a5f}" id="{5e64ff32-c7b1-4383-a0dc-3698ac2bca0e}" done="0">
    <x18tc:text xml:space="preserve">что произошло в ноябре? подготовка к декабрю или разовая "случайная" закупка?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5" dT="2026-04-12T19:16:15.00" personId="{ff40619c-8eb5-4b4b-b952-0202cbf58a5f}" id="{be707a69-5e09-44f4-ac91-5fd38b118bde}" done="0">
    <x18tc:text xml:space="preserve">что же это за прочие такие?!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9" max="13" width="1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/>
    </row>
    <row r="3">
      <c r="A3" s="1" t="s">
        <v>6</v>
      </c>
      <c r="B3" s="6">
        <v>125.0</v>
      </c>
      <c r="C3" s="6">
        <v>145.0</v>
      </c>
      <c r="D3" s="6">
        <v>155.0</v>
      </c>
      <c r="E3" s="6">
        <v>232.0</v>
      </c>
      <c r="F3" s="6">
        <v>131.0</v>
      </c>
      <c r="G3" s="6" t="s">
        <v>7</v>
      </c>
    </row>
    <row r="4">
      <c r="A4" s="7" t="s">
        <v>8</v>
      </c>
      <c r="B4" s="8">
        <v>24350.0</v>
      </c>
      <c r="C4" s="8">
        <v>22891.0</v>
      </c>
      <c r="D4" s="8">
        <v>28957.0</v>
      </c>
      <c r="E4" s="8">
        <v>35930.0</v>
      </c>
      <c r="F4" s="8">
        <v>21359.0</v>
      </c>
      <c r="G4" s="9"/>
    </row>
    <row r="5">
      <c r="A5" s="7" t="s">
        <v>9</v>
      </c>
      <c r="B5" s="8">
        <v>3043750.0</v>
      </c>
      <c r="C5" s="8">
        <v>3319195.0</v>
      </c>
      <c r="D5" s="8">
        <v>4488335.0</v>
      </c>
      <c r="E5" s="8">
        <v>8335760.0</v>
      </c>
      <c r="F5" s="8">
        <v>2798029.0</v>
      </c>
      <c r="G5" s="9"/>
    </row>
    <row r="6">
      <c r="A6" s="3" t="s">
        <v>0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  <c r="G6" s="10"/>
    </row>
    <row r="7">
      <c r="A7" s="11" t="s">
        <v>10</v>
      </c>
      <c r="B7" s="12">
        <v>230116.0</v>
      </c>
      <c r="C7" s="12">
        <v>225674.0</v>
      </c>
      <c r="D7" s="12">
        <v>229221.0</v>
      </c>
      <c r="E7" s="12">
        <v>252767.0</v>
      </c>
      <c r="F7" s="12">
        <v>192095.0</v>
      </c>
      <c r="G7" s="6" t="s">
        <v>7</v>
      </c>
    </row>
    <row r="8">
      <c r="A8" s="13" t="s">
        <v>11</v>
      </c>
      <c r="B8" s="14">
        <v>474422.72727272724</v>
      </c>
      <c r="C8" s="14">
        <v>269129.5454545454</v>
      </c>
      <c r="D8" s="15">
        <v>445985.0</v>
      </c>
      <c r="E8" s="15">
        <v>543840.909090909</v>
      </c>
      <c r="F8" s="15">
        <v>306150.454545455</v>
      </c>
      <c r="G8" s="6"/>
    </row>
    <row r="9">
      <c r="A9" s="13" t="s">
        <v>12</v>
      </c>
      <c r="B9" s="15">
        <v>12359.0</v>
      </c>
      <c r="C9" s="15">
        <v>6842.0</v>
      </c>
      <c r="D9" s="15">
        <v>10055.0</v>
      </c>
      <c r="E9" s="15">
        <v>11602.0</v>
      </c>
      <c r="F9" s="15">
        <v>4771.0</v>
      </c>
      <c r="G9" s="6"/>
    </row>
    <row r="10">
      <c r="A10" s="13" t="s">
        <v>13</v>
      </c>
      <c r="B10" s="15">
        <v>94.0</v>
      </c>
      <c r="C10" s="15">
        <v>91.0</v>
      </c>
      <c r="D10" s="15">
        <v>68.0</v>
      </c>
      <c r="E10" s="15">
        <v>86.0</v>
      </c>
      <c r="F10" s="15">
        <v>44.0</v>
      </c>
      <c r="G10" s="6"/>
    </row>
    <row r="11">
      <c r="A11" s="13" t="s">
        <v>14</v>
      </c>
      <c r="B11" s="15">
        <v>33.0</v>
      </c>
      <c r="C11" s="15">
        <v>35.0</v>
      </c>
      <c r="D11" s="15">
        <v>28.0</v>
      </c>
      <c r="E11" s="15">
        <v>30.0</v>
      </c>
      <c r="F11" s="15">
        <v>14.0</v>
      </c>
      <c r="G11" s="6"/>
    </row>
    <row r="12">
      <c r="A12" s="13"/>
      <c r="B12" s="15"/>
      <c r="C12" s="15"/>
      <c r="D12" s="15"/>
      <c r="E12" s="15"/>
      <c r="F12" s="15"/>
      <c r="G12" s="6"/>
    </row>
    <row r="13">
      <c r="A13" s="3" t="s">
        <v>0</v>
      </c>
      <c r="B13" s="4" t="s">
        <v>1</v>
      </c>
      <c r="C13" s="4" t="s">
        <v>2</v>
      </c>
      <c r="D13" s="4" t="s">
        <v>3</v>
      </c>
      <c r="E13" s="4" t="s">
        <v>4</v>
      </c>
      <c r="F13" s="4" t="s">
        <v>5</v>
      </c>
      <c r="G13" s="6"/>
    </row>
    <row r="14">
      <c r="A14" s="11" t="s">
        <v>15</v>
      </c>
      <c r="B14" s="16">
        <v>373200.0</v>
      </c>
      <c r="C14" s="16">
        <v>294404.0</v>
      </c>
      <c r="D14" s="16">
        <v>205043.0</v>
      </c>
      <c r="E14" s="16">
        <v>238598.0</v>
      </c>
      <c r="F14" s="16">
        <v>213589.0</v>
      </c>
      <c r="G14" s="6" t="s">
        <v>7</v>
      </c>
    </row>
    <row r="15">
      <c r="A15" s="13" t="s">
        <v>11</v>
      </c>
      <c r="B15" s="14">
        <v>127971.81818181818</v>
      </c>
      <c r="C15" s="14">
        <v>189723.1818181818</v>
      </c>
      <c r="D15" s="14">
        <v>144687.2727272727</v>
      </c>
      <c r="E15" s="14">
        <v>132678.1818181818</v>
      </c>
      <c r="F15" s="14">
        <v>181818.1818181818</v>
      </c>
      <c r="G15" s="6"/>
    </row>
    <row r="16">
      <c r="A16" s="13" t="s">
        <v>12</v>
      </c>
      <c r="B16" s="15">
        <v>3054.0</v>
      </c>
      <c r="C16" s="15">
        <v>3885.0</v>
      </c>
      <c r="D16" s="15">
        <v>3698.0</v>
      </c>
      <c r="E16" s="15">
        <v>4867.0</v>
      </c>
      <c r="F16" s="15">
        <v>4169.0</v>
      </c>
      <c r="G16" s="6"/>
    </row>
    <row r="17">
      <c r="A17" s="13" t="s">
        <v>13</v>
      </c>
      <c r="B17" s="14">
        <v>79.0</v>
      </c>
      <c r="C17" s="14">
        <v>124.0</v>
      </c>
      <c r="D17" s="14">
        <v>138.0</v>
      </c>
      <c r="E17" s="14">
        <v>121.0</v>
      </c>
      <c r="F17" s="14">
        <v>101.0</v>
      </c>
      <c r="G17" s="6"/>
    </row>
    <row r="18">
      <c r="A18" s="13" t="s">
        <v>14</v>
      </c>
      <c r="B18" s="15">
        <v>22.0</v>
      </c>
      <c r="C18" s="15">
        <v>18.0</v>
      </c>
      <c r="D18" s="15">
        <v>28.0</v>
      </c>
      <c r="E18" s="15">
        <v>39.0</v>
      </c>
      <c r="F18" s="15">
        <v>22.0</v>
      </c>
      <c r="G18" s="6"/>
    </row>
    <row r="19">
      <c r="A19" s="13"/>
      <c r="B19" s="15"/>
      <c r="C19" s="15"/>
      <c r="D19" s="15"/>
      <c r="E19" s="15"/>
      <c r="F19" s="15"/>
      <c r="G19" s="6"/>
    </row>
    <row r="20">
      <c r="A20" s="3" t="s">
        <v>0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  <c r="G20" s="6"/>
    </row>
    <row r="21">
      <c r="A21" s="11" t="s">
        <v>16</v>
      </c>
      <c r="B21" s="16">
        <v>137507.0</v>
      </c>
      <c r="C21" s="16">
        <v>145921.0</v>
      </c>
      <c r="D21" s="16">
        <v>175313.0</v>
      </c>
      <c r="E21" s="16">
        <v>190234.0</v>
      </c>
      <c r="F21" s="16">
        <v>180927.0</v>
      </c>
      <c r="G21" s="6" t="s">
        <v>7</v>
      </c>
    </row>
    <row r="22">
      <c r="A22" s="13" t="s">
        <v>11</v>
      </c>
      <c r="B22" s="14">
        <v>127971.81818181818</v>
      </c>
      <c r="C22" s="14">
        <v>189723.1818181818</v>
      </c>
      <c r="D22" s="14">
        <v>144687.2727272727</v>
      </c>
      <c r="E22" s="14">
        <v>132678.1818181818</v>
      </c>
      <c r="F22" s="14">
        <v>181818.1818181818</v>
      </c>
      <c r="G22" s="6" t="s">
        <v>17</v>
      </c>
      <c r="H22" s="17" t="s">
        <v>18</v>
      </c>
    </row>
    <row r="23">
      <c r="A23" s="13" t="s">
        <v>12</v>
      </c>
      <c r="B23" s="15">
        <v>2554.0</v>
      </c>
      <c r="C23" s="15">
        <v>3485.0</v>
      </c>
      <c r="D23" s="15">
        <v>3387.0</v>
      </c>
      <c r="E23" s="15">
        <v>4032.0</v>
      </c>
      <c r="F23" s="15">
        <v>4411.0</v>
      </c>
      <c r="G23" s="6"/>
    </row>
    <row r="24">
      <c r="A24" s="13" t="s">
        <v>13</v>
      </c>
      <c r="B24" s="14">
        <v>79.0</v>
      </c>
      <c r="C24" s="14">
        <v>124.0</v>
      </c>
      <c r="D24" s="14">
        <v>138.0</v>
      </c>
      <c r="E24" s="14">
        <v>121.0</v>
      </c>
      <c r="F24" s="14">
        <v>101.0</v>
      </c>
      <c r="G24" s="6" t="s">
        <v>19</v>
      </c>
    </row>
    <row r="25">
      <c r="A25" s="13" t="s">
        <v>14</v>
      </c>
      <c r="B25" s="15">
        <v>32.0</v>
      </c>
      <c r="C25" s="15">
        <v>35.0</v>
      </c>
      <c r="D25" s="15">
        <v>48.0</v>
      </c>
      <c r="E25" s="15">
        <v>69.0</v>
      </c>
      <c r="F25" s="15">
        <v>60.0</v>
      </c>
      <c r="G25" s="6"/>
    </row>
    <row r="26">
      <c r="A26" s="13"/>
      <c r="B26" s="15"/>
      <c r="C26" s="15"/>
      <c r="D26" s="15"/>
      <c r="E26" s="15"/>
      <c r="F26" s="15"/>
      <c r="G26" s="6"/>
    </row>
    <row r="27">
      <c r="A27" s="11"/>
      <c r="B27" s="16"/>
      <c r="C27" s="16"/>
      <c r="D27" s="16"/>
      <c r="E27" s="16"/>
      <c r="F27" s="16"/>
      <c r="G27" s="6"/>
    </row>
    <row r="28">
      <c r="A28" s="11"/>
      <c r="B28" s="16"/>
      <c r="C28" s="16"/>
      <c r="D28" s="16"/>
      <c r="E28" s="16"/>
      <c r="F28" s="16"/>
      <c r="G28" s="6"/>
    </row>
    <row r="29">
      <c r="A29" s="11" t="s">
        <v>20</v>
      </c>
      <c r="B29" s="16">
        <v>38.0</v>
      </c>
      <c r="C29" s="16">
        <v>57.0</v>
      </c>
      <c r="D29" s="16">
        <v>51.0</v>
      </c>
      <c r="E29" s="16">
        <v>94.0</v>
      </c>
      <c r="F29" s="16">
        <v>35.0</v>
      </c>
      <c r="G29" s="6" t="s">
        <v>7</v>
      </c>
    </row>
    <row r="30">
      <c r="K30" s="18" t="s">
        <v>21</v>
      </c>
    </row>
    <row r="31">
      <c r="A31" s="19" t="s">
        <v>22</v>
      </c>
      <c r="B31" s="20"/>
      <c r="C31" s="21"/>
      <c r="D31" s="21"/>
      <c r="E31" s="21"/>
      <c r="F31" s="21"/>
      <c r="G31" s="21"/>
      <c r="K31" s="19" t="s">
        <v>22</v>
      </c>
      <c r="L31" s="20"/>
      <c r="M31" s="21"/>
      <c r="N31" s="21"/>
      <c r="O31" s="21"/>
      <c r="P31" s="21"/>
      <c r="Q31" s="21"/>
    </row>
    <row r="32">
      <c r="A32" s="11" t="s">
        <v>23</v>
      </c>
      <c r="B32" s="16">
        <f t="shared" ref="B32:F32" si="1">B5</f>
        <v>3043750</v>
      </c>
      <c r="C32" s="16">
        <f t="shared" si="1"/>
        <v>3319195</v>
      </c>
      <c r="D32" s="16">
        <f t="shared" si="1"/>
        <v>4488335</v>
      </c>
      <c r="E32" s="16">
        <f t="shared" si="1"/>
        <v>8335760</v>
      </c>
      <c r="F32" s="16">
        <f t="shared" si="1"/>
        <v>2798029</v>
      </c>
      <c r="G32" s="6"/>
      <c r="K32" s="11" t="s">
        <v>23</v>
      </c>
      <c r="L32" s="16">
        <f t="shared" ref="L32:P32" si="2">B5</f>
        <v>3043750</v>
      </c>
      <c r="M32" s="16">
        <f t="shared" si="2"/>
        <v>3319195</v>
      </c>
      <c r="N32" s="16">
        <f t="shared" si="2"/>
        <v>4488335</v>
      </c>
      <c r="O32" s="16">
        <f t="shared" si="2"/>
        <v>8335760</v>
      </c>
      <c r="P32" s="16">
        <f t="shared" si="2"/>
        <v>2798029</v>
      </c>
      <c r="Q32" s="6"/>
    </row>
    <row r="33">
      <c r="A33" s="11" t="s">
        <v>24</v>
      </c>
      <c r="B33" s="8">
        <v>770438.7795937675</v>
      </c>
      <c r="C33" s="8">
        <v>948443.1953013332</v>
      </c>
      <c r="D33" s="8">
        <v>1217087.203692199</v>
      </c>
      <c r="E33" s="8">
        <v>2854272.8681413475</v>
      </c>
      <c r="F33" s="8">
        <v>980031.8603401291</v>
      </c>
      <c r="G33" s="8"/>
      <c r="K33" s="11" t="s">
        <v>24</v>
      </c>
      <c r="L33" s="8">
        <v>770438.7795937675</v>
      </c>
      <c r="M33" s="8">
        <v>948443.1953013332</v>
      </c>
      <c r="N33" s="8">
        <v>1217087.203692199</v>
      </c>
      <c r="O33" s="8">
        <v>2854272.8681413475</v>
      </c>
      <c r="P33" s="8">
        <v>980031.8603401291</v>
      </c>
      <c r="Q33" s="8"/>
    </row>
    <row r="34">
      <c r="A34" s="11" t="s">
        <v>25</v>
      </c>
      <c r="B34" s="6">
        <f t="shared" ref="B34:F34" si="3">B32-B33</f>
        <v>2273311.22</v>
      </c>
      <c r="C34" s="6">
        <f t="shared" si="3"/>
        <v>2370751.805</v>
      </c>
      <c r="D34" s="6">
        <f t="shared" si="3"/>
        <v>3271247.796</v>
      </c>
      <c r="E34" s="6">
        <f t="shared" si="3"/>
        <v>5481487.132</v>
      </c>
      <c r="F34" s="6">
        <f t="shared" si="3"/>
        <v>1817997.14</v>
      </c>
      <c r="G34" s="6"/>
      <c r="K34" s="11" t="s">
        <v>25</v>
      </c>
      <c r="L34" s="6">
        <f t="shared" ref="L34:P34" si="4">L32-L33</f>
        <v>2273311.22</v>
      </c>
      <c r="M34" s="6">
        <f t="shared" si="4"/>
        <v>2370751.805</v>
      </c>
      <c r="N34" s="6">
        <f t="shared" si="4"/>
        <v>3271247.796</v>
      </c>
      <c r="O34" s="6">
        <f t="shared" si="4"/>
        <v>5481487.132</v>
      </c>
      <c r="P34" s="6">
        <f t="shared" si="4"/>
        <v>1817997.14</v>
      </c>
      <c r="Q34" s="6"/>
    </row>
    <row r="35">
      <c r="A35" s="22"/>
      <c r="B35" s="23"/>
      <c r="C35" s="23"/>
      <c r="D35" s="23"/>
      <c r="E35" s="23"/>
      <c r="F35" s="23"/>
      <c r="G35" s="24"/>
      <c r="K35" s="22"/>
      <c r="L35" s="23"/>
      <c r="M35" s="23"/>
      <c r="N35" s="23"/>
      <c r="O35" s="23"/>
      <c r="P35" s="23"/>
      <c r="Q35" s="24"/>
    </row>
    <row r="36">
      <c r="A36" s="25" t="s">
        <v>26</v>
      </c>
      <c r="B36" s="26">
        <f t="shared" ref="B36:F36" si="5">B37+B40+B47+SUM(B55:B63)</f>
        <v>2084133.097</v>
      </c>
      <c r="C36" s="26">
        <f t="shared" si="5"/>
        <v>2135501.587</v>
      </c>
      <c r="D36" s="26">
        <f t="shared" si="5"/>
        <v>2630155.585</v>
      </c>
      <c r="E36" s="26">
        <f t="shared" si="5"/>
        <v>3145814.831</v>
      </c>
      <c r="F36" s="27">
        <f t="shared" si="5"/>
        <v>2596788.64</v>
      </c>
      <c r="G36" s="6"/>
      <c r="K36" s="25" t="s">
        <v>26</v>
      </c>
      <c r="L36" s="26">
        <f t="shared" ref="L36:P36" si="6">L37+L40+L47+SUM(L55:L63)</f>
        <v>2025033.097</v>
      </c>
      <c r="M36" s="26">
        <f t="shared" si="6"/>
        <v>2067301.587</v>
      </c>
      <c r="N36" s="26">
        <f t="shared" si="6"/>
        <v>2616155.585</v>
      </c>
      <c r="O36" s="26">
        <f t="shared" si="6"/>
        <v>3145814.831</v>
      </c>
      <c r="P36" s="27">
        <f t="shared" si="6"/>
        <v>2571788.64</v>
      </c>
      <c r="Q36" s="6"/>
    </row>
    <row r="37">
      <c r="A37" s="25" t="s">
        <v>27</v>
      </c>
      <c r="B37" s="28">
        <f t="shared" ref="B37:F37" si="7">B38+B39</f>
        <v>45642.2</v>
      </c>
      <c r="C37" s="28">
        <f t="shared" si="7"/>
        <v>24345</v>
      </c>
      <c r="D37" s="28">
        <f t="shared" si="7"/>
        <v>13376.8</v>
      </c>
      <c r="E37" s="28">
        <f t="shared" si="7"/>
        <v>79895</v>
      </c>
      <c r="F37" s="29">
        <f t="shared" si="7"/>
        <v>74740</v>
      </c>
      <c r="G37" s="12"/>
      <c r="K37" s="25" t="s">
        <v>27</v>
      </c>
      <c r="L37" s="28">
        <f t="shared" ref="L37:P37" si="8">L38+L39</f>
        <v>45642.2</v>
      </c>
      <c r="M37" s="28">
        <f t="shared" si="8"/>
        <v>24345</v>
      </c>
      <c r="N37" s="28">
        <f t="shared" si="8"/>
        <v>13376.8</v>
      </c>
      <c r="O37" s="28">
        <f t="shared" si="8"/>
        <v>79895</v>
      </c>
      <c r="P37" s="29">
        <f t="shared" si="8"/>
        <v>74740</v>
      </c>
      <c r="Q37" s="12"/>
    </row>
    <row r="38">
      <c r="A38" s="13" t="s">
        <v>28</v>
      </c>
      <c r="B38" s="30">
        <v>34302.2</v>
      </c>
      <c r="C38" s="30">
        <v>24345.0</v>
      </c>
      <c r="D38" s="30">
        <v>13376.8</v>
      </c>
      <c r="E38" s="30">
        <v>40095.0</v>
      </c>
      <c r="F38" s="30">
        <v>18940.0</v>
      </c>
      <c r="G38" s="30"/>
      <c r="K38" s="13" t="s">
        <v>28</v>
      </c>
      <c r="L38" s="30">
        <v>34302.2</v>
      </c>
      <c r="M38" s="30">
        <v>24345.0</v>
      </c>
      <c r="N38" s="30">
        <v>13376.8</v>
      </c>
      <c r="O38" s="30">
        <v>40095.0</v>
      </c>
      <c r="P38" s="30">
        <v>18940.0</v>
      </c>
      <c r="Q38" s="30"/>
    </row>
    <row r="39">
      <c r="A39" s="13" t="s">
        <v>29</v>
      </c>
      <c r="B39" s="30">
        <v>11340.0</v>
      </c>
      <c r="C39" s="30">
        <v>0.0</v>
      </c>
      <c r="D39" s="30">
        <v>0.0</v>
      </c>
      <c r="E39" s="30">
        <v>39800.0</v>
      </c>
      <c r="F39" s="30">
        <v>55800.0</v>
      </c>
      <c r="G39" s="12" t="s">
        <v>7</v>
      </c>
      <c r="K39" s="13" t="s">
        <v>29</v>
      </c>
      <c r="L39" s="30">
        <v>11340.0</v>
      </c>
      <c r="M39" s="30">
        <v>0.0</v>
      </c>
      <c r="N39" s="30">
        <v>0.0</v>
      </c>
      <c r="O39" s="30">
        <v>39800.0</v>
      </c>
      <c r="P39" s="30">
        <v>55800.0</v>
      </c>
      <c r="Q39" s="30"/>
    </row>
    <row r="40">
      <c r="A40" s="31" t="s">
        <v>30</v>
      </c>
      <c r="B40" s="28">
        <f t="shared" ref="B40:F40" si="9">SUM(B41:B46)</f>
        <v>870006</v>
      </c>
      <c r="C40" s="28">
        <f t="shared" si="9"/>
        <v>830799</v>
      </c>
      <c r="D40" s="28">
        <f t="shared" si="9"/>
        <v>936777</v>
      </c>
      <c r="E40" s="28">
        <f t="shared" si="9"/>
        <v>955499</v>
      </c>
      <c r="F40" s="29">
        <f t="shared" si="9"/>
        <v>796361</v>
      </c>
      <c r="G40" s="12"/>
      <c r="K40" s="31" t="s">
        <v>30</v>
      </c>
      <c r="L40" s="28">
        <f t="shared" ref="L40:P40" si="10">SUM(L41:L46)</f>
        <v>870006</v>
      </c>
      <c r="M40" s="28">
        <f t="shared" si="10"/>
        <v>830799</v>
      </c>
      <c r="N40" s="28">
        <f t="shared" si="10"/>
        <v>936777</v>
      </c>
      <c r="O40" s="28">
        <f t="shared" si="10"/>
        <v>955499</v>
      </c>
      <c r="P40" s="29">
        <f t="shared" si="10"/>
        <v>796361</v>
      </c>
      <c r="Q40" s="12"/>
    </row>
    <row r="41">
      <c r="A41" s="13" t="s">
        <v>31</v>
      </c>
      <c r="B41" s="30">
        <v>230116.0</v>
      </c>
      <c r="C41" s="30">
        <v>225674.0</v>
      </c>
      <c r="D41" s="30">
        <v>229221.0</v>
      </c>
      <c r="E41" s="30">
        <v>252767.0</v>
      </c>
      <c r="F41" s="30">
        <v>192095.0</v>
      </c>
      <c r="G41" s="32"/>
      <c r="K41" s="13" t="s">
        <v>31</v>
      </c>
      <c r="L41" s="30">
        <v>230116.0</v>
      </c>
      <c r="M41" s="30">
        <v>225674.0</v>
      </c>
      <c r="N41" s="30">
        <v>229221.0</v>
      </c>
      <c r="O41" s="30">
        <v>252767.0</v>
      </c>
      <c r="P41" s="30">
        <v>192095.0</v>
      </c>
      <c r="Q41" s="32"/>
    </row>
    <row r="42">
      <c r="A42" s="13" t="s">
        <v>32</v>
      </c>
      <c r="B42" s="30">
        <v>373200.0</v>
      </c>
      <c r="C42" s="30">
        <v>294404.0</v>
      </c>
      <c r="D42" s="30">
        <v>205043.0</v>
      </c>
      <c r="E42" s="30">
        <v>238598.0</v>
      </c>
      <c r="F42" s="30">
        <v>213589.0</v>
      </c>
      <c r="G42" s="32"/>
      <c r="K42" s="13" t="s">
        <v>32</v>
      </c>
      <c r="L42" s="30">
        <v>373200.0</v>
      </c>
      <c r="M42" s="30">
        <v>294404.0</v>
      </c>
      <c r="N42" s="30">
        <v>205043.0</v>
      </c>
      <c r="O42" s="30">
        <v>238598.0</v>
      </c>
      <c r="P42" s="30">
        <v>213589.0</v>
      </c>
      <c r="Q42" s="32"/>
    </row>
    <row r="43">
      <c r="A43" s="13" t="s">
        <v>33</v>
      </c>
      <c r="B43" s="30">
        <v>137507.0</v>
      </c>
      <c r="C43" s="30">
        <v>145921.0</v>
      </c>
      <c r="D43" s="30">
        <v>175313.0</v>
      </c>
      <c r="E43" s="30">
        <v>190234.0</v>
      </c>
      <c r="F43" s="30">
        <v>180927.0</v>
      </c>
      <c r="G43" s="32"/>
      <c r="K43" s="13" t="s">
        <v>33</v>
      </c>
      <c r="L43" s="30">
        <v>137507.0</v>
      </c>
      <c r="M43" s="30">
        <v>145921.0</v>
      </c>
      <c r="N43" s="30">
        <v>175313.0</v>
      </c>
      <c r="O43" s="30">
        <v>190234.0</v>
      </c>
      <c r="P43" s="30">
        <v>180927.0</v>
      </c>
      <c r="Q43" s="32"/>
    </row>
    <row r="44">
      <c r="A44" s="13" t="s">
        <v>34</v>
      </c>
      <c r="B44" s="30">
        <v>11500.0</v>
      </c>
      <c r="C44" s="30">
        <v>19800.0</v>
      </c>
      <c r="D44" s="30">
        <v>22200.0</v>
      </c>
      <c r="E44" s="30">
        <v>38900.0</v>
      </c>
      <c r="F44" s="30">
        <v>14750.0</v>
      </c>
      <c r="G44" s="9"/>
      <c r="K44" s="13" t="s">
        <v>34</v>
      </c>
      <c r="L44" s="30">
        <v>11500.0</v>
      </c>
      <c r="M44" s="30">
        <v>19800.0</v>
      </c>
      <c r="N44" s="30">
        <v>22200.0</v>
      </c>
      <c r="O44" s="30">
        <v>38900.0</v>
      </c>
      <c r="P44" s="30">
        <v>14750.0</v>
      </c>
      <c r="Q44" s="9"/>
    </row>
    <row r="45">
      <c r="A45" s="13" t="s">
        <v>35</v>
      </c>
      <c r="B45" s="30">
        <v>95000.0</v>
      </c>
      <c r="C45" s="30">
        <v>95000.0</v>
      </c>
      <c r="D45" s="30">
        <v>115000.0</v>
      </c>
      <c r="E45" s="30">
        <v>115000.0</v>
      </c>
      <c r="F45" s="30">
        <v>115000.0</v>
      </c>
      <c r="G45" s="8"/>
      <c r="K45" s="13" t="s">
        <v>35</v>
      </c>
      <c r="L45" s="30">
        <v>95000.0</v>
      </c>
      <c r="M45" s="30">
        <v>95000.0</v>
      </c>
      <c r="N45" s="30">
        <v>115000.0</v>
      </c>
      <c r="O45" s="30">
        <v>115000.0</v>
      </c>
      <c r="P45" s="30">
        <v>115000.0</v>
      </c>
      <c r="Q45" s="8"/>
    </row>
    <row r="46">
      <c r="A46" s="13" t="s">
        <v>36</v>
      </c>
      <c r="B46" s="30">
        <v>22683.0</v>
      </c>
      <c r="C46" s="30">
        <v>50000.0</v>
      </c>
      <c r="D46" s="30">
        <v>190000.0</v>
      </c>
      <c r="E46" s="30">
        <v>120000.0</v>
      </c>
      <c r="F46" s="30">
        <v>80000.0</v>
      </c>
      <c r="G46" s="8"/>
      <c r="K46" s="13" t="s">
        <v>36</v>
      </c>
      <c r="L46" s="30">
        <v>22683.0</v>
      </c>
      <c r="M46" s="30">
        <v>50000.0</v>
      </c>
      <c r="N46" s="30">
        <v>190000.0</v>
      </c>
      <c r="O46" s="30">
        <v>120000.0</v>
      </c>
      <c r="P46" s="30">
        <v>80000.0</v>
      </c>
      <c r="Q46" s="8"/>
    </row>
    <row r="47">
      <c r="A47" s="25" t="s">
        <v>37</v>
      </c>
      <c r="B47" s="28">
        <f t="shared" ref="B47:F47" si="11">SUM(B48:B55)</f>
        <v>635485</v>
      </c>
      <c r="C47" s="28">
        <f t="shared" si="11"/>
        <v>634726.1</v>
      </c>
      <c r="D47" s="28">
        <f t="shared" si="11"/>
        <v>821930.2</v>
      </c>
      <c r="E47" s="28">
        <f t="shared" si="11"/>
        <v>1071353.5</v>
      </c>
      <c r="F47" s="29">
        <f t="shared" si="11"/>
        <v>880202.75</v>
      </c>
      <c r="G47" s="12" t="s">
        <v>7</v>
      </c>
      <c r="K47" s="25" t="s">
        <v>37</v>
      </c>
      <c r="L47" s="28">
        <f t="shared" ref="L47:P47" si="12">SUM(L48:L54)</f>
        <v>576385</v>
      </c>
      <c r="M47" s="28">
        <f t="shared" si="12"/>
        <v>566526.1</v>
      </c>
      <c r="N47" s="28">
        <f t="shared" si="12"/>
        <v>807930.2</v>
      </c>
      <c r="O47" s="28">
        <f t="shared" si="12"/>
        <v>1071353.5</v>
      </c>
      <c r="P47" s="28">
        <f t="shared" si="12"/>
        <v>855202.75</v>
      </c>
      <c r="Q47" s="12"/>
    </row>
    <row r="48">
      <c r="A48" s="13" t="s">
        <v>38</v>
      </c>
      <c r="B48" s="30"/>
      <c r="C48" s="30"/>
      <c r="D48" s="30">
        <v>150000.0</v>
      </c>
      <c r="E48" s="30">
        <v>150000.0</v>
      </c>
      <c r="F48" s="30">
        <v>300000.0</v>
      </c>
      <c r="G48" s="12" t="s">
        <v>7</v>
      </c>
      <c r="K48" s="13" t="s">
        <v>38</v>
      </c>
      <c r="L48" s="30"/>
      <c r="M48" s="30"/>
      <c r="N48" s="30">
        <v>150000.0</v>
      </c>
      <c r="O48" s="30">
        <v>150000.0</v>
      </c>
      <c r="P48" s="30">
        <v>300000.0</v>
      </c>
      <c r="Q48" s="32"/>
    </row>
    <row r="49">
      <c r="A49" s="13" t="s">
        <v>39</v>
      </c>
      <c r="B49" s="30">
        <v>145000.0</v>
      </c>
      <c r="C49" s="30">
        <v>145000.0</v>
      </c>
      <c r="D49" s="30">
        <v>145000.0</v>
      </c>
      <c r="E49" s="30">
        <v>195000.0</v>
      </c>
      <c r="F49" s="30">
        <v>145000.0</v>
      </c>
      <c r="G49" s="12" t="s">
        <v>7</v>
      </c>
      <c r="K49" s="13" t="s">
        <v>39</v>
      </c>
      <c r="L49" s="30">
        <v>145000.0</v>
      </c>
      <c r="M49" s="30">
        <v>145000.0</v>
      </c>
      <c r="N49" s="30">
        <v>145000.0</v>
      </c>
      <c r="O49" s="30">
        <v>195000.0</v>
      </c>
      <c r="P49" s="30">
        <v>145000.0</v>
      </c>
      <c r="Q49" s="32"/>
    </row>
    <row r="50">
      <c r="A50" s="13" t="s">
        <v>40</v>
      </c>
      <c r="B50" s="30">
        <v>268535.0</v>
      </c>
      <c r="C50" s="30">
        <v>282526.1</v>
      </c>
      <c r="D50" s="30">
        <v>340073.2</v>
      </c>
      <c r="E50" s="30">
        <v>513433.5</v>
      </c>
      <c r="F50" s="30">
        <v>274852.75</v>
      </c>
      <c r="G50" s="12" t="s">
        <v>7</v>
      </c>
      <c r="K50" s="13" t="s">
        <v>40</v>
      </c>
      <c r="L50" s="30">
        <v>268535.0</v>
      </c>
      <c r="M50" s="30">
        <v>282526.1</v>
      </c>
      <c r="N50" s="30">
        <v>340073.2</v>
      </c>
      <c r="O50" s="30">
        <v>513433.5</v>
      </c>
      <c r="P50" s="30">
        <v>274852.75</v>
      </c>
      <c r="Q50" s="30"/>
    </row>
    <row r="51">
      <c r="A51" s="13" t="s">
        <v>41</v>
      </c>
      <c r="B51" s="30">
        <v>47850.0</v>
      </c>
      <c r="C51" s="30">
        <v>54000.0</v>
      </c>
      <c r="D51" s="30">
        <v>57857.0</v>
      </c>
      <c r="E51" s="30">
        <v>78920.0</v>
      </c>
      <c r="F51" s="30">
        <v>50350.0</v>
      </c>
      <c r="G51" s="30"/>
      <c r="K51" s="13" t="s">
        <v>41</v>
      </c>
      <c r="L51" s="30">
        <v>47850.0</v>
      </c>
      <c r="M51" s="30">
        <v>54000.0</v>
      </c>
      <c r="N51" s="30">
        <v>57857.0</v>
      </c>
      <c r="O51" s="30">
        <v>78920.0</v>
      </c>
      <c r="P51" s="30">
        <v>50350.0</v>
      </c>
      <c r="Q51" s="30"/>
    </row>
    <row r="52">
      <c r="A52" s="13" t="s">
        <v>42</v>
      </c>
      <c r="B52" s="30">
        <v>25000.0</v>
      </c>
      <c r="C52" s="30">
        <v>25000.0</v>
      </c>
      <c r="D52" s="30">
        <v>25000.0</v>
      </c>
      <c r="E52" s="30">
        <v>34000.0</v>
      </c>
      <c r="F52" s="30">
        <v>25000.0</v>
      </c>
      <c r="G52" s="32"/>
      <c r="K52" s="13" t="s">
        <v>42</v>
      </c>
      <c r="L52" s="30">
        <v>25000.0</v>
      </c>
      <c r="M52" s="30">
        <v>25000.0</v>
      </c>
      <c r="N52" s="30">
        <v>25000.0</v>
      </c>
      <c r="O52" s="30">
        <v>34000.0</v>
      </c>
      <c r="P52" s="30">
        <v>25000.0</v>
      </c>
      <c r="Q52" s="32"/>
    </row>
    <row r="53">
      <c r="A53" s="13" t="s">
        <v>43</v>
      </c>
      <c r="B53" s="30">
        <v>60000.0</v>
      </c>
      <c r="C53" s="30">
        <v>60000.0</v>
      </c>
      <c r="D53" s="30">
        <v>60000.0</v>
      </c>
      <c r="E53" s="30">
        <v>70000.0</v>
      </c>
      <c r="F53" s="30">
        <v>60000.0</v>
      </c>
      <c r="G53" s="9"/>
      <c r="K53" s="13" t="s">
        <v>43</v>
      </c>
      <c r="L53" s="30">
        <v>60000.0</v>
      </c>
      <c r="M53" s="30">
        <v>60000.0</v>
      </c>
      <c r="N53" s="30">
        <v>60000.0</v>
      </c>
      <c r="O53" s="30">
        <v>70000.0</v>
      </c>
      <c r="P53" s="30">
        <v>60000.0</v>
      </c>
      <c r="Q53" s="9"/>
    </row>
    <row r="54">
      <c r="A54" s="13" t="s">
        <v>44</v>
      </c>
      <c r="B54" s="8">
        <v>30000.0</v>
      </c>
      <c r="C54" s="8"/>
      <c r="D54" s="8">
        <v>30000.0</v>
      </c>
      <c r="E54" s="8">
        <v>30000.0</v>
      </c>
      <c r="F54" s="30"/>
      <c r="G54" s="9"/>
      <c r="K54" s="13" t="s">
        <v>44</v>
      </c>
      <c r="L54" s="8">
        <v>30000.0</v>
      </c>
      <c r="M54" s="8"/>
      <c r="N54" s="8">
        <v>30000.0</v>
      </c>
      <c r="O54" s="8">
        <v>30000.0</v>
      </c>
      <c r="P54" s="30"/>
      <c r="Q54" s="9"/>
    </row>
    <row r="55">
      <c r="A55" s="1" t="s">
        <v>45</v>
      </c>
      <c r="B55" s="6">
        <v>59100.0</v>
      </c>
      <c r="C55" s="6">
        <v>68200.0</v>
      </c>
      <c r="D55" s="6">
        <v>14000.0</v>
      </c>
      <c r="E55" s="6">
        <v>0.0</v>
      </c>
      <c r="F55" s="6">
        <v>25000.0</v>
      </c>
      <c r="G55" s="6" t="s">
        <v>7</v>
      </c>
      <c r="K55" s="1" t="s">
        <v>45</v>
      </c>
      <c r="L55" s="6">
        <v>59100.0</v>
      </c>
      <c r="M55" s="6">
        <v>68200.0</v>
      </c>
      <c r="N55" s="6">
        <v>14000.0</v>
      </c>
      <c r="O55" s="6">
        <v>0.0</v>
      </c>
      <c r="P55" s="6">
        <v>25000.0</v>
      </c>
      <c r="Q55" s="6"/>
    </row>
    <row r="56">
      <c r="A56" s="1" t="s">
        <v>46</v>
      </c>
      <c r="B56" s="6">
        <v>180000.0</v>
      </c>
      <c r="C56" s="6">
        <v>180000.0</v>
      </c>
      <c r="D56" s="6">
        <v>180000.0</v>
      </c>
      <c r="E56" s="6">
        <v>180000.0</v>
      </c>
      <c r="F56" s="6">
        <v>180000.0</v>
      </c>
      <c r="G56" s="12"/>
      <c r="K56" s="1" t="s">
        <v>46</v>
      </c>
      <c r="L56" s="6">
        <v>180000.0</v>
      </c>
      <c r="M56" s="6">
        <v>180000.0</v>
      </c>
      <c r="N56" s="6">
        <v>180000.0</v>
      </c>
      <c r="O56" s="6">
        <v>180000.0</v>
      </c>
      <c r="P56" s="6">
        <v>180000.0</v>
      </c>
      <c r="Q56" s="12"/>
    </row>
    <row r="57">
      <c r="A57" s="1" t="s">
        <v>47</v>
      </c>
      <c r="B57" s="6">
        <v>8000.0</v>
      </c>
      <c r="C57" s="6">
        <v>13100.0</v>
      </c>
      <c r="D57" s="6">
        <v>9250.0</v>
      </c>
      <c r="E57" s="6">
        <v>13100.0</v>
      </c>
      <c r="F57" s="6">
        <v>9050.0</v>
      </c>
      <c r="G57" s="6"/>
      <c r="K57" s="1" t="s">
        <v>47</v>
      </c>
      <c r="L57" s="6">
        <v>8000.0</v>
      </c>
      <c r="M57" s="6">
        <v>13100.0</v>
      </c>
      <c r="N57" s="6">
        <v>9250.0</v>
      </c>
      <c r="O57" s="6">
        <v>13100.0</v>
      </c>
      <c r="P57" s="6">
        <v>9050.0</v>
      </c>
      <c r="Q57" s="6"/>
    </row>
    <row r="58">
      <c r="A58" s="11" t="s">
        <v>48</v>
      </c>
      <c r="B58" s="6">
        <v>33000.0</v>
      </c>
      <c r="C58" s="6">
        <v>68000.0</v>
      </c>
      <c r="D58" s="6">
        <v>74300.0</v>
      </c>
      <c r="E58" s="6">
        <v>115000.0</v>
      </c>
      <c r="F58" s="6">
        <v>48900.0</v>
      </c>
      <c r="G58" s="12"/>
      <c r="K58" s="11" t="s">
        <v>48</v>
      </c>
      <c r="L58" s="6">
        <v>33000.0</v>
      </c>
      <c r="M58" s="6">
        <v>68000.0</v>
      </c>
      <c r="N58" s="6">
        <v>74300.0</v>
      </c>
      <c r="O58" s="6">
        <v>115000.0</v>
      </c>
      <c r="P58" s="6">
        <v>48900.0</v>
      </c>
      <c r="Q58" s="12"/>
    </row>
    <row r="59">
      <c r="A59" s="11" t="s">
        <v>49</v>
      </c>
      <c r="B59" s="6">
        <v>13183.199999999999</v>
      </c>
      <c r="C59" s="6">
        <v>9802.8</v>
      </c>
      <c r="D59" s="6">
        <v>40296.0</v>
      </c>
      <c r="E59" s="6">
        <v>2724.0</v>
      </c>
      <c r="F59" s="6">
        <v>1460.3999999999999</v>
      </c>
      <c r="G59" s="12" t="s">
        <v>7</v>
      </c>
      <c r="K59" s="11" t="s">
        <v>49</v>
      </c>
      <c r="L59" s="6">
        <v>13183.199999999999</v>
      </c>
      <c r="M59" s="6">
        <v>9802.8</v>
      </c>
      <c r="N59" s="6">
        <v>40296.0</v>
      </c>
      <c r="O59" s="6">
        <v>2724.0</v>
      </c>
      <c r="P59" s="6">
        <v>1460.3999999999999</v>
      </c>
      <c r="Q59" s="12"/>
    </row>
    <row r="60">
      <c r="A60" s="1" t="s">
        <v>50</v>
      </c>
      <c r="B60" s="6">
        <v>118228.0</v>
      </c>
      <c r="C60" s="6">
        <v>158558.46153846153</v>
      </c>
      <c r="D60" s="6">
        <v>349770.7692307692</v>
      </c>
      <c r="E60" s="6">
        <v>419522.0</v>
      </c>
      <c r="F60" s="6">
        <v>446750.0</v>
      </c>
      <c r="G60" s="6" t="s">
        <v>7</v>
      </c>
      <c r="K60" s="1" t="s">
        <v>50</v>
      </c>
      <c r="L60" s="6">
        <v>118228.0</v>
      </c>
      <c r="M60" s="6">
        <v>158558.46153846153</v>
      </c>
      <c r="N60" s="6">
        <v>349770.7692307692</v>
      </c>
      <c r="O60" s="6">
        <v>419522.0</v>
      </c>
      <c r="P60" s="6">
        <v>446750.0</v>
      </c>
      <c r="Q60" s="6"/>
    </row>
    <row r="61">
      <c r="A61" s="1" t="s">
        <v>51</v>
      </c>
      <c r="B61" s="6">
        <v>15900.0</v>
      </c>
      <c r="C61" s="6">
        <v>21000.0</v>
      </c>
      <c r="D61" s="6">
        <v>15000.0</v>
      </c>
      <c r="E61" s="6">
        <v>21000.0</v>
      </c>
      <c r="F61" s="6">
        <v>15000.0</v>
      </c>
      <c r="G61" s="6"/>
      <c r="K61" s="1" t="s">
        <v>51</v>
      </c>
      <c r="L61" s="6">
        <v>15900.0</v>
      </c>
      <c r="M61" s="6">
        <v>21000.0</v>
      </c>
      <c r="N61" s="6">
        <v>15000.0</v>
      </c>
      <c r="O61" s="6">
        <v>21000.0</v>
      </c>
      <c r="P61" s="6">
        <v>15000.0</v>
      </c>
      <c r="Q61" s="6"/>
    </row>
    <row r="62">
      <c r="A62" s="33" t="s">
        <v>52</v>
      </c>
      <c r="B62" s="6"/>
      <c r="C62" s="6">
        <v>24800.0</v>
      </c>
      <c r="D62" s="6">
        <v>24800.0</v>
      </c>
      <c r="E62" s="6"/>
      <c r="F62" s="6"/>
      <c r="G62" s="32"/>
      <c r="K62" s="33" t="s">
        <v>52</v>
      </c>
      <c r="L62" s="6"/>
      <c r="M62" s="6">
        <v>24800.0</v>
      </c>
      <c r="N62" s="6">
        <v>24800.0</v>
      </c>
      <c r="O62" s="6"/>
      <c r="P62" s="6"/>
      <c r="Q62" s="32"/>
    </row>
    <row r="63">
      <c r="A63" s="11" t="s">
        <v>53</v>
      </c>
      <c r="B63" s="6">
        <v>105588.69737718688</v>
      </c>
      <c r="C63" s="6">
        <v>102170.22559039188</v>
      </c>
      <c r="D63" s="6">
        <v>150654.81608860366</v>
      </c>
      <c r="E63" s="6">
        <v>287721.331075539</v>
      </c>
      <c r="F63" s="6">
        <v>119324.48986584015</v>
      </c>
      <c r="G63" s="6"/>
      <c r="K63" s="11" t="s">
        <v>53</v>
      </c>
      <c r="L63" s="6">
        <v>105588.69737718688</v>
      </c>
      <c r="M63" s="6">
        <v>102170.22559039188</v>
      </c>
      <c r="N63" s="6">
        <v>150654.81608860366</v>
      </c>
      <c r="O63" s="6">
        <v>287721.331075539</v>
      </c>
      <c r="P63" s="6">
        <v>119324.48986584015</v>
      </c>
      <c r="Q63" s="6"/>
    </row>
    <row r="64">
      <c r="A64" s="11"/>
      <c r="B64" s="16"/>
      <c r="C64" s="6"/>
      <c r="D64" s="6"/>
      <c r="E64" s="6"/>
      <c r="F64" s="6"/>
      <c r="G64" s="6"/>
      <c r="K64" s="11"/>
      <c r="L64" s="16"/>
      <c r="M64" s="6"/>
      <c r="N64" s="6"/>
      <c r="O64" s="6"/>
      <c r="P64" s="6"/>
      <c r="Q64" s="6"/>
    </row>
    <row r="65">
      <c r="A65" s="11" t="s">
        <v>54</v>
      </c>
      <c r="B65" s="6">
        <f t="shared" ref="B65:F65" si="13">B34-B36</f>
        <v>189178.123</v>
      </c>
      <c r="C65" s="6">
        <f t="shared" si="13"/>
        <v>235250.2176</v>
      </c>
      <c r="D65" s="6">
        <f t="shared" si="13"/>
        <v>641092.211</v>
      </c>
      <c r="E65" s="6">
        <f t="shared" si="13"/>
        <v>2335672.301</v>
      </c>
      <c r="F65" s="6">
        <f t="shared" si="13"/>
        <v>-778791.5002</v>
      </c>
      <c r="G65" s="6"/>
      <c r="K65" s="11" t="s">
        <v>54</v>
      </c>
      <c r="L65" s="6">
        <f t="shared" ref="L65:P65" si="14">L34-L36</f>
        <v>248278.123</v>
      </c>
      <c r="M65" s="6">
        <f t="shared" si="14"/>
        <v>303450.2176</v>
      </c>
      <c r="N65" s="6">
        <f t="shared" si="14"/>
        <v>655092.211</v>
      </c>
      <c r="O65" s="6">
        <f t="shared" si="14"/>
        <v>2335672.301</v>
      </c>
      <c r="P65" s="6">
        <f t="shared" si="14"/>
        <v>-753791.5002</v>
      </c>
      <c r="Q65" s="6"/>
    </row>
    <row r="66">
      <c r="A66" s="7" t="s">
        <v>55</v>
      </c>
      <c r="B66" s="8">
        <f t="shared" ref="B66:F66" si="15">B32*7%</f>
        <v>213062.5</v>
      </c>
      <c r="C66" s="8">
        <f t="shared" si="15"/>
        <v>232343.65</v>
      </c>
      <c r="D66" s="8">
        <f t="shared" si="15"/>
        <v>314183.45</v>
      </c>
      <c r="E66" s="8">
        <f t="shared" si="15"/>
        <v>583503.2</v>
      </c>
      <c r="F66" s="8">
        <f t="shared" si="15"/>
        <v>195862.03</v>
      </c>
      <c r="G66" s="8" t="s">
        <v>56</v>
      </c>
      <c r="K66" s="7" t="s">
        <v>55</v>
      </c>
      <c r="L66" s="8">
        <f t="shared" ref="L66:P66" si="16">L32*7%</f>
        <v>213062.5</v>
      </c>
      <c r="M66" s="8">
        <f t="shared" si="16"/>
        <v>232343.65</v>
      </c>
      <c r="N66" s="8">
        <f t="shared" si="16"/>
        <v>314183.45</v>
      </c>
      <c r="O66" s="8">
        <f t="shared" si="16"/>
        <v>583503.2</v>
      </c>
      <c r="P66" s="8">
        <f t="shared" si="16"/>
        <v>195862.03</v>
      </c>
      <c r="Q66" s="8"/>
    </row>
    <row r="67">
      <c r="A67" s="19" t="s">
        <v>57</v>
      </c>
      <c r="B67" s="21">
        <f t="shared" ref="B67:F67" si="17">B65-B66</f>
        <v>-23884.37697</v>
      </c>
      <c r="C67" s="21">
        <f t="shared" si="17"/>
        <v>2906.56757</v>
      </c>
      <c r="D67" s="21">
        <f t="shared" si="17"/>
        <v>326908.761</v>
      </c>
      <c r="E67" s="21">
        <f t="shared" si="17"/>
        <v>1752169.101</v>
      </c>
      <c r="F67" s="21">
        <f t="shared" si="17"/>
        <v>-974653.5302</v>
      </c>
      <c r="G67" s="34">
        <f>SUM(B67:F67)</f>
        <v>1083446.522</v>
      </c>
      <c r="K67" s="19" t="s">
        <v>57</v>
      </c>
      <c r="L67" s="21">
        <f t="shared" ref="L67:P67" si="18">L65-L66</f>
        <v>35215.62303</v>
      </c>
      <c r="M67" s="21">
        <f t="shared" si="18"/>
        <v>71106.56757</v>
      </c>
      <c r="N67" s="21">
        <f t="shared" si="18"/>
        <v>340908.761</v>
      </c>
      <c r="O67" s="21">
        <f t="shared" si="18"/>
        <v>1752169.101</v>
      </c>
      <c r="P67" s="21">
        <f t="shared" si="18"/>
        <v>-949653.5302</v>
      </c>
      <c r="Q67" s="34">
        <f>SUM(L67:P67)</f>
        <v>1249746.522</v>
      </c>
    </row>
    <row r="69">
      <c r="Q69" s="35">
        <f>Q67-G67</f>
        <v>166300</v>
      </c>
      <c r="R69" s="17" t="s">
        <v>58</v>
      </c>
    </row>
  </sheetData>
  <mergeCells count="2">
    <mergeCell ref="H22:H25"/>
    <mergeCell ref="R69:S70"/>
  </mergeCells>
  <conditionalFormatting sqref="B5:F5">
    <cfRule type="colorScale" priority="1">
      <colorScale>
        <cfvo type="min"/>
        <cfvo type="max"/>
        <color rgb="FFFFFFFF"/>
        <color rgb="FF57BB8A"/>
      </colorScale>
    </cfRule>
  </conditionalFormatting>
  <conditionalFormatting sqref="B4:F4">
    <cfRule type="colorScale" priority="2">
      <colorScale>
        <cfvo type="min"/>
        <cfvo type="max"/>
        <color rgb="FFFFFFFF"/>
        <color rgb="FF57BB8A"/>
      </colorScale>
    </cfRule>
  </conditionalFormatting>
  <conditionalFormatting sqref="B3:F3">
    <cfRule type="colorScale" priority="3">
      <colorScale>
        <cfvo type="min"/>
        <cfvo type="max"/>
        <color rgb="FFFFFFFF"/>
        <color rgb="FF57BB8A"/>
      </colorScale>
    </cfRule>
  </conditionalFormatting>
  <conditionalFormatting sqref="B7:F7">
    <cfRule type="colorScale" priority="4">
      <colorScale>
        <cfvo type="min"/>
        <cfvo type="max"/>
        <color rgb="FFFFFFFF"/>
        <color rgb="FFE67C73"/>
      </colorScale>
    </cfRule>
  </conditionalFormatting>
  <conditionalFormatting sqref="B8:F8">
    <cfRule type="colorScale" priority="5">
      <colorScale>
        <cfvo type="min"/>
        <cfvo type="max"/>
        <color rgb="FFFFFFFF"/>
        <color rgb="FF57BB8A"/>
      </colorScale>
    </cfRule>
  </conditionalFormatting>
  <conditionalFormatting sqref="B9:F9">
    <cfRule type="colorScale" priority="6">
      <colorScale>
        <cfvo type="min"/>
        <cfvo type="max"/>
        <color rgb="FFFFFFFF"/>
        <color rgb="FF57BB8A"/>
      </colorScale>
    </cfRule>
  </conditionalFormatting>
  <conditionalFormatting sqref="B10:F10">
    <cfRule type="colorScale" priority="7">
      <colorScale>
        <cfvo type="min"/>
        <cfvo type="max"/>
        <color rgb="FFFFFFFF"/>
        <color rgb="FF57BB8A"/>
      </colorScale>
    </cfRule>
  </conditionalFormatting>
  <conditionalFormatting sqref="B11:F12">
    <cfRule type="colorScale" priority="8">
      <colorScale>
        <cfvo type="min"/>
        <cfvo type="max"/>
        <color rgb="FFFFFFFF"/>
        <color rgb="FF57BB8A"/>
      </colorScale>
    </cfRule>
  </conditionalFormatting>
  <conditionalFormatting sqref="B14:F14">
    <cfRule type="colorScale" priority="9">
      <colorScale>
        <cfvo type="min"/>
        <cfvo type="max"/>
        <color rgb="FFFFFFFF"/>
        <color rgb="FFE67C73"/>
      </colorScale>
    </cfRule>
  </conditionalFormatting>
  <conditionalFormatting sqref="B15:F15">
    <cfRule type="colorScale" priority="10">
      <colorScale>
        <cfvo type="min"/>
        <cfvo type="max"/>
        <color rgb="FFFFFFFF"/>
        <color rgb="FF57BB8A"/>
      </colorScale>
    </cfRule>
  </conditionalFormatting>
  <conditionalFormatting sqref="B16:F16">
    <cfRule type="colorScale" priority="11">
      <colorScale>
        <cfvo type="min"/>
        <cfvo type="max"/>
        <color rgb="FFFFFFFF"/>
        <color rgb="FF57BB8A"/>
      </colorScale>
    </cfRule>
  </conditionalFormatting>
  <conditionalFormatting sqref="B17:F17">
    <cfRule type="colorScale" priority="12">
      <colorScale>
        <cfvo type="min"/>
        <cfvo type="max"/>
        <color rgb="FFFFFFFF"/>
        <color rgb="FF57BB8A"/>
      </colorScale>
    </cfRule>
  </conditionalFormatting>
  <conditionalFormatting sqref="B18:F19">
    <cfRule type="colorScale" priority="13">
      <colorScale>
        <cfvo type="min"/>
        <cfvo type="max"/>
        <color rgb="FFFFFFFF"/>
        <color rgb="FF57BB8A"/>
      </colorScale>
    </cfRule>
  </conditionalFormatting>
  <conditionalFormatting sqref="B21:F21">
    <cfRule type="colorScale" priority="14">
      <colorScale>
        <cfvo type="min"/>
        <cfvo type="max"/>
        <color rgb="FFFFFFFF"/>
        <color rgb="FFE67C73"/>
      </colorScale>
    </cfRule>
  </conditionalFormatting>
  <conditionalFormatting sqref="B22:F22">
    <cfRule type="colorScale" priority="15">
      <colorScale>
        <cfvo type="min"/>
        <cfvo type="max"/>
        <color rgb="FFFFFFFF"/>
        <color rgb="FF57BB8A"/>
      </colorScale>
    </cfRule>
  </conditionalFormatting>
  <conditionalFormatting sqref="B23:F23">
    <cfRule type="colorScale" priority="16">
      <colorScale>
        <cfvo type="min"/>
        <cfvo type="max"/>
        <color rgb="FFFFFFFF"/>
        <color rgb="FF57BB8A"/>
      </colorScale>
    </cfRule>
  </conditionalFormatting>
  <conditionalFormatting sqref="B24:F24">
    <cfRule type="colorScale" priority="17">
      <colorScale>
        <cfvo type="min"/>
        <cfvo type="max"/>
        <color rgb="FFFFFFFF"/>
        <color rgb="FF57BB8A"/>
      </colorScale>
    </cfRule>
  </conditionalFormatting>
  <conditionalFormatting sqref="B25:F26">
    <cfRule type="colorScale" priority="18">
      <colorScale>
        <cfvo type="min"/>
        <cfvo type="max"/>
        <color rgb="FFFFFFFF"/>
        <color rgb="FF57BB8A"/>
      </colorScale>
    </cfRule>
  </conditionalFormatting>
  <conditionalFormatting sqref="B29:F29">
    <cfRule type="colorScale" priority="19">
      <colorScale>
        <cfvo type="min"/>
        <cfvo type="max"/>
        <color rgb="FFFFFFFF"/>
        <color rgb="FF57BB8A"/>
      </colorScale>
    </cfRule>
  </conditionalFormatting>
  <conditionalFormatting sqref="B32:F32 L32:P32">
    <cfRule type="colorScale" priority="20">
      <colorScale>
        <cfvo type="min"/>
        <cfvo type="max"/>
        <color rgb="FFFFFFFF"/>
        <color rgb="FF57BB8A"/>
      </colorScale>
    </cfRule>
  </conditionalFormatting>
  <conditionalFormatting sqref="B33:F33 L33:P33">
    <cfRule type="colorScale" priority="21">
      <colorScale>
        <cfvo type="min"/>
        <cfvo type="max"/>
        <color rgb="FFFFFFFF"/>
        <color rgb="FFE67C73"/>
      </colorScale>
    </cfRule>
  </conditionalFormatting>
  <conditionalFormatting sqref="B34:F34 L34:P34">
    <cfRule type="colorScale" priority="22">
      <colorScale>
        <cfvo type="min"/>
        <cfvo type="max"/>
        <color rgb="FFFFFFFF"/>
        <color rgb="FF57BB8A"/>
      </colorScale>
    </cfRule>
  </conditionalFormatting>
  <conditionalFormatting sqref="B36:F36 L36:P36">
    <cfRule type="colorScale" priority="23">
      <colorScale>
        <cfvo type="min"/>
        <cfvo type="max"/>
        <color rgb="FFFFFFFF"/>
        <color rgb="FFE67C73"/>
      </colorScale>
    </cfRule>
  </conditionalFormatting>
  <conditionalFormatting sqref="B37:F37 L37:P37">
    <cfRule type="colorScale" priority="24">
      <colorScale>
        <cfvo type="min"/>
        <cfvo type="max"/>
        <color rgb="FFFFFFFF"/>
        <color rgb="FFE67C73"/>
      </colorScale>
    </cfRule>
  </conditionalFormatting>
  <conditionalFormatting sqref="B38:F39 L38:P39">
    <cfRule type="colorScale" priority="25">
      <colorScale>
        <cfvo type="min"/>
        <cfvo type="max"/>
        <color rgb="FFFFFFFF"/>
        <color rgb="FFE67C73"/>
      </colorScale>
    </cfRule>
  </conditionalFormatting>
  <conditionalFormatting sqref="B40:F40 L40:P40">
    <cfRule type="colorScale" priority="26">
      <colorScale>
        <cfvo type="min"/>
        <cfvo type="max"/>
        <color rgb="FFFFFFFF"/>
        <color rgb="FFE67C73"/>
      </colorScale>
    </cfRule>
  </conditionalFormatting>
  <conditionalFormatting sqref="B47:F47 L47:P47">
    <cfRule type="colorScale" priority="27">
      <colorScale>
        <cfvo type="min"/>
        <cfvo type="max"/>
        <color rgb="FFFFFFFF"/>
        <color rgb="FFE67C73"/>
      </colorScale>
    </cfRule>
  </conditionalFormatting>
  <conditionalFormatting sqref="B41:F46 L41:P46">
    <cfRule type="colorScale" priority="28">
      <colorScale>
        <cfvo type="min"/>
        <cfvo type="max"/>
        <color rgb="FFFFFFFF"/>
        <color rgb="FFE67C73"/>
      </colorScale>
    </cfRule>
  </conditionalFormatting>
  <conditionalFormatting sqref="B48:F54 L48:P54">
    <cfRule type="colorScale" priority="29">
      <colorScale>
        <cfvo type="min"/>
        <cfvo type="max"/>
        <color rgb="FFFFFFFF"/>
        <color rgb="FFE67C73"/>
      </colorScale>
    </cfRule>
  </conditionalFormatting>
  <conditionalFormatting sqref="B55:F63 L55:P63">
    <cfRule type="colorScale" priority="30">
      <colorScale>
        <cfvo type="min"/>
        <cfvo type="max"/>
        <color rgb="FFFFFFFF"/>
        <color rgb="FFE67C73"/>
      </colorScale>
    </cfRule>
  </conditionalFormatting>
  <conditionalFormatting sqref="B65:F65 L65:P65">
    <cfRule type="colorScale" priority="3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67:F67 L67:P67">
    <cfRule type="colorScale" priority="3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8" max="8" width="15.38"/>
  </cols>
  <sheetData>
    <row r="1">
      <c r="A1" s="36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/>
      <c r="H1" s="38" t="s">
        <v>0</v>
      </c>
      <c r="I1" s="39" t="s">
        <v>1</v>
      </c>
      <c r="J1" s="39" t="s">
        <v>2</v>
      </c>
      <c r="K1" s="39" t="s">
        <v>3</v>
      </c>
      <c r="L1" s="39" t="s">
        <v>4</v>
      </c>
      <c r="M1" s="40" t="s">
        <v>5</v>
      </c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>
      <c r="A2" s="42" t="s">
        <v>0</v>
      </c>
      <c r="B2" s="43" t="s">
        <v>1</v>
      </c>
      <c r="C2" s="43" t="s">
        <v>2</v>
      </c>
      <c r="D2" s="43" t="s">
        <v>3</v>
      </c>
      <c r="E2" s="43" t="s">
        <v>4</v>
      </c>
      <c r="F2" s="43" t="s">
        <v>5</v>
      </c>
      <c r="G2" s="44"/>
      <c r="H2" s="45" t="s">
        <v>59</v>
      </c>
      <c r="I2" s="46">
        <v>33.0</v>
      </c>
      <c r="J2" s="46">
        <v>35.0</v>
      </c>
      <c r="K2" s="46">
        <v>28.0</v>
      </c>
      <c r="L2" s="46">
        <v>30.0</v>
      </c>
      <c r="M2" s="47">
        <v>14.0</v>
      </c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A3" s="36" t="s">
        <v>6</v>
      </c>
      <c r="B3" s="48">
        <v>125.0</v>
      </c>
      <c r="C3" s="48">
        <v>145.0</v>
      </c>
      <c r="D3" s="48">
        <v>155.0</v>
      </c>
      <c r="E3" s="48">
        <v>232.0</v>
      </c>
      <c r="F3" s="48">
        <v>131.0</v>
      </c>
      <c r="G3" s="48"/>
      <c r="H3" s="45" t="s">
        <v>60</v>
      </c>
      <c r="I3" s="46">
        <v>22.0</v>
      </c>
      <c r="J3" s="46">
        <v>18.0</v>
      </c>
      <c r="K3" s="46">
        <v>28.0</v>
      </c>
      <c r="L3" s="46">
        <v>39.0</v>
      </c>
      <c r="M3" s="47">
        <v>22.0</v>
      </c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9" t="s">
        <v>8</v>
      </c>
      <c r="B4" s="50">
        <v>24350.0</v>
      </c>
      <c r="C4" s="50">
        <v>22891.0</v>
      </c>
      <c r="D4" s="50">
        <v>28957.0</v>
      </c>
      <c r="E4" s="50">
        <v>35930.0</v>
      </c>
      <c r="F4" s="50">
        <v>21359.0</v>
      </c>
      <c r="G4" s="51"/>
      <c r="H4" s="45" t="s">
        <v>61</v>
      </c>
      <c r="I4" s="46">
        <v>32.0</v>
      </c>
      <c r="J4" s="46">
        <v>35.0</v>
      </c>
      <c r="K4" s="46">
        <v>48.0</v>
      </c>
      <c r="L4" s="46">
        <v>69.0</v>
      </c>
      <c r="M4" s="47">
        <v>60.0</v>
      </c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9" t="s">
        <v>9</v>
      </c>
      <c r="B5" s="50">
        <v>3043750.0</v>
      </c>
      <c r="C5" s="50">
        <v>3319195.0</v>
      </c>
      <c r="D5" s="50">
        <v>4488335.0</v>
      </c>
      <c r="E5" s="50">
        <v>8335760.0</v>
      </c>
      <c r="F5" s="50">
        <v>2798029.0</v>
      </c>
      <c r="G5" s="51"/>
      <c r="H5" s="45" t="s">
        <v>62</v>
      </c>
      <c r="I5" s="35">
        <v>38.0</v>
      </c>
      <c r="J5" s="35">
        <v>57.0</v>
      </c>
      <c r="K5" s="35">
        <v>51.0</v>
      </c>
      <c r="L5" s="35">
        <v>94.0</v>
      </c>
      <c r="M5" s="52">
        <v>35.0</v>
      </c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2" t="s">
        <v>0</v>
      </c>
      <c r="B6" s="43" t="s">
        <v>1</v>
      </c>
      <c r="C6" s="43" t="s">
        <v>2</v>
      </c>
      <c r="D6" s="43" t="s">
        <v>3</v>
      </c>
      <c r="E6" s="43" t="s">
        <v>4</v>
      </c>
      <c r="F6" s="43" t="s">
        <v>5</v>
      </c>
      <c r="G6" s="53"/>
      <c r="H6" s="54" t="s">
        <v>63</v>
      </c>
      <c r="I6" s="55">
        <f t="shared" ref="I6:M6" si="1">B7/B11</f>
        <v>6973.212121</v>
      </c>
      <c r="J6" s="55">
        <f t="shared" si="1"/>
        <v>6447.828571</v>
      </c>
      <c r="K6" s="55">
        <f t="shared" si="1"/>
        <v>8186.464286</v>
      </c>
      <c r="L6" s="55">
        <f t="shared" si="1"/>
        <v>8425.566667</v>
      </c>
      <c r="M6" s="56">
        <f t="shared" si="1"/>
        <v>13721.07143</v>
      </c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57" t="s">
        <v>10</v>
      </c>
      <c r="B7" s="58">
        <v>230116.0</v>
      </c>
      <c r="C7" s="58">
        <v>225674.0</v>
      </c>
      <c r="D7" s="58">
        <v>229221.0</v>
      </c>
      <c r="E7" s="58">
        <v>252767.0</v>
      </c>
      <c r="F7" s="58">
        <v>192095.0</v>
      </c>
      <c r="G7" s="48"/>
      <c r="H7" s="45" t="s">
        <v>64</v>
      </c>
      <c r="I7" s="59">
        <f t="shared" ref="I7:M7" si="2">B14/B18</f>
        <v>16963.63636</v>
      </c>
      <c r="J7" s="59">
        <f t="shared" si="2"/>
        <v>16355.77778</v>
      </c>
      <c r="K7" s="59">
        <f t="shared" si="2"/>
        <v>7322.964286</v>
      </c>
      <c r="L7" s="59">
        <f t="shared" si="2"/>
        <v>6117.897436</v>
      </c>
      <c r="M7" s="60">
        <f t="shared" si="2"/>
        <v>9708.590909</v>
      </c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61" t="s">
        <v>11</v>
      </c>
      <c r="B8" s="62">
        <v>474422.72727272724</v>
      </c>
      <c r="C8" s="62">
        <v>269129.5454545454</v>
      </c>
      <c r="D8" s="63">
        <v>445985.0</v>
      </c>
      <c r="E8" s="63">
        <v>543840.909090909</v>
      </c>
      <c r="F8" s="63">
        <v>306150.454545455</v>
      </c>
      <c r="G8" s="48"/>
      <c r="H8" s="64" t="s">
        <v>65</v>
      </c>
      <c r="I8" s="65">
        <f t="shared" ref="I8:M8" si="3">B21/B25</f>
        <v>4297.09375</v>
      </c>
      <c r="J8" s="65">
        <f t="shared" si="3"/>
        <v>4169.171429</v>
      </c>
      <c r="K8" s="65">
        <f t="shared" si="3"/>
        <v>3652.354167</v>
      </c>
      <c r="L8" s="65">
        <f t="shared" si="3"/>
        <v>2757.014493</v>
      </c>
      <c r="M8" s="66">
        <f t="shared" si="3"/>
        <v>3015.45</v>
      </c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61" t="s">
        <v>12</v>
      </c>
      <c r="B9" s="63">
        <v>12359.0</v>
      </c>
      <c r="C9" s="63">
        <v>6842.0</v>
      </c>
      <c r="D9" s="63">
        <v>10055.0</v>
      </c>
      <c r="E9" s="63">
        <v>11602.0</v>
      </c>
      <c r="F9" s="63">
        <v>4771.0</v>
      </c>
      <c r="G9" s="48"/>
      <c r="H9" s="67" t="s">
        <v>8</v>
      </c>
      <c r="I9" s="68">
        <v>24350.0</v>
      </c>
      <c r="J9" s="68">
        <v>22891.0</v>
      </c>
      <c r="K9" s="68">
        <v>28957.0</v>
      </c>
      <c r="L9" s="68">
        <v>35930.0</v>
      </c>
      <c r="M9" s="69">
        <v>21359.0</v>
      </c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61" t="s">
        <v>13</v>
      </c>
      <c r="B10" s="63">
        <v>94.0</v>
      </c>
      <c r="C10" s="63">
        <v>91.0</v>
      </c>
      <c r="D10" s="63">
        <v>68.0</v>
      </c>
      <c r="E10" s="63">
        <v>86.0</v>
      </c>
      <c r="F10" s="63">
        <v>44.0</v>
      </c>
      <c r="G10" s="48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61" t="s">
        <v>14</v>
      </c>
      <c r="B11" s="63">
        <v>33.0</v>
      </c>
      <c r="C11" s="63">
        <v>35.0</v>
      </c>
      <c r="D11" s="63">
        <v>28.0</v>
      </c>
      <c r="E11" s="63">
        <v>30.0</v>
      </c>
      <c r="F11" s="63">
        <v>14.0</v>
      </c>
      <c r="G11" s="48"/>
      <c r="H11" s="70" t="s">
        <v>66</v>
      </c>
      <c r="I11" s="39" t="s">
        <v>1</v>
      </c>
      <c r="J11" s="39" t="s">
        <v>2</v>
      </c>
      <c r="K11" s="39" t="s">
        <v>3</v>
      </c>
      <c r="L11" s="39" t="s">
        <v>4</v>
      </c>
      <c r="M11" s="40" t="s">
        <v>5</v>
      </c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61"/>
      <c r="B12" s="63"/>
      <c r="C12" s="63"/>
      <c r="D12" s="63"/>
      <c r="E12" s="63"/>
      <c r="F12" s="63"/>
      <c r="G12" s="48"/>
      <c r="H12" s="71" t="s">
        <v>67</v>
      </c>
      <c r="I12" s="72"/>
      <c r="J12" s="72"/>
      <c r="K12" s="72"/>
      <c r="L12" s="72"/>
      <c r="M12" s="73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42" t="s">
        <v>0</v>
      </c>
      <c r="B13" s="43" t="s">
        <v>1</v>
      </c>
      <c r="C13" s="43" t="s">
        <v>2</v>
      </c>
      <c r="D13" s="43" t="s">
        <v>3</v>
      </c>
      <c r="E13" s="43" t="s">
        <v>4</v>
      </c>
      <c r="F13" s="43" t="s">
        <v>5</v>
      </c>
      <c r="G13" s="48"/>
      <c r="H13" s="45" t="s">
        <v>68</v>
      </c>
      <c r="I13" s="74">
        <f t="shared" ref="I13:M13" si="4">B10/B9</f>
        <v>0.007605793349</v>
      </c>
      <c r="J13" s="74">
        <f t="shared" si="4"/>
        <v>0.01330020462</v>
      </c>
      <c r="K13" s="74">
        <f t="shared" si="4"/>
        <v>0.006762804575</v>
      </c>
      <c r="L13" s="74">
        <f t="shared" si="4"/>
        <v>0.007412515084</v>
      </c>
      <c r="M13" s="75">
        <f t="shared" si="4"/>
        <v>0.009222385244</v>
      </c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57" t="s">
        <v>15</v>
      </c>
      <c r="B14" s="76">
        <v>373200.0</v>
      </c>
      <c r="C14" s="76">
        <v>294404.0</v>
      </c>
      <c r="D14" s="76">
        <v>205043.0</v>
      </c>
      <c r="E14" s="76">
        <v>238598.0</v>
      </c>
      <c r="F14" s="76">
        <v>213589.0</v>
      </c>
      <c r="G14" s="48"/>
      <c r="H14" s="45" t="s">
        <v>69</v>
      </c>
      <c r="I14" s="74">
        <f t="shared" ref="I14:M14" si="5">B17/B16</f>
        <v>0.02586771447</v>
      </c>
      <c r="J14" s="74">
        <f t="shared" si="5"/>
        <v>0.03191763192</v>
      </c>
      <c r="K14" s="74">
        <f t="shared" si="5"/>
        <v>0.0373174689</v>
      </c>
      <c r="L14" s="74">
        <f t="shared" si="5"/>
        <v>0.02486131087</v>
      </c>
      <c r="M14" s="75">
        <f t="shared" si="5"/>
        <v>0.0242264332</v>
      </c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61" t="s">
        <v>11</v>
      </c>
      <c r="B15" s="62">
        <v>127971.81818181818</v>
      </c>
      <c r="C15" s="62">
        <v>189723.1818181818</v>
      </c>
      <c r="D15" s="62">
        <v>144687.2727272727</v>
      </c>
      <c r="E15" s="62">
        <v>132678.1818181818</v>
      </c>
      <c r="F15" s="62">
        <v>181818.1818181818</v>
      </c>
      <c r="G15" s="48"/>
      <c r="H15" s="64" t="s">
        <v>70</v>
      </c>
      <c r="I15" s="74">
        <f t="shared" ref="I15:M15" si="6">B24/B23</f>
        <v>0.03093187157</v>
      </c>
      <c r="J15" s="74">
        <f t="shared" si="6"/>
        <v>0.03558106169</v>
      </c>
      <c r="K15" s="74">
        <f t="shared" si="6"/>
        <v>0.04074402126</v>
      </c>
      <c r="L15" s="74">
        <f t="shared" si="6"/>
        <v>0.03000992063</v>
      </c>
      <c r="M15" s="75">
        <f t="shared" si="6"/>
        <v>0.0228973022</v>
      </c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61" t="s">
        <v>12</v>
      </c>
      <c r="B16" s="63">
        <v>3054.0</v>
      </c>
      <c r="C16" s="63">
        <v>3885.0</v>
      </c>
      <c r="D16" s="63">
        <v>3698.0</v>
      </c>
      <c r="E16" s="63">
        <v>4867.0</v>
      </c>
      <c r="F16" s="63">
        <v>4169.0</v>
      </c>
      <c r="G16" s="48"/>
      <c r="H16" s="71" t="s">
        <v>71</v>
      </c>
      <c r="I16" s="72"/>
      <c r="J16" s="72"/>
      <c r="K16" s="72"/>
      <c r="L16" s="72"/>
      <c r="M16" s="73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61" t="s">
        <v>13</v>
      </c>
      <c r="B17" s="62">
        <v>79.0</v>
      </c>
      <c r="C17" s="62">
        <v>124.0</v>
      </c>
      <c r="D17" s="62">
        <v>138.0</v>
      </c>
      <c r="E17" s="62">
        <v>121.0</v>
      </c>
      <c r="F17" s="62">
        <v>101.0</v>
      </c>
      <c r="G17" s="48"/>
      <c r="H17" s="54" t="s">
        <v>68</v>
      </c>
      <c r="I17" s="77">
        <f t="shared" ref="I17:M17" si="7">B11/B10</f>
        <v>0.3510638298</v>
      </c>
      <c r="J17" s="77">
        <f t="shared" si="7"/>
        <v>0.3846153846</v>
      </c>
      <c r="K17" s="77">
        <f t="shared" si="7"/>
        <v>0.4117647059</v>
      </c>
      <c r="L17" s="77">
        <f t="shared" si="7"/>
        <v>0.3488372093</v>
      </c>
      <c r="M17" s="78">
        <f t="shared" si="7"/>
        <v>0.3181818182</v>
      </c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61" t="s">
        <v>14</v>
      </c>
      <c r="B18" s="63">
        <v>22.0</v>
      </c>
      <c r="C18" s="63">
        <v>18.0</v>
      </c>
      <c r="D18" s="63">
        <v>28.0</v>
      </c>
      <c r="E18" s="63">
        <v>39.0</v>
      </c>
      <c r="F18" s="63">
        <v>22.0</v>
      </c>
      <c r="G18" s="48"/>
      <c r="H18" s="45" t="s">
        <v>69</v>
      </c>
      <c r="I18" s="74">
        <f t="shared" ref="I18:M18" si="8">B18/B17</f>
        <v>0.2784810127</v>
      </c>
      <c r="J18" s="74">
        <f t="shared" si="8"/>
        <v>0.1451612903</v>
      </c>
      <c r="K18" s="74">
        <f t="shared" si="8"/>
        <v>0.2028985507</v>
      </c>
      <c r="L18" s="74">
        <f t="shared" si="8"/>
        <v>0.3223140496</v>
      </c>
      <c r="M18" s="75">
        <f t="shared" si="8"/>
        <v>0.2178217822</v>
      </c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61"/>
      <c r="B19" s="63"/>
      <c r="C19" s="63"/>
      <c r="D19" s="63"/>
      <c r="E19" s="63"/>
      <c r="F19" s="63"/>
      <c r="G19" s="48"/>
      <c r="H19" s="64" t="s">
        <v>70</v>
      </c>
      <c r="I19" s="79">
        <f t="shared" ref="I19:M19" si="9">B25/B24</f>
        <v>0.4050632911</v>
      </c>
      <c r="J19" s="79">
        <f t="shared" si="9"/>
        <v>0.2822580645</v>
      </c>
      <c r="K19" s="79">
        <f t="shared" si="9"/>
        <v>0.347826087</v>
      </c>
      <c r="L19" s="79">
        <f t="shared" si="9"/>
        <v>0.5702479339</v>
      </c>
      <c r="M19" s="80">
        <f t="shared" si="9"/>
        <v>0.5940594059</v>
      </c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42" t="s">
        <v>0</v>
      </c>
      <c r="B20" s="43" t="s">
        <v>1</v>
      </c>
      <c r="C20" s="43" t="s">
        <v>2</v>
      </c>
      <c r="D20" s="43" t="s">
        <v>3</v>
      </c>
      <c r="E20" s="43" t="s">
        <v>4</v>
      </c>
      <c r="F20" s="43" t="s">
        <v>5</v>
      </c>
      <c r="G20" s="48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>
      <c r="A21" s="57" t="s">
        <v>16</v>
      </c>
      <c r="B21" s="76">
        <v>137507.0</v>
      </c>
      <c r="C21" s="76">
        <v>145921.0</v>
      </c>
      <c r="D21" s="76">
        <v>175313.0</v>
      </c>
      <c r="E21" s="76">
        <v>190234.0</v>
      </c>
      <c r="F21" s="76">
        <v>180927.0</v>
      </c>
      <c r="G21" s="48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>
      <c r="A22" s="61" t="s">
        <v>11</v>
      </c>
      <c r="B22" s="62">
        <v>127971.81818181818</v>
      </c>
      <c r="C22" s="62">
        <v>189723.1818181818</v>
      </c>
      <c r="D22" s="62">
        <v>144687.2727272727</v>
      </c>
      <c r="E22" s="62">
        <v>132678.1818181818</v>
      </c>
      <c r="F22" s="62">
        <v>181818.1818181818</v>
      </c>
      <c r="G22" s="48"/>
      <c r="H22" s="17" t="s">
        <v>72</v>
      </c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>
      <c r="A23" s="61" t="s">
        <v>12</v>
      </c>
      <c r="B23" s="63">
        <v>2554.0</v>
      </c>
      <c r="C23" s="63">
        <v>3485.0</v>
      </c>
      <c r="D23" s="63">
        <v>3387.0</v>
      </c>
      <c r="E23" s="63">
        <v>4032.0</v>
      </c>
      <c r="F23" s="63">
        <v>4411.0</v>
      </c>
      <c r="G23" s="48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>
      <c r="A24" s="61" t="s">
        <v>13</v>
      </c>
      <c r="B24" s="62">
        <v>79.0</v>
      </c>
      <c r="C24" s="62">
        <v>124.0</v>
      </c>
      <c r="D24" s="62">
        <v>138.0</v>
      </c>
      <c r="E24" s="62">
        <v>121.0</v>
      </c>
      <c r="F24" s="62">
        <v>101.0</v>
      </c>
      <c r="G24" s="48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61" t="s">
        <v>14</v>
      </c>
      <c r="B25" s="63">
        <v>32.0</v>
      </c>
      <c r="C25" s="63">
        <v>35.0</v>
      </c>
      <c r="D25" s="63">
        <v>48.0</v>
      </c>
      <c r="E25" s="63">
        <v>69.0</v>
      </c>
      <c r="F25" s="63">
        <v>60.0</v>
      </c>
      <c r="G25" s="48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>
      <c r="A29" s="11" t="s">
        <v>20</v>
      </c>
      <c r="B29" s="16">
        <v>38.0</v>
      </c>
      <c r="C29" s="16">
        <v>57.0</v>
      </c>
      <c r="D29" s="16">
        <v>51.0</v>
      </c>
      <c r="E29" s="16">
        <v>94.0</v>
      </c>
      <c r="F29" s="16">
        <v>35.0</v>
      </c>
      <c r="G29" s="6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mergeCells count="1">
    <mergeCell ref="H22:M24"/>
  </mergeCells>
  <conditionalFormatting sqref="B5:F5 B29:F29">
    <cfRule type="colorScale" priority="1">
      <colorScale>
        <cfvo type="min"/>
        <cfvo type="max"/>
        <color rgb="FFFFFFFF"/>
        <color rgb="FF57BB8A"/>
      </colorScale>
    </cfRule>
  </conditionalFormatting>
  <conditionalFormatting sqref="B4:F4">
    <cfRule type="colorScale" priority="2">
      <colorScale>
        <cfvo type="min"/>
        <cfvo type="max"/>
        <color rgb="FFFFFFFF"/>
        <color rgb="FF57BB8A"/>
      </colorScale>
    </cfRule>
  </conditionalFormatting>
  <conditionalFormatting sqref="B3:F3">
    <cfRule type="colorScale" priority="3">
      <colorScale>
        <cfvo type="min"/>
        <cfvo type="max"/>
        <color rgb="FFFFFFFF"/>
        <color rgb="FF57BB8A"/>
      </colorScale>
    </cfRule>
  </conditionalFormatting>
  <conditionalFormatting sqref="B7:F7">
    <cfRule type="colorScale" priority="4">
      <colorScale>
        <cfvo type="min"/>
        <cfvo type="max"/>
        <color rgb="FFFFFFFF"/>
        <color rgb="FFE67C73"/>
      </colorScale>
    </cfRule>
  </conditionalFormatting>
  <conditionalFormatting sqref="B8:F8">
    <cfRule type="colorScale" priority="5">
      <colorScale>
        <cfvo type="min"/>
        <cfvo type="max"/>
        <color rgb="FFFFFFFF"/>
        <color rgb="FF57BB8A"/>
      </colorScale>
    </cfRule>
  </conditionalFormatting>
  <conditionalFormatting sqref="B9:F9">
    <cfRule type="colorScale" priority="6">
      <colorScale>
        <cfvo type="min"/>
        <cfvo type="max"/>
        <color rgb="FFFFFFFF"/>
        <color rgb="FF57BB8A"/>
      </colorScale>
    </cfRule>
  </conditionalFormatting>
  <conditionalFormatting sqref="B10:F10">
    <cfRule type="colorScale" priority="7">
      <colorScale>
        <cfvo type="min"/>
        <cfvo type="max"/>
        <color rgb="FFFFFFFF"/>
        <color rgb="FF57BB8A"/>
      </colorScale>
    </cfRule>
  </conditionalFormatting>
  <conditionalFormatting sqref="B11:F12">
    <cfRule type="colorScale" priority="8">
      <colorScale>
        <cfvo type="min"/>
        <cfvo type="max"/>
        <color rgb="FFFFFFFF"/>
        <color rgb="FF57BB8A"/>
      </colorScale>
    </cfRule>
  </conditionalFormatting>
  <conditionalFormatting sqref="B14:F14">
    <cfRule type="colorScale" priority="9">
      <colorScale>
        <cfvo type="min"/>
        <cfvo type="max"/>
        <color rgb="FFFFFFFF"/>
        <color rgb="FFE67C73"/>
      </colorScale>
    </cfRule>
  </conditionalFormatting>
  <conditionalFormatting sqref="B15:F15">
    <cfRule type="colorScale" priority="10">
      <colorScale>
        <cfvo type="min"/>
        <cfvo type="max"/>
        <color rgb="FFFFFFFF"/>
        <color rgb="FF57BB8A"/>
      </colorScale>
    </cfRule>
  </conditionalFormatting>
  <conditionalFormatting sqref="B16:F16">
    <cfRule type="colorScale" priority="11">
      <colorScale>
        <cfvo type="min"/>
        <cfvo type="max"/>
        <color rgb="FFFFFFFF"/>
        <color rgb="FF57BB8A"/>
      </colorScale>
    </cfRule>
  </conditionalFormatting>
  <conditionalFormatting sqref="B17:F17">
    <cfRule type="colorScale" priority="12">
      <colorScale>
        <cfvo type="min"/>
        <cfvo type="max"/>
        <color rgb="FFFFFFFF"/>
        <color rgb="FF57BB8A"/>
      </colorScale>
    </cfRule>
  </conditionalFormatting>
  <conditionalFormatting sqref="B18:F19">
    <cfRule type="colorScale" priority="13">
      <colorScale>
        <cfvo type="min"/>
        <cfvo type="max"/>
        <color rgb="FFFFFFFF"/>
        <color rgb="FF57BB8A"/>
      </colorScale>
    </cfRule>
  </conditionalFormatting>
  <conditionalFormatting sqref="B21:F21">
    <cfRule type="colorScale" priority="14">
      <colorScale>
        <cfvo type="min"/>
        <cfvo type="max"/>
        <color rgb="FFFFFFFF"/>
        <color rgb="FFE67C73"/>
      </colorScale>
    </cfRule>
  </conditionalFormatting>
  <conditionalFormatting sqref="B22:F22">
    <cfRule type="colorScale" priority="15">
      <colorScale>
        <cfvo type="min"/>
        <cfvo type="max"/>
        <color rgb="FFFFFFFF"/>
        <color rgb="FF57BB8A"/>
      </colorScale>
    </cfRule>
  </conditionalFormatting>
  <conditionalFormatting sqref="B23:F23">
    <cfRule type="colorScale" priority="16">
      <colorScale>
        <cfvo type="min"/>
        <cfvo type="max"/>
        <color rgb="FFFFFFFF"/>
        <color rgb="FF57BB8A"/>
      </colorScale>
    </cfRule>
  </conditionalFormatting>
  <conditionalFormatting sqref="B24:F24">
    <cfRule type="colorScale" priority="17">
      <colorScale>
        <cfvo type="min"/>
        <cfvo type="max"/>
        <color rgb="FFFFFFFF"/>
        <color rgb="FF57BB8A"/>
      </colorScale>
    </cfRule>
  </conditionalFormatting>
  <conditionalFormatting sqref="B25:F25">
    <cfRule type="colorScale" priority="18">
      <colorScale>
        <cfvo type="min"/>
        <cfvo type="max"/>
        <color rgb="FFFFFFFF"/>
        <color rgb="FF57BB8A"/>
      </colorScale>
    </cfRule>
  </conditionalFormatting>
  <conditionalFormatting sqref="I2:M5">
    <cfRule type="colorScale" priority="19">
      <colorScale>
        <cfvo type="min"/>
        <cfvo type="max"/>
        <color rgb="FFFFFFFF"/>
        <color rgb="FF57BB8A"/>
      </colorScale>
    </cfRule>
  </conditionalFormatting>
  <conditionalFormatting sqref="I6:M8">
    <cfRule type="colorScale" priority="20">
      <colorScale>
        <cfvo type="min"/>
        <cfvo type="max"/>
        <color rgb="FFFFFFFF"/>
        <color rgb="FFE67C73"/>
      </colorScale>
    </cfRule>
  </conditionalFormatting>
  <conditionalFormatting sqref="I12:M15">
    <cfRule type="colorScale" priority="21">
      <colorScale>
        <cfvo type="min"/>
        <cfvo type="max"/>
        <color rgb="FFFFFFFF"/>
        <color rgb="FF57BB8A"/>
      </colorScale>
    </cfRule>
  </conditionalFormatting>
  <conditionalFormatting sqref="I16:M19">
    <cfRule type="colorScale" priority="22">
      <colorScale>
        <cfvo type="min"/>
        <cfvo type="max"/>
        <color rgb="FFFFFFFF"/>
        <color rgb="FF57BB8A"/>
      </colorScale>
    </cfRule>
  </conditionalFormatting>
  <drawing r:id="rId4"/>
  <legacyDrawing r:id="rId5"/>
</worksheet>
</file>