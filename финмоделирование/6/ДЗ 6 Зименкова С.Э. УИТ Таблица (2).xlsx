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Не так оптимистично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"/>
  </numFmts>
  <fonts count="13">
    <font>
      <name val="Calibri"/>
      <color rgb="FF000000"/>
      <sz val="10"/>
      <scheme val="minor"/>
    </font>
    <font>
      <name val="Century Gothic"/>
      <color theme="1"/>
      <sz val="10"/>
    </font>
    <font>
      <name val="Century Gothic"/>
      <b val="1"/>
      <color theme="1"/>
      <sz val="10"/>
    </font>
    <font>
      <name val="Century Gothic"/>
      <b val="1"/>
      <color theme="0"/>
      <sz val="10"/>
    </font>
    <font>
      <name val="Century Gothic"/>
      <color rgb="FF7F7F7F"/>
      <sz val="10"/>
    </font>
    <font>
      <name val="Century Gothic"/>
      <b val="1"/>
      <color rgb="FF7F7F7F"/>
      <sz val="10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Tahoma"/>
      <charset val="204"/>
      <family val="2"/>
      <color indexed="81"/>
      <sz val="9"/>
    </font>
    <font>
      <name val="Century Gothic"/>
      <charset val="204"/>
      <family val="2"/>
      <b val="1"/>
      <sz val="10"/>
    </font>
    <font>
      <name val="Century Gothic"/>
      <charset val="204"/>
      <family val="2"/>
      <color theme="1"/>
      <sz val="10"/>
    </font>
    <font>
      <name val="Calibri"/>
      <charset val="204"/>
      <family val="2"/>
      <color rgb="FF000000"/>
      <sz val="10"/>
      <scheme val="minor"/>
    </font>
    <font>
      <name val="Tahoma"/>
      <charset val="204"/>
      <family val="2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BDD6EE"/>
        <bgColor rgb="FFBDD6EE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2" pivotButton="0" quotePrefix="0" xfId="0"/>
    <xf numFmtId="164" fontId="3" fillId="2" borderId="2" pivotButton="0" quotePrefix="0" xfId="0"/>
    <xf numFmtId="164" fontId="2" fillId="3" borderId="2" pivotButton="0" quotePrefix="0" xfId="0"/>
    <xf numFmtId="0" fontId="2" fillId="0" borderId="0" pivotButton="0" quotePrefix="0" xfId="0"/>
    <xf numFmtId="164" fontId="2" fillId="0" borderId="0" pivotButton="0" quotePrefix="0" xfId="0"/>
    <xf numFmtId="164" fontId="1" fillId="3" borderId="2" pivotButton="0" quotePrefix="0" xfId="0"/>
    <xf numFmtId="164" fontId="1" fillId="0" borderId="0" pivotButton="0" quotePrefix="0" xfId="0"/>
    <xf numFmtId="9" fontId="1" fillId="3" borderId="2" pivotButton="0" quotePrefix="0" xfId="0"/>
    <xf numFmtId="0" fontId="1" fillId="0" borderId="0" pivotButton="0" quotePrefix="0" xfId="0"/>
    <xf numFmtId="9" fontId="1" fillId="0" borderId="0" pivotButton="0" quotePrefix="0" xfId="0"/>
    <xf numFmtId="10" fontId="1" fillId="3" borderId="2" pivotButton="0" quotePrefix="0" xfId="0"/>
    <xf numFmtId="10" fontId="1" fillId="0" borderId="0" pivotButton="0" quotePrefix="0" xfId="0"/>
    <xf numFmtId="164" fontId="1" fillId="0" borderId="0" pivotButton="0" quotePrefix="0" xfId="0"/>
    <xf numFmtId="9" fontId="1" fillId="4" borderId="2" pivotButton="0" quotePrefix="0" xfId="0"/>
    <xf numFmtId="164" fontId="1" fillId="3" borderId="2" pivotButton="0" quotePrefix="0" xfId="0"/>
    <xf numFmtId="9" fontId="1" fillId="3" borderId="2" pivotButton="0" quotePrefix="0" xfId="0"/>
    <xf numFmtId="0" fontId="1" fillId="0" borderId="0" applyAlignment="1" pivotButton="0" quotePrefix="0" xfId="0">
      <alignment horizontal="left"/>
    </xf>
    <xf numFmtId="164" fontId="3" fillId="2" borderId="2" applyAlignment="1" pivotButton="0" quotePrefix="0" xfId="0">
      <alignment vertical="center"/>
    </xf>
    <xf numFmtId="0" fontId="4" fillId="0" borderId="0" pivotButton="0" quotePrefix="0" xfId="0"/>
    <xf numFmtId="9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4" fillId="0" borderId="0" pivotButton="0" quotePrefix="0" xfId="0"/>
    <xf numFmtId="164" fontId="9" fillId="2" borderId="2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wrapText="1"/>
    </xf>
    <xf numFmtId="0" fontId="11" fillId="0" borderId="2" applyAlignment="1" pivotButton="0" quotePrefix="0" xfId="0">
      <alignment horizontal="left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PL!$B$78</f>
              <strCache>
                <ptCount val="1"/>
                <pt idx="0">
                  <v>ЧИСТАЯ ПРИБЫЛЬ (УБЫТОК)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PL!$C$2:$Z$2</f>
              <numCache>
                <formatCode>General</formatCode>
                <ptCount val="2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</numCache>
            </numRef>
          </cat>
          <val>
            <numRef>
              <f>PL!$C$78:$Z$78</f>
              <numCache>
                <formatCode>_-* #.##0_-;\-* #.##0_-;_-* "-"??_-;_-@</formatCode>
                <ptCount val="24"/>
                <pt idx="0">
                  <v>-215826</v>
                </pt>
                <pt idx="1">
                  <v>-59946</v>
                </pt>
                <pt idx="2">
                  <v>87222</v>
                </pt>
                <pt idx="3">
                  <v>225678</v>
                </pt>
                <pt idx="4">
                  <v>337910</v>
                </pt>
                <pt idx="5">
                  <v>441430</v>
                </pt>
                <pt idx="6">
                  <v>536238</v>
                </pt>
                <pt idx="7">
                  <v>631046</v>
                </pt>
                <pt idx="8">
                  <v>699630</v>
                </pt>
                <pt idx="9">
                  <v>768214</v>
                </pt>
                <pt idx="10">
                  <v>836798</v>
                </pt>
                <pt idx="11">
                  <v>896670</v>
                </pt>
                <pt idx="12">
                  <v>956542</v>
                </pt>
                <pt idx="13">
                  <v>1016414</v>
                </pt>
                <pt idx="14">
                  <v>1067486</v>
                </pt>
                <pt idx="15">
                  <v>1118646</v>
                </pt>
                <pt idx="16">
                  <v>1161006</v>
                </pt>
                <pt idx="17">
                  <v>1220878</v>
                </pt>
                <pt idx="18">
                  <v>1272038</v>
                </pt>
                <pt idx="19">
                  <v>1314398</v>
                </pt>
                <pt idx="20">
                  <v>1348046</v>
                </pt>
                <pt idx="21">
                  <v>1399206</v>
                </pt>
                <pt idx="22">
                  <v>1432854</v>
                </pt>
                <pt idx="23">
                  <v>1484014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7212031"/>
        <axId val="1807208703"/>
      </lineChart>
      <catAx>
        <axId val="1807212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08703"/>
        <crosses val="autoZero"/>
        <auto val="1"/>
        <lblAlgn val="ctr"/>
        <lblOffset val="100"/>
        <noMultiLvlLbl val="0"/>
      </catAx>
      <valAx>
        <axId val="1807208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.##0_-;\-* #.##0_-;_-* &quot;-&quot;??_-;_-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1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PL!$B$7</f>
              <strCache>
                <ptCount val="1"/>
                <pt idx="0">
                  <v>Бюджет на рекламу (Яндекс Директ)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PL!$C$2:$Z$2</f>
              <numCache>
                <formatCode>General</formatCode>
                <ptCount val="2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</numCache>
            </numRef>
          </cat>
          <val>
            <numRef>
              <f>PL!$C$7:$Z$7</f>
              <numCache>
                <formatCode>_-* #.##0_-;\-* #.##0_-;_-* "-"??_-;_-@</formatCode>
                <ptCount val="24"/>
                <pt idx="0">
                  <v>100000</v>
                </pt>
                <pt idx="1">
                  <v>110000</v>
                </pt>
                <pt idx="2">
                  <v>120000</v>
                </pt>
                <pt idx="3">
                  <v>130000</v>
                </pt>
                <pt idx="4">
                  <v>140000</v>
                </pt>
                <pt idx="5">
                  <v>150000</v>
                </pt>
                <pt idx="6">
                  <v>160000</v>
                </pt>
                <pt idx="7">
                  <v>170000</v>
                </pt>
                <pt idx="8">
                  <v>180000</v>
                </pt>
                <pt idx="9">
                  <v>190000</v>
                </pt>
                <pt idx="10">
                  <v>200000</v>
                </pt>
                <pt idx="11">
                  <v>210000</v>
                </pt>
                <pt idx="12">
                  <v>220000</v>
                </pt>
                <pt idx="13">
                  <v>230000</v>
                </pt>
                <pt idx="14">
                  <v>240000</v>
                </pt>
                <pt idx="15">
                  <v>250000</v>
                </pt>
                <pt idx="16">
                  <v>260000</v>
                </pt>
                <pt idx="17">
                  <v>270000</v>
                </pt>
                <pt idx="18">
                  <v>280000</v>
                </pt>
                <pt idx="19">
                  <v>290000</v>
                </pt>
                <pt idx="20">
                  <v>300000</v>
                </pt>
                <pt idx="21">
                  <v>310000</v>
                </pt>
                <pt idx="22">
                  <v>320000</v>
                </pt>
                <pt idx="23">
                  <v>330000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7212031"/>
        <axId val="1807208703"/>
      </lineChart>
      <catAx>
        <axId val="1807212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08703"/>
        <crosses val="autoZero"/>
        <auto val="1"/>
        <lblAlgn val="ctr"/>
        <lblOffset val="100"/>
        <noMultiLvlLbl val="0"/>
      </catAx>
      <valAx>
        <axId val="1807208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.##0_-;\-* #.##0_-;_-* &quot;-&quot;??_-;_-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1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PL!$B$33</f>
              <strCache>
                <ptCount val="1"/>
                <pt idx="0">
                  <v>Итого учеников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PL!$C$2:$Z$2</f>
              <numCache>
                <formatCode>General</formatCode>
                <ptCount val="2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</numCache>
            </numRef>
          </cat>
          <val>
            <numRef>
              <f>PL!$C$33:$Z$33</f>
              <numCache>
                <formatCode>_-* #.##0_-;\-* #.##0_-;_-* "-"??_-;_-@</formatCode>
                <ptCount val="24"/>
                <pt idx="0">
                  <v>17</v>
                </pt>
                <pt idx="1">
                  <v>32</v>
                </pt>
                <pt idx="2">
                  <v>46</v>
                </pt>
                <pt idx="3">
                  <v>59</v>
                </pt>
                <pt idx="4">
                  <v>70</v>
                </pt>
                <pt idx="5">
                  <v>80</v>
                </pt>
                <pt idx="6">
                  <v>89</v>
                </pt>
                <pt idx="7">
                  <v>98</v>
                </pt>
                <pt idx="8">
                  <v>105</v>
                </pt>
                <pt idx="9">
                  <v>112</v>
                </pt>
                <pt idx="10">
                  <v>119</v>
                </pt>
                <pt idx="11">
                  <v>125</v>
                </pt>
                <pt idx="12">
                  <v>131</v>
                </pt>
                <pt idx="13">
                  <v>137</v>
                </pt>
                <pt idx="14">
                  <v>143</v>
                </pt>
                <pt idx="15">
                  <v>148</v>
                </pt>
                <pt idx="16">
                  <v>153</v>
                </pt>
                <pt idx="17">
                  <v>159</v>
                </pt>
                <pt idx="18">
                  <v>164</v>
                </pt>
                <pt idx="19">
                  <v>169</v>
                </pt>
                <pt idx="20">
                  <v>173</v>
                </pt>
                <pt idx="21">
                  <v>178</v>
                </pt>
                <pt idx="22">
                  <v>182</v>
                </pt>
                <pt idx="23">
                  <v>187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7212031"/>
        <axId val="1807208703"/>
      </lineChart>
      <catAx>
        <axId val="1807212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08703"/>
        <crosses val="autoZero"/>
        <auto val="1"/>
        <lblAlgn val="ctr"/>
        <lblOffset val="100"/>
        <noMultiLvlLbl val="0"/>
      </catAx>
      <valAx>
        <axId val="1807208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.##0_-;\-* #.##0_-;_-* &quot;-&quot;??_-;_-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1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'Не так оптимистично'!$B$79</f>
              <strCache>
                <ptCount val="1"/>
                <pt idx="0">
                  <v>ЧИСТАЯ ПРИБЫЛЬ (УБЫТОК)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PL!$C$2:$Z$2</f>
              <numCache>
                <formatCode>General</formatCode>
                <ptCount val="2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</numCache>
            </numRef>
          </cat>
          <val>
            <numRef>
              <f>'Не так оптимистично'!$C$79:$Z$79</f>
              <numCache>
                <formatCode>_-* #\ ##0_-;\-* #\ ##0_-;_-* "-"??_-;_-@</formatCode>
                <ptCount val="24"/>
                <pt idx="0">
                  <v>-275826</v>
                </pt>
                <pt idx="1">
                  <v>-129796</v>
                </pt>
                <pt idx="2">
                  <v>-29210.00000000001</v>
                </pt>
                <pt idx="3">
                  <v>93654</v>
                </pt>
                <pt idx="4">
                  <v>78974</v>
                </pt>
                <pt idx="5">
                  <v>161072</v>
                </pt>
                <pt idx="6">
                  <v>229248</v>
                </pt>
                <pt idx="7">
                  <v>288624</v>
                </pt>
                <pt idx="8">
                  <v>364522</v>
                </pt>
                <pt idx="9">
                  <v>446176</v>
                </pt>
                <pt idx="10">
                  <v>503586</v>
                </pt>
                <pt idx="11">
                  <v>432252</v>
                </pt>
                <pt idx="12">
                  <v>466496</v>
                </pt>
                <pt idx="13">
                  <v>469218</v>
                </pt>
                <pt idx="14">
                  <v>471940</v>
                </pt>
                <pt idx="15">
                  <v>483462</v>
                </pt>
                <pt idx="16">
                  <v>486184</v>
                </pt>
                <pt idx="17">
                  <v>505428</v>
                </pt>
                <pt idx="18">
                  <v>500872</v>
                </pt>
                <pt idx="19">
                  <v>505116</v>
                </pt>
                <pt idx="20">
                  <v>487082</v>
                </pt>
                <pt idx="21">
                  <v>529048</v>
                </pt>
                <pt idx="22">
                  <v>576770</v>
                </pt>
                <pt idx="23">
                  <v>594492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7212031"/>
        <axId val="1807208703"/>
      </lineChart>
      <catAx>
        <axId val="1807212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08703"/>
        <crosses val="autoZero"/>
        <auto val="1"/>
        <lblAlgn val="ctr"/>
        <lblOffset val="100"/>
        <noMultiLvlLbl val="0"/>
      </catAx>
      <valAx>
        <axId val="1807208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_-;\-* #\ ##0_-;_-* &quot;-&quot;??_-;_-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1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'Не так оптимистично'!$B$13</f>
              <strCache>
                <ptCount val="1"/>
                <pt idx="0">
                  <v>Посетителей на сайте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PL!$C$2:$Z$2</f>
              <numCache>
                <formatCode>General</formatCode>
                <ptCount val="2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</numCache>
            </numRef>
          </cat>
          <val>
            <numRef>
              <f>'Не так оптимистично'!$C$13:$AL$13</f>
              <numCache>
                <formatCode>_-* #\ ##0_-;\-* #\ ##0_-;_-* "-"??_-;_-@</formatCode>
                <ptCount val="36"/>
                <pt idx="0">
                  <v>952</v>
                </pt>
                <pt idx="1">
                  <v>972</v>
                </pt>
                <pt idx="2">
                  <v>1012</v>
                </pt>
                <pt idx="3">
                  <v>1062</v>
                </pt>
                <pt idx="4">
                  <v>1112</v>
                </pt>
                <pt idx="5">
                  <v>1162</v>
                </pt>
                <pt idx="6">
                  <v>1262</v>
                </pt>
                <pt idx="7">
                  <v>1462</v>
                </pt>
                <pt idx="8">
                  <v>1762</v>
                </pt>
                <pt idx="9">
                  <v>1662</v>
                </pt>
                <pt idx="10">
                  <v>1512</v>
                </pt>
                <pt idx="11">
                  <v>1362</v>
                </pt>
                <pt idx="12">
                  <v>1362</v>
                </pt>
                <pt idx="13">
                  <v>1382</v>
                </pt>
                <pt idx="14">
                  <v>1422</v>
                </pt>
                <pt idx="15">
                  <v>1472</v>
                </pt>
                <pt idx="16">
                  <v>1522</v>
                </pt>
                <pt idx="17">
                  <v>1572</v>
                </pt>
                <pt idx="18">
                  <v>1672</v>
                </pt>
                <pt idx="19">
                  <v>1872</v>
                </pt>
                <pt idx="20">
                  <v>2172</v>
                </pt>
                <pt idx="21">
                  <v>2072</v>
                </pt>
                <pt idx="22">
                  <v>1922</v>
                </pt>
                <pt idx="23">
                  <v>1772</v>
                </pt>
                <pt idx="24">
                  <v>1772</v>
                </pt>
                <pt idx="25">
                  <v>1792</v>
                </pt>
                <pt idx="26">
                  <v>1832</v>
                </pt>
                <pt idx="27">
                  <v>1882</v>
                </pt>
                <pt idx="28">
                  <v>1932</v>
                </pt>
                <pt idx="29">
                  <v>1982</v>
                </pt>
                <pt idx="30">
                  <v>2082</v>
                </pt>
                <pt idx="31">
                  <v>2282</v>
                </pt>
                <pt idx="32">
                  <v>2582</v>
                </pt>
                <pt idx="33">
                  <v>2482</v>
                </pt>
                <pt idx="34">
                  <v>2332</v>
                </pt>
                <pt idx="35">
                  <v>2182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7212031"/>
        <axId val="1807208703"/>
      </lineChart>
      <catAx>
        <axId val="1807212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08703"/>
        <crosses val="autoZero"/>
        <auto val="1"/>
        <lblAlgn val="ctr"/>
        <lblOffset val="100"/>
        <noMultiLvlLbl val="0"/>
      </catAx>
      <valAx>
        <axId val="1807208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_-;\-* #\ ##0_-;_-* &quot;-&quot;??_-;_-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1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'Не так оптимистично'!$B$7</f>
              <strCache>
                <ptCount val="1"/>
                <pt idx="0">
                  <v>Бюджет на рекламу (Яндекс Директ)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PL!$C$2:$Z$2</f>
              <numCache>
                <formatCode>General</formatCode>
                <ptCount val="2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</numCache>
            </numRef>
          </cat>
          <val>
            <numRef>
              <f>'Не так оптимистично'!$C$7:$AL$7</f>
              <numCache>
                <formatCode>_-* #\ ##0_-;\-* #\ ##0_-;_-* "-"??_-;_-@</formatCode>
                <ptCount val="36"/>
                <pt idx="0">
                  <v>100000</v>
                </pt>
                <pt idx="1">
                  <v>105000</v>
                </pt>
                <pt idx="2">
                  <v>110000</v>
                </pt>
                <pt idx="3">
                  <v>115000</v>
                </pt>
                <pt idx="4">
                  <v>120000</v>
                </pt>
                <pt idx="5">
                  <v>125000</v>
                </pt>
                <pt idx="6">
                  <v>145000</v>
                </pt>
                <pt idx="7">
                  <v>165000</v>
                </pt>
                <pt idx="8">
                  <v>185000</v>
                </pt>
                <pt idx="9">
                  <v>175000</v>
                </pt>
                <pt idx="10">
                  <v>165000</v>
                </pt>
                <pt idx="11">
                  <v>155000</v>
                </pt>
                <pt idx="12">
                  <v>145000</v>
                </pt>
                <pt idx="13">
                  <v>150000</v>
                </pt>
                <pt idx="14">
                  <v>155000</v>
                </pt>
                <pt idx="15">
                  <v>160000</v>
                </pt>
                <pt idx="16">
                  <v>165000</v>
                </pt>
                <pt idx="17">
                  <v>170000</v>
                </pt>
                <pt idx="18">
                  <v>190000</v>
                </pt>
                <pt idx="19">
                  <v>210000</v>
                </pt>
                <pt idx="20">
                  <v>230000</v>
                </pt>
                <pt idx="21">
                  <v>220000</v>
                </pt>
                <pt idx="22">
                  <v>210000</v>
                </pt>
                <pt idx="23">
                  <v>200000</v>
                </pt>
                <pt idx="24">
                  <v>190000</v>
                </pt>
                <pt idx="25">
                  <v>195000</v>
                </pt>
                <pt idx="26">
                  <v>200000</v>
                </pt>
                <pt idx="27">
                  <v>205000</v>
                </pt>
                <pt idx="28">
                  <v>210000</v>
                </pt>
                <pt idx="29">
                  <v>215000</v>
                </pt>
                <pt idx="30">
                  <v>235000</v>
                </pt>
                <pt idx="31">
                  <v>255000</v>
                </pt>
                <pt idx="32">
                  <v>275000</v>
                </pt>
                <pt idx="33">
                  <v>265000</v>
                </pt>
                <pt idx="34">
                  <v>255000</v>
                </pt>
                <pt idx="35">
                  <v>245000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7212031"/>
        <axId val="1807208703"/>
      </lineChart>
      <catAx>
        <axId val="1807212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08703"/>
        <crosses val="autoZero"/>
        <auto val="1"/>
        <lblAlgn val="ctr"/>
        <lblOffset val="100"/>
        <noMultiLvlLbl val="0"/>
      </catAx>
      <valAx>
        <axId val="1807208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_-;\-* #\ ##0_-;_-* &quot;-&quot;??_-;_-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1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'Не так оптимистично'!$B$33</f>
              <strCache>
                <ptCount val="1"/>
                <pt idx="0">
                  <v>Итого учеников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'Не так оптимистично'!$C$2:$AL$2</f>
              <numCache>
                <formatCode>General</formatCode>
                <ptCount val="36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</numCache>
            </numRef>
          </cat>
          <val>
            <numRef>
              <f>'Не так оптимистично'!$C$33:$AL$33</f>
              <numCache>
                <formatCode>_-* #\ ##0_-;\-* #\ ##0_-;_-* "-"??_-;_-@</formatCode>
                <ptCount val="36"/>
                <pt idx="0">
                  <v>17</v>
                </pt>
                <pt idx="1">
                  <v>32</v>
                </pt>
                <pt idx="2">
                  <v>45</v>
                </pt>
                <pt idx="3">
                  <v>57</v>
                </pt>
                <pt idx="4">
                  <v>67</v>
                </pt>
                <pt idx="5">
                  <v>76</v>
                </pt>
                <pt idx="6">
                  <v>84</v>
                </pt>
                <pt idx="7">
                  <v>92</v>
                </pt>
                <pt idx="8">
                  <v>101</v>
                </pt>
                <pt idx="9">
                  <v>108</v>
                </pt>
                <pt idx="10">
                  <v>113</v>
                </pt>
                <pt idx="11">
                  <v>116</v>
                </pt>
                <pt idx="12">
                  <v>118</v>
                </pt>
                <pt idx="13">
                  <v>119</v>
                </pt>
                <pt idx="14">
                  <v>120</v>
                </pt>
                <pt idx="15">
                  <v>121</v>
                </pt>
                <pt idx="16">
                  <v>122</v>
                </pt>
                <pt idx="17">
                  <v>124</v>
                </pt>
                <pt idx="18">
                  <v>126</v>
                </pt>
                <pt idx="19">
                  <v>128</v>
                </pt>
                <pt idx="20">
                  <v>131</v>
                </pt>
                <pt idx="21">
                  <v>134</v>
                </pt>
                <pt idx="22">
                  <v>135</v>
                </pt>
                <pt idx="23">
                  <v>136</v>
                </pt>
                <pt idx="24">
                  <v>135</v>
                </pt>
                <pt idx="25">
                  <v>134</v>
                </pt>
                <pt idx="26">
                  <v>133</v>
                </pt>
                <pt idx="27">
                  <v>132</v>
                </pt>
                <pt idx="28">
                  <v>132</v>
                </pt>
                <pt idx="29">
                  <v>132</v>
                </pt>
                <pt idx="30">
                  <v>133</v>
                </pt>
                <pt idx="31">
                  <v>133</v>
                </pt>
                <pt idx="32">
                  <v>134</v>
                </pt>
                <pt idx="33">
                  <v>135</v>
                </pt>
                <pt idx="34">
                  <v>136</v>
                </pt>
                <pt idx="35">
                  <v>136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7212031"/>
        <axId val="1807208703"/>
      </lineChart>
      <catAx>
        <axId val="1807212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08703"/>
        <crosses val="autoZero"/>
        <auto val="1"/>
        <lblAlgn val="ctr"/>
        <lblOffset val="100"/>
        <noMultiLvlLbl val="0"/>
      </catAx>
      <valAx>
        <axId val="1807208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_-;\-* #\ ##0_-;_-* &quot;-&quot;??_-;_-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07212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Софья Зименкова</author>
  </authors>
  <commentList>
    <comment ref="B9" authorId="0" shapeId="0">
      <text>
        <t>Софья Зименкова:
насколько реалистично взять конверсию за константу и не менять ее? скорее всего с ростом количества клиентов конверсия начнет падать.</t>
      </text>
    </comment>
    <comment ref="B13" authorId="0" shapeId="0">
      <text>
        <t>Софья Зименкова:
предполагается стабильный рост количества посетителей без сезонности (а в образовании наверняка будет сезонность), что очень оптимистично</t>
      </text>
    </comment>
    <comment ref="B18" authorId="0" shapeId="0">
      <text>
        <t>Софья Зименкова:
2 года это большой срок. стоимость рекламы вырастет за это время.</t>
      </text>
    </comment>
    <comment ref="B32" authorId="0" shapeId="0">
      <text>
        <t>Софья Зименкова:
возможно, 14% на протяжении всего времени - слишком оптимистично.</t>
      </text>
    </comment>
    <comment ref="B49" authorId="0" shapeId="0">
      <text>
        <t>Софья Зименкова:
количество преподавателей не увеличивается несмотря на рост кол-ва учеников</t>
      </text>
    </comment>
    <comment ref="G53" authorId="0" shapeId="0">
      <text>
        <t>Софья Зименкова:
вот тут ученики уже перестают влезать в класс</t>
      </text>
    </comment>
    <comment ref="C55" authorId="0" shapeId="0">
      <text>
        <t>Софья Зименкова:
тут абсолютная ссылка, вся строка рассчитывается по первому месяцу</t>
      </text>
    </comment>
    <comment ref="B60" authorId="0" shapeId="0">
      <text>
        <t>Софья Зименкова:
а где бухгалтеры, юристы, кадровики, директоры, методисты программ?</t>
      </text>
    </comment>
    <comment ref="B65" authorId="0" shapeId="0">
      <text>
        <t>Софья Зименкова:
менеджер отдела продаж тоже один, не учитывается рост количества клиентов</t>
      </text>
    </comment>
    <comment ref="B76" authorId="0" shapeId="0">
      <text>
        <t>Софья Зименкова:
здесь пустая ячейка в формуле, и даже если бы там было значение - ссылка абсолютная, не учитывается износ оборудования и тд</t>
      </text>
    </comment>
  </commentList>
</comments>
</file>

<file path=xl/comments/comment2.xml><?xml version="1.0" encoding="utf-8"?>
<comments xmlns="http://schemas.openxmlformats.org/spreadsheetml/2006/main">
  <authors>
    <author>Софья Зименкова</author>
  </authors>
  <commentList>
    <comment ref="G53" authorId="0" shapeId="0">
      <text>
        <t>Софья Зименкова:
вот тут ученики уже перестают влезать в класс</t>
      </text>
    </comment>
    <comment ref="C55" authorId="0" shapeId="0">
      <text>
        <t>Софья Зименкова:
тут абсолютная ссылка, вся строка рассчитывается по первому месяцу</t>
      </text>
    </comment>
    <comment ref="A66" authorId="0" shapeId="0">
      <text>
        <t xml:space="preserve">Софья Зименкова:
предположим, что сотрудника в штате нет, пользуются услугами внешнего специалиста
</t>
      </text>
    </comment>
    <comment ref="B77" authorId="0" shapeId="0">
      <text>
        <t>Софья Зименкова:
для расчета амортизации не хватает входящих данных, поэтому не стала придумывать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drawing1.xml><?xml version="1.0" encoding="utf-8"?>
<wsDr xmlns="http://schemas.openxmlformats.org/drawingml/2006/spreadsheetDrawing">
  <twoCellAnchor>
    <from>
      <col>26</col>
      <colOff>521725</colOff>
      <row>64</row>
      <rowOff>46325</rowOff>
    </from>
    <to>
      <col>31</col>
      <colOff>331225</colOff>
      <row>80</row>
      <rowOff>122525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26</col>
      <colOff>658091</colOff>
      <row>3</row>
      <rowOff>17318</rowOff>
    </from>
    <to>
      <col>31</col>
      <colOff>467591</colOff>
      <row>19</row>
      <rowOff>93518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26</col>
      <colOff>606136</colOff>
      <row>21</row>
      <rowOff>86592</rowOff>
    </from>
    <to>
      <col>31</col>
      <colOff>415636</colOff>
      <row>38</row>
      <rowOff>6928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38</col>
      <colOff>917864</colOff>
      <row>66</row>
      <rowOff>17318</rowOff>
    </from>
    <to>
      <col>43</col>
      <colOff>727364</colOff>
      <row>82</row>
      <rowOff>93517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38</col>
      <colOff>692727</colOff>
      <row>11</row>
      <rowOff>138545</rowOff>
    </from>
    <to>
      <col>43</col>
      <colOff>502227</colOff>
      <row>28</row>
      <rowOff>58881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43</col>
      <colOff>710045</colOff>
      <row>2</row>
      <rowOff>86591</rowOff>
    </from>
    <to>
      <col>48</col>
      <colOff>519545</colOff>
      <row>19</row>
      <rowOff>6927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38</col>
      <colOff>658090</colOff>
      <row>32</row>
      <rowOff>0</rowOff>
    </from>
    <to>
      <col>43</col>
      <colOff>467590</colOff>
      <row>48</row>
      <rowOff>76199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4"/>
  <sheetViews>
    <sheetView showGridLines="0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6" sqref="C56"/>
    </sheetView>
  </sheetViews>
  <sheetFormatPr baseColWidth="8" defaultColWidth="14.42578125" defaultRowHeight="15.75" customHeight="1" outlineLevelRow="1"/>
  <cols>
    <col width="12.7109375" customWidth="1" min="1" max="1"/>
    <col width="50.28515625" customWidth="1" min="2" max="2"/>
    <col width="12.7109375" customWidth="1" min="3" max="26"/>
  </cols>
  <sheetData>
    <row r="1" ht="12.75" customHeight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2.75" customHeight="1">
      <c r="A2" s="13" t="n"/>
      <c r="B2" s="2" t="inlineStr">
        <is>
          <t>Месяц</t>
        </is>
      </c>
      <c r="C2" s="3" t="n">
        <v>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J2" s="3">
        <f>I2+1</f>
        <v/>
      </c>
      <c r="K2" s="3">
        <f>J2+1</f>
        <v/>
      </c>
      <c r="L2" s="3">
        <f>K2+1</f>
        <v/>
      </c>
      <c r="M2" s="3">
        <f>L2+1</f>
        <v/>
      </c>
      <c r="N2" s="3">
        <f>M2+1</f>
        <v/>
      </c>
      <c r="O2" s="3">
        <f>N2+1</f>
        <v/>
      </c>
      <c r="P2" s="3">
        <f>O2+1</f>
        <v/>
      </c>
      <c r="Q2" s="3">
        <f>P2+1</f>
        <v/>
      </c>
      <c r="R2" s="3">
        <f>Q2+1</f>
        <v/>
      </c>
      <c r="S2" s="3">
        <f>R2+1</f>
        <v/>
      </c>
      <c r="T2" s="3">
        <f>S2+1</f>
        <v/>
      </c>
      <c r="U2" s="3">
        <f>T2+1</f>
        <v/>
      </c>
      <c r="V2" s="3">
        <f>U2+1</f>
        <v/>
      </c>
      <c r="W2" s="3">
        <f>V2+1</f>
        <v/>
      </c>
      <c r="X2" s="3">
        <f>W2+1</f>
        <v/>
      </c>
      <c r="Y2" s="3">
        <f>X2+1</f>
        <v/>
      </c>
      <c r="Z2" s="3">
        <f>Y2+1</f>
        <v/>
      </c>
    </row>
    <row r="3" ht="12.75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2.75" customHeight="1">
      <c r="A4" s="8" t="n"/>
      <c r="B4" s="8" t="inlineStr">
        <is>
          <t>Отчет о прибылях и убытках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2.75" customHeight="1">
      <c r="A5" s="13" t="n"/>
      <c r="B5" s="5" t="inlineStr">
        <is>
          <t>ВЫРУЧКА</t>
        </is>
      </c>
      <c r="C5" s="6">
        <f>C42+C44</f>
        <v/>
      </c>
      <c r="D5" s="6">
        <f>D42+D44</f>
        <v/>
      </c>
      <c r="E5" s="6">
        <f>E42+E44</f>
        <v/>
      </c>
      <c r="F5" s="6">
        <f>F42+F44</f>
        <v/>
      </c>
      <c r="G5" s="6">
        <f>G42+G44</f>
        <v/>
      </c>
      <c r="H5" s="6">
        <f>H42+H44</f>
        <v/>
      </c>
      <c r="I5" s="6">
        <f>I42+I44</f>
        <v/>
      </c>
      <c r="J5" s="6">
        <f>J42+J44</f>
        <v/>
      </c>
      <c r="K5" s="6">
        <f>K42+K44</f>
        <v/>
      </c>
      <c r="L5" s="6">
        <f>L42+L44</f>
        <v/>
      </c>
      <c r="M5" s="6">
        <f>M42+M44</f>
        <v/>
      </c>
      <c r="N5" s="6">
        <f>N42+N44</f>
        <v/>
      </c>
      <c r="O5" s="6">
        <f>O42+O44</f>
        <v/>
      </c>
      <c r="P5" s="6">
        <f>P42+P44</f>
        <v/>
      </c>
      <c r="Q5" s="6">
        <f>Q42+Q44</f>
        <v/>
      </c>
      <c r="R5" s="6">
        <f>R42+R44</f>
        <v/>
      </c>
      <c r="S5" s="6">
        <f>S42+S44</f>
        <v/>
      </c>
      <c r="T5" s="6">
        <f>T42+T44</f>
        <v/>
      </c>
      <c r="U5" s="6">
        <f>U42+U44</f>
        <v/>
      </c>
      <c r="V5" s="6">
        <f>V42+V44</f>
        <v/>
      </c>
      <c r="W5" s="6">
        <f>W42+W44</f>
        <v/>
      </c>
      <c r="X5" s="6">
        <f>X42+X44</f>
        <v/>
      </c>
      <c r="Y5" s="6">
        <f>Y42+Y44</f>
        <v/>
      </c>
      <c r="Z5" s="6">
        <f>Z42+Z44</f>
        <v/>
      </c>
    </row>
    <row r="6" ht="12.75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outlineLevel="1" ht="12.75" customHeight="1">
      <c r="A7" s="7" t="n">
        <v>100000</v>
      </c>
      <c r="B7" s="8" t="inlineStr">
        <is>
          <t>Бюджет на рекламу (Яндекс Директ)</t>
        </is>
      </c>
      <c r="C7" s="9">
        <f>$A$7</f>
        <v/>
      </c>
      <c r="D7" s="9">
        <f>C7+10000</f>
        <v/>
      </c>
      <c r="E7" s="9">
        <f>D7+10000</f>
        <v/>
      </c>
      <c r="F7" s="9">
        <f>E7+10000</f>
        <v/>
      </c>
      <c r="G7" s="9">
        <f>F7+10000</f>
        <v/>
      </c>
      <c r="H7" s="9">
        <f>G7+10000</f>
        <v/>
      </c>
      <c r="I7" s="9">
        <f>H7+10000</f>
        <v/>
      </c>
      <c r="J7" s="9">
        <f>I7+10000</f>
        <v/>
      </c>
      <c r="K7" s="9">
        <f>J7+10000</f>
        <v/>
      </c>
      <c r="L7" s="9">
        <f>K7+10000</f>
        <v/>
      </c>
      <c r="M7" s="9">
        <f>L7+10000</f>
        <v/>
      </c>
      <c r="N7" s="9">
        <f>M7+10000</f>
        <v/>
      </c>
      <c r="O7" s="9">
        <f>N7+10000</f>
        <v/>
      </c>
      <c r="P7" s="9">
        <f>O7+10000</f>
        <v/>
      </c>
      <c r="Q7" s="9">
        <f>P7+10000</f>
        <v/>
      </c>
      <c r="R7" s="9">
        <f>Q7+10000</f>
        <v/>
      </c>
      <c r="S7" s="9">
        <f>R7+10000</f>
        <v/>
      </c>
      <c r="T7" s="9">
        <f>S7+10000</f>
        <v/>
      </c>
      <c r="U7" s="9">
        <f>T7+10000</f>
        <v/>
      </c>
      <c r="V7" s="9">
        <f>U7+10000</f>
        <v/>
      </c>
      <c r="W7" s="9">
        <f>V7+10000</f>
        <v/>
      </c>
      <c r="X7" s="9">
        <f>W7+10000</f>
        <v/>
      </c>
      <c r="Y7" s="9">
        <f>X7+10000</f>
        <v/>
      </c>
      <c r="Z7" s="9">
        <f>Y7+10000</f>
        <v/>
      </c>
    </row>
    <row r="8" outlineLevel="1" ht="12.75" customHeight="1">
      <c r="A8" s="19" t="n">
        <v>105</v>
      </c>
      <c r="B8" s="13" t="inlineStr">
        <is>
          <t>Стоимость клика</t>
        </is>
      </c>
      <c r="C8" s="17">
        <f>$A$8</f>
        <v/>
      </c>
      <c r="D8" s="17">
        <f>$A$8</f>
        <v/>
      </c>
      <c r="E8" s="17">
        <f>$A$8</f>
        <v/>
      </c>
      <c r="F8" s="17">
        <f>$A$8</f>
        <v/>
      </c>
      <c r="G8" s="17">
        <f>$A$8</f>
        <v/>
      </c>
      <c r="H8" s="17">
        <f>$A$8</f>
        <v/>
      </c>
      <c r="I8" s="17">
        <f>$A$8</f>
        <v/>
      </c>
      <c r="J8" s="17">
        <f>$A$8</f>
        <v/>
      </c>
      <c r="K8" s="17">
        <f>$A$8</f>
        <v/>
      </c>
      <c r="L8" s="17">
        <f>$A$8</f>
        <v/>
      </c>
      <c r="M8" s="17">
        <f>$A$8</f>
        <v/>
      </c>
      <c r="N8" s="17">
        <f>$A$8</f>
        <v/>
      </c>
      <c r="O8" s="17">
        <f>$A$8</f>
        <v/>
      </c>
      <c r="P8" s="17">
        <f>$A$8</f>
        <v/>
      </c>
      <c r="Q8" s="17">
        <f>$A$8</f>
        <v/>
      </c>
      <c r="R8" s="17">
        <f>$A$8</f>
        <v/>
      </c>
      <c r="S8" s="17">
        <f>$A$8</f>
        <v/>
      </c>
      <c r="T8" s="17">
        <f>$A$8</f>
        <v/>
      </c>
      <c r="U8" s="17">
        <f>$A$8</f>
        <v/>
      </c>
      <c r="V8" s="17">
        <f>$A$8</f>
        <v/>
      </c>
      <c r="W8" s="17">
        <f>$A$8</f>
        <v/>
      </c>
      <c r="X8" s="17">
        <f>$A$8</f>
        <v/>
      </c>
      <c r="Y8" s="17">
        <f>$A$8</f>
        <v/>
      </c>
      <c r="Z8" s="17">
        <f>$A$8</f>
        <v/>
      </c>
    </row>
    <row r="9" outlineLevel="1" ht="12.75" customHeight="1">
      <c r="A9" s="20" t="n">
        <v>0.12</v>
      </c>
      <c r="B9" s="13" t="inlineStr">
        <is>
          <t>Конверсия 1 (посетители — заявка)</t>
        </is>
      </c>
      <c r="C9" s="14">
        <f>$A$9</f>
        <v/>
      </c>
      <c r="D9" s="14">
        <f>$A$9</f>
        <v/>
      </c>
      <c r="E9" s="14">
        <f>$A$9</f>
        <v/>
      </c>
      <c r="F9" s="14">
        <f>$A$9</f>
        <v/>
      </c>
      <c r="G9" s="14">
        <f>$A$9</f>
        <v/>
      </c>
      <c r="H9" s="14">
        <f>$A$9</f>
        <v/>
      </c>
      <c r="I9" s="14">
        <f>$A$9</f>
        <v/>
      </c>
      <c r="J9" s="14">
        <f>$A$9</f>
        <v/>
      </c>
      <c r="K9" s="14">
        <f>$A$9</f>
        <v/>
      </c>
      <c r="L9" s="14">
        <f>$A$9</f>
        <v/>
      </c>
      <c r="M9" s="14">
        <f>$A$9</f>
        <v/>
      </c>
      <c r="N9" s="14">
        <f>$A$9</f>
        <v/>
      </c>
      <c r="O9" s="14">
        <f>$A$9</f>
        <v/>
      </c>
      <c r="P9" s="14">
        <f>$A$9</f>
        <v/>
      </c>
      <c r="Q9" s="14">
        <f>$A$9</f>
        <v/>
      </c>
      <c r="R9" s="14">
        <f>$A$9</f>
        <v/>
      </c>
      <c r="S9" s="14">
        <f>$A$9</f>
        <v/>
      </c>
      <c r="T9" s="14">
        <f>$A$9</f>
        <v/>
      </c>
      <c r="U9" s="14">
        <f>$A$9</f>
        <v/>
      </c>
      <c r="V9" s="14">
        <f>$A$9</f>
        <v/>
      </c>
      <c r="W9" s="14">
        <f>$A$9</f>
        <v/>
      </c>
      <c r="X9" s="14">
        <f>$A$9</f>
        <v/>
      </c>
      <c r="Y9" s="14">
        <f>$A$9</f>
        <v/>
      </c>
      <c r="Z9" s="14">
        <f>$A$9</f>
        <v/>
      </c>
    </row>
    <row r="10" outlineLevel="1" ht="12.75" customHeight="1">
      <c r="A10" s="20" t="n">
        <v>0.15</v>
      </c>
      <c r="B10" s="13" t="inlineStr">
        <is>
          <t>Конверсия 2 (заявка — тестовое занятие)</t>
        </is>
      </c>
      <c r="C10" s="14">
        <f>$A$10</f>
        <v/>
      </c>
      <c r="D10" s="14">
        <f>$A$10</f>
        <v/>
      </c>
      <c r="E10" s="14">
        <f>$A$10</f>
        <v/>
      </c>
      <c r="F10" s="14">
        <f>$A$10</f>
        <v/>
      </c>
      <c r="G10" s="14">
        <f>$A$10</f>
        <v/>
      </c>
      <c r="H10" s="14">
        <f>$A$10</f>
        <v/>
      </c>
      <c r="I10" s="14">
        <f>$A$10</f>
        <v/>
      </c>
      <c r="J10" s="14">
        <f>$A$10</f>
        <v/>
      </c>
      <c r="K10" s="14">
        <f>$A$10</f>
        <v/>
      </c>
      <c r="L10" s="14">
        <f>$A$10</f>
        <v/>
      </c>
      <c r="M10" s="14">
        <f>$A$10</f>
        <v/>
      </c>
      <c r="N10" s="14">
        <f>$A$10</f>
        <v/>
      </c>
      <c r="O10" s="14">
        <f>$A$10</f>
        <v/>
      </c>
      <c r="P10" s="14">
        <f>$A$10</f>
        <v/>
      </c>
      <c r="Q10" s="14">
        <f>$A$10</f>
        <v/>
      </c>
      <c r="R10" s="14">
        <f>$A$10</f>
        <v/>
      </c>
      <c r="S10" s="14">
        <f>$A$10</f>
        <v/>
      </c>
      <c r="T10" s="14">
        <f>$A$10</f>
        <v/>
      </c>
      <c r="U10" s="14">
        <f>$A$10</f>
        <v/>
      </c>
      <c r="V10" s="14">
        <f>$A$10</f>
        <v/>
      </c>
      <c r="W10" s="14">
        <f>$A$10</f>
        <v/>
      </c>
      <c r="X10" s="14">
        <f>$A$10</f>
        <v/>
      </c>
      <c r="Y10" s="14">
        <f>$A$10</f>
        <v/>
      </c>
      <c r="Z10" s="14">
        <f>$A$10</f>
        <v/>
      </c>
    </row>
    <row r="11" outlineLevel="1" ht="12.75" customHeight="1">
      <c r="A11" s="20" t="n">
        <v>0.33</v>
      </c>
      <c r="B11" s="13" t="inlineStr">
        <is>
          <t>Конверсия 3 (тестовое занятие — покупка)</t>
        </is>
      </c>
      <c r="C11" s="14">
        <f>$A$11</f>
        <v/>
      </c>
      <c r="D11" s="14">
        <f>$A$11</f>
        <v/>
      </c>
      <c r="E11" s="14">
        <f>$A$11</f>
        <v/>
      </c>
      <c r="F11" s="14">
        <f>$A$11</f>
        <v/>
      </c>
      <c r="G11" s="14">
        <f>$A$11</f>
        <v/>
      </c>
      <c r="H11" s="14">
        <f>$A$11</f>
        <v/>
      </c>
      <c r="I11" s="14">
        <f>$A$11</f>
        <v/>
      </c>
      <c r="J11" s="14">
        <f>$A$11</f>
        <v/>
      </c>
      <c r="K11" s="14">
        <f>$A$11</f>
        <v/>
      </c>
      <c r="L11" s="14">
        <f>$A$11</f>
        <v/>
      </c>
      <c r="M11" s="14">
        <f>$A$11</f>
        <v/>
      </c>
      <c r="N11" s="14">
        <f>$A$11</f>
        <v/>
      </c>
      <c r="O11" s="14">
        <f>$A$11</f>
        <v/>
      </c>
      <c r="P11" s="14">
        <f>$A$11</f>
        <v/>
      </c>
      <c r="Q11" s="14">
        <f>$A$11</f>
        <v/>
      </c>
      <c r="R11" s="14">
        <f>$A$11</f>
        <v/>
      </c>
      <c r="S11" s="14">
        <f>$A$11</f>
        <v/>
      </c>
      <c r="T11" s="14">
        <f>$A$11</f>
        <v/>
      </c>
      <c r="U11" s="14">
        <f>$A$11</f>
        <v/>
      </c>
      <c r="V11" s="14">
        <f>$A$11</f>
        <v/>
      </c>
      <c r="W11" s="14">
        <f>$A$11</f>
        <v/>
      </c>
      <c r="X11" s="14">
        <f>$A$11</f>
        <v/>
      </c>
      <c r="Y11" s="14">
        <f>$A$11</f>
        <v/>
      </c>
      <c r="Z11" s="14">
        <f>$A$11</f>
        <v/>
      </c>
    </row>
    <row r="12" outlineLevel="1" ht="12.75" customHeight="1">
      <c r="A12" s="13" t="n"/>
      <c r="B12" s="13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outlineLevel="1" ht="12.75" customHeight="1">
      <c r="A13" s="8" t="n"/>
      <c r="B13" s="8" t="inlineStr">
        <is>
          <t>Посетителей на сайте</t>
        </is>
      </c>
      <c r="C13" s="9">
        <f>C7/C8</f>
        <v/>
      </c>
      <c r="D13" s="9">
        <f>D7/D8</f>
        <v/>
      </c>
      <c r="E13" s="9">
        <f>E7/E8</f>
        <v/>
      </c>
      <c r="F13" s="9">
        <f>F7/F8</f>
        <v/>
      </c>
      <c r="G13" s="9">
        <f>G7/G8</f>
        <v/>
      </c>
      <c r="H13" s="9">
        <f>H7/H8</f>
        <v/>
      </c>
      <c r="I13" s="9">
        <f>I7/I8</f>
        <v/>
      </c>
      <c r="J13" s="9">
        <f>J7/J8</f>
        <v/>
      </c>
      <c r="K13" s="9">
        <f>K7/K8</f>
        <v/>
      </c>
      <c r="L13" s="9">
        <f>L7/L8</f>
        <v/>
      </c>
      <c r="M13" s="9">
        <f>M7/M8</f>
        <v/>
      </c>
      <c r="N13" s="9">
        <f>N7/N8</f>
        <v/>
      </c>
      <c r="O13" s="9">
        <f>O7/O8</f>
        <v/>
      </c>
      <c r="P13" s="9">
        <f>P7/P8</f>
        <v/>
      </c>
      <c r="Q13" s="9">
        <f>Q7/Q8</f>
        <v/>
      </c>
      <c r="R13" s="9">
        <f>R7/R8</f>
        <v/>
      </c>
      <c r="S13" s="9">
        <f>S7/S8</f>
        <v/>
      </c>
      <c r="T13" s="9">
        <f>T7/T8</f>
        <v/>
      </c>
      <c r="U13" s="9">
        <f>U7/U8</f>
        <v/>
      </c>
      <c r="V13" s="9">
        <f>V7/V8</f>
        <v/>
      </c>
      <c r="W13" s="9">
        <f>W7/W8</f>
        <v/>
      </c>
      <c r="X13" s="9">
        <f>X7/X8</f>
        <v/>
      </c>
      <c r="Y13" s="9">
        <f>Y7/Y8</f>
        <v/>
      </c>
      <c r="Z13" s="9">
        <f>Z7/Z8</f>
        <v/>
      </c>
    </row>
    <row r="14" outlineLevel="1" ht="12.75" customHeight="1">
      <c r="A14" s="13" t="n"/>
      <c r="B14" s="13" t="inlineStr">
        <is>
          <t>Количество заявок</t>
        </is>
      </c>
      <c r="C14" s="17">
        <f>C13*C9</f>
        <v/>
      </c>
      <c r="D14" s="17">
        <f>D13*D9</f>
        <v/>
      </c>
      <c r="E14" s="17">
        <f>E13*E9</f>
        <v/>
      </c>
      <c r="F14" s="17">
        <f>F13*F9</f>
        <v/>
      </c>
      <c r="G14" s="17">
        <f>G13*G9</f>
        <v/>
      </c>
      <c r="H14" s="17">
        <f>H13*H9</f>
        <v/>
      </c>
      <c r="I14" s="17">
        <f>I13*I9</f>
        <v/>
      </c>
      <c r="J14" s="17">
        <f>J13*J9</f>
        <v/>
      </c>
      <c r="K14" s="17">
        <f>K13*K9</f>
        <v/>
      </c>
      <c r="L14" s="17">
        <f>L13*L9</f>
        <v/>
      </c>
      <c r="M14" s="17">
        <f>M13*M9</f>
        <v/>
      </c>
      <c r="N14" s="17">
        <f>N13*N9</f>
        <v/>
      </c>
      <c r="O14" s="17">
        <f>O13*O9</f>
        <v/>
      </c>
      <c r="P14" s="17">
        <f>P13*P9</f>
        <v/>
      </c>
      <c r="Q14" s="17">
        <f>Q13*Q9</f>
        <v/>
      </c>
      <c r="R14" s="17">
        <f>R13*R9</f>
        <v/>
      </c>
      <c r="S14" s="17">
        <f>S13*S9</f>
        <v/>
      </c>
      <c r="T14" s="17">
        <f>T13*T9</f>
        <v/>
      </c>
      <c r="U14" s="17">
        <f>U13*U9</f>
        <v/>
      </c>
      <c r="V14" s="17">
        <f>V13*V9</f>
        <v/>
      </c>
      <c r="W14" s="17">
        <f>W13*W9</f>
        <v/>
      </c>
      <c r="X14" s="17">
        <f>X13*X9</f>
        <v/>
      </c>
      <c r="Y14" s="17">
        <f>Y13*Y9</f>
        <v/>
      </c>
      <c r="Z14" s="17">
        <f>Z13*Z9</f>
        <v/>
      </c>
    </row>
    <row r="15" outlineLevel="1" ht="12.75" customHeight="1">
      <c r="A15" s="13" t="n"/>
      <c r="B15" s="13" t="inlineStr">
        <is>
          <t>Количество приходов на тестовое занятие</t>
        </is>
      </c>
      <c r="C15" s="17">
        <f>ROUNDDOWN(C14*C10,0)</f>
        <v/>
      </c>
      <c r="D15" s="17">
        <f>ROUNDDOWN(D14*D10,0)</f>
        <v/>
      </c>
      <c r="E15" s="17">
        <f>ROUNDDOWN(E14*E10,0)</f>
        <v/>
      </c>
      <c r="F15" s="17">
        <f>ROUNDDOWN(F14*F10,0)</f>
        <v/>
      </c>
      <c r="G15" s="17">
        <f>ROUNDDOWN(G14*G10,0)</f>
        <v/>
      </c>
      <c r="H15" s="17">
        <f>ROUNDDOWN(H14*H10,0)</f>
        <v/>
      </c>
      <c r="I15" s="17">
        <f>ROUNDDOWN(I14*I10,0)</f>
        <v/>
      </c>
      <c r="J15" s="17">
        <f>ROUNDDOWN(J14*J10,0)</f>
        <v/>
      </c>
      <c r="K15" s="17">
        <f>ROUNDDOWN(K14*K10,0)</f>
        <v/>
      </c>
      <c r="L15" s="17">
        <f>ROUNDDOWN(L14*L10,0)</f>
        <v/>
      </c>
      <c r="M15" s="17">
        <f>ROUNDDOWN(M14*M10,0)</f>
        <v/>
      </c>
      <c r="N15" s="17">
        <f>ROUNDDOWN(N14*N10,0)</f>
        <v/>
      </c>
      <c r="O15" s="17">
        <f>ROUNDDOWN(O14*O10,0)</f>
        <v/>
      </c>
      <c r="P15" s="17">
        <f>ROUNDDOWN(P14*P10,0)</f>
        <v/>
      </c>
      <c r="Q15" s="17">
        <f>ROUNDDOWN(Q14*Q10,0)</f>
        <v/>
      </c>
      <c r="R15" s="17">
        <f>ROUNDDOWN(R14*R10,0)</f>
        <v/>
      </c>
      <c r="S15" s="17">
        <f>ROUNDDOWN(S14*S10,0)</f>
        <v/>
      </c>
      <c r="T15" s="17">
        <f>ROUNDDOWN(T14*T10,0)</f>
        <v/>
      </c>
      <c r="U15" s="17">
        <f>ROUNDDOWN(U14*U10,0)</f>
        <v/>
      </c>
      <c r="V15" s="17">
        <f>ROUNDDOWN(V14*V10,0)</f>
        <v/>
      </c>
      <c r="W15" s="17">
        <f>ROUNDDOWN(W14*W10,0)</f>
        <v/>
      </c>
      <c r="X15" s="17">
        <f>ROUNDDOWN(X14*X10,0)</f>
        <v/>
      </c>
      <c r="Y15" s="17">
        <f>ROUNDDOWN(Y14*Y10,0)</f>
        <v/>
      </c>
      <c r="Z15" s="17">
        <f>ROUNDDOWN(Z14*Z10,0)</f>
        <v/>
      </c>
    </row>
    <row r="16" outlineLevel="1" ht="12.75" customHeight="1">
      <c r="A16" s="13" t="n"/>
      <c r="B16" s="13" t="inlineStr">
        <is>
          <t>Количество покупок</t>
        </is>
      </c>
      <c r="C16" s="17">
        <f>ROUNDDOWN(C15*C11,0)</f>
        <v/>
      </c>
      <c r="D16" s="17">
        <f>ROUNDDOWN(D15*D11,0)</f>
        <v/>
      </c>
      <c r="E16" s="17">
        <f>ROUNDDOWN(E15*E11,0)</f>
        <v/>
      </c>
      <c r="F16" s="17">
        <f>ROUNDDOWN(F15*F11,0)</f>
        <v/>
      </c>
      <c r="G16" s="17">
        <f>ROUNDDOWN(G15*G11,0)</f>
        <v/>
      </c>
      <c r="H16" s="17">
        <f>ROUNDDOWN(H15*H11,0)</f>
        <v/>
      </c>
      <c r="I16" s="17">
        <f>ROUNDDOWN(I15*I11,0)</f>
        <v/>
      </c>
      <c r="J16" s="17">
        <f>ROUNDDOWN(J15*J11,0)</f>
        <v/>
      </c>
      <c r="K16" s="17">
        <f>ROUNDDOWN(K15*K11,0)</f>
        <v/>
      </c>
      <c r="L16" s="17">
        <f>ROUNDDOWN(L15*L11,0)</f>
        <v/>
      </c>
      <c r="M16" s="17">
        <f>ROUNDDOWN(M15*M11,0)</f>
        <v/>
      </c>
      <c r="N16" s="17">
        <f>ROUNDDOWN(N15*N11,0)</f>
        <v/>
      </c>
      <c r="O16" s="17">
        <f>ROUNDDOWN(O15*O11,0)</f>
        <v/>
      </c>
      <c r="P16" s="17">
        <f>ROUNDDOWN(P15*P11,0)</f>
        <v/>
      </c>
      <c r="Q16" s="17">
        <f>ROUNDDOWN(Q15*Q11,0)</f>
        <v/>
      </c>
      <c r="R16" s="17">
        <f>ROUNDDOWN(R15*R11,0)</f>
        <v/>
      </c>
      <c r="S16" s="17">
        <f>ROUNDDOWN(S15*S11,0)</f>
        <v/>
      </c>
      <c r="T16" s="17">
        <f>ROUNDDOWN(T15*T11,0)</f>
        <v/>
      </c>
      <c r="U16" s="17">
        <f>ROUNDDOWN(U15*U11,0)</f>
        <v/>
      </c>
      <c r="V16" s="17">
        <f>ROUNDDOWN(V15*V11,0)</f>
        <v/>
      </c>
      <c r="W16" s="17">
        <f>ROUNDDOWN(W15*W11,0)</f>
        <v/>
      </c>
      <c r="X16" s="17">
        <f>ROUNDDOWN(X15*X11,0)</f>
        <v/>
      </c>
      <c r="Y16" s="17">
        <f>ROUNDDOWN(Y15*Y11,0)</f>
        <v/>
      </c>
      <c r="Z16" s="17">
        <f>ROUNDDOWN(Z15*Z11,0)</f>
        <v/>
      </c>
    </row>
    <row r="17" outlineLevel="1" ht="12.75" customHeight="1">
      <c r="A17" s="13" t="n"/>
      <c r="B17" s="13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outlineLevel="1" ht="12.75" customHeight="1">
      <c r="A18" s="7" t="n">
        <v>75000</v>
      </c>
      <c r="B18" s="8" t="inlineStr">
        <is>
          <t>Бюджет на рекламу (соцсети)</t>
        </is>
      </c>
      <c r="C18" s="9">
        <f>$A$18</f>
        <v/>
      </c>
      <c r="D18" s="9">
        <f>$A$18</f>
        <v/>
      </c>
      <c r="E18" s="9">
        <f>$A$18</f>
        <v/>
      </c>
      <c r="F18" s="9">
        <f>$A$18</f>
        <v/>
      </c>
      <c r="G18" s="9">
        <f>$A$18</f>
        <v/>
      </c>
      <c r="H18" s="9">
        <f>$A$18</f>
        <v/>
      </c>
      <c r="I18" s="9">
        <f>$A$18</f>
        <v/>
      </c>
      <c r="J18" s="9">
        <f>$A$18</f>
        <v/>
      </c>
      <c r="K18" s="9">
        <f>$A$18</f>
        <v/>
      </c>
      <c r="L18" s="9">
        <f>$A$18</f>
        <v/>
      </c>
      <c r="M18" s="9">
        <f>$A$18</f>
        <v/>
      </c>
      <c r="N18" s="9">
        <f>$A$18</f>
        <v/>
      </c>
      <c r="O18" s="9">
        <f>$A$18</f>
        <v/>
      </c>
      <c r="P18" s="9">
        <f>$A$18</f>
        <v/>
      </c>
      <c r="Q18" s="9">
        <f>$A$18</f>
        <v/>
      </c>
      <c r="R18" s="9">
        <f>$A$18</f>
        <v/>
      </c>
      <c r="S18" s="9">
        <f>$A$18</f>
        <v/>
      </c>
      <c r="T18" s="9">
        <f>$A$18</f>
        <v/>
      </c>
      <c r="U18" s="9">
        <f>$A$18</f>
        <v/>
      </c>
      <c r="V18" s="9">
        <f>$A$18</f>
        <v/>
      </c>
      <c r="W18" s="9">
        <f>$A$18</f>
        <v/>
      </c>
      <c r="X18" s="9">
        <f>$A$18</f>
        <v/>
      </c>
      <c r="Y18" s="9">
        <f>$A$18</f>
        <v/>
      </c>
      <c r="Z18" s="9">
        <f>$A$18</f>
        <v/>
      </c>
    </row>
    <row r="19" outlineLevel="1" ht="12.75" customHeight="1">
      <c r="A19" s="19" t="n">
        <v>950</v>
      </c>
      <c r="B19" s="13" t="inlineStr">
        <is>
          <t>CPM (цена 1000 показов)</t>
        </is>
      </c>
      <c r="C19" s="17">
        <f>$A$19</f>
        <v/>
      </c>
      <c r="D19" s="17">
        <f>$A$19</f>
        <v/>
      </c>
      <c r="E19" s="17">
        <f>$A$19</f>
        <v/>
      </c>
      <c r="F19" s="17">
        <f>$A$19</f>
        <v/>
      </c>
      <c r="G19" s="17">
        <f>$A$19</f>
        <v/>
      </c>
      <c r="H19" s="17">
        <f>$A$19</f>
        <v/>
      </c>
      <c r="I19" s="17">
        <f>$A$19</f>
        <v/>
      </c>
      <c r="J19" s="17">
        <f>$A$19</f>
        <v/>
      </c>
      <c r="K19" s="17">
        <f>$A$19</f>
        <v/>
      </c>
      <c r="L19" s="17">
        <f>$A$19</f>
        <v/>
      </c>
      <c r="M19" s="17">
        <f>$A$19</f>
        <v/>
      </c>
      <c r="N19" s="17">
        <f>$A$19</f>
        <v/>
      </c>
      <c r="O19" s="17">
        <f>$A$19</f>
        <v/>
      </c>
      <c r="P19" s="17">
        <f>$A$19</f>
        <v/>
      </c>
      <c r="Q19" s="17">
        <f>$A$19</f>
        <v/>
      </c>
      <c r="R19" s="17">
        <f>$A$19</f>
        <v/>
      </c>
      <c r="S19" s="17">
        <f>$A$19</f>
        <v/>
      </c>
      <c r="T19" s="17">
        <f>$A$19</f>
        <v/>
      </c>
      <c r="U19" s="17">
        <f>$A$19</f>
        <v/>
      </c>
      <c r="V19" s="17">
        <f>$A$19</f>
        <v/>
      </c>
      <c r="W19" s="17">
        <f>$A$19</f>
        <v/>
      </c>
      <c r="X19" s="17">
        <f>$A$19</f>
        <v/>
      </c>
      <c r="Y19" s="17">
        <f>$A$19</f>
        <v/>
      </c>
      <c r="Z19" s="17">
        <f>$A$19</f>
        <v/>
      </c>
    </row>
    <row r="20" outlineLevel="1" ht="12.75" customHeight="1">
      <c r="A20" s="15" t="n">
        <v>0.01</v>
      </c>
      <c r="B20" s="13" t="inlineStr">
        <is>
          <t>CTR</t>
        </is>
      </c>
      <c r="C20" s="16">
        <f>$A$20</f>
        <v/>
      </c>
      <c r="D20" s="16">
        <f>$A$20</f>
        <v/>
      </c>
      <c r="E20" s="16">
        <f>$A$20</f>
        <v/>
      </c>
      <c r="F20" s="16">
        <f>$A$20</f>
        <v/>
      </c>
      <c r="G20" s="16">
        <f>$A$20</f>
        <v/>
      </c>
      <c r="H20" s="16">
        <f>$A$20</f>
        <v/>
      </c>
      <c r="I20" s="16">
        <f>$A$20</f>
        <v/>
      </c>
      <c r="J20" s="16">
        <f>$A$20</f>
        <v/>
      </c>
      <c r="K20" s="16">
        <f>$A$20</f>
        <v/>
      </c>
      <c r="L20" s="16">
        <f>$A$20</f>
        <v/>
      </c>
      <c r="M20" s="16">
        <f>$A$20</f>
        <v/>
      </c>
      <c r="N20" s="16">
        <f>$A$20</f>
        <v/>
      </c>
      <c r="O20" s="16">
        <f>$A$20</f>
        <v/>
      </c>
      <c r="P20" s="16">
        <f>$A$20</f>
        <v/>
      </c>
      <c r="Q20" s="16">
        <f>$A$20</f>
        <v/>
      </c>
      <c r="R20" s="16">
        <f>$A$20</f>
        <v/>
      </c>
      <c r="S20" s="16">
        <f>$A$20</f>
        <v/>
      </c>
      <c r="T20" s="16">
        <f>$A$20</f>
        <v/>
      </c>
      <c r="U20" s="16">
        <f>$A$20</f>
        <v/>
      </c>
      <c r="V20" s="16">
        <f>$A$20</f>
        <v/>
      </c>
      <c r="W20" s="16">
        <f>$A$20</f>
        <v/>
      </c>
      <c r="X20" s="16">
        <f>$A$20</f>
        <v/>
      </c>
      <c r="Y20" s="16">
        <f>$A$20</f>
        <v/>
      </c>
      <c r="Z20" s="16">
        <f>$A$20</f>
        <v/>
      </c>
    </row>
    <row r="21" outlineLevel="1" ht="12.75" customHeight="1">
      <c r="A21" s="20" t="n">
        <v>0.05</v>
      </c>
      <c r="B21" s="13" t="inlineStr">
        <is>
          <t>Конверсия 1 (заявка — тестовое занятие)</t>
        </is>
      </c>
      <c r="C21" s="14">
        <f>$A$21</f>
        <v/>
      </c>
      <c r="D21" s="14">
        <f>$A$21</f>
        <v/>
      </c>
      <c r="E21" s="14">
        <f>$A$21</f>
        <v/>
      </c>
      <c r="F21" s="14">
        <f>$A$21</f>
        <v/>
      </c>
      <c r="G21" s="14">
        <f>$A$21</f>
        <v/>
      </c>
      <c r="H21" s="14">
        <f>$A$21</f>
        <v/>
      </c>
      <c r="I21" s="14">
        <f>$A$21</f>
        <v/>
      </c>
      <c r="J21" s="14">
        <f>$A$21</f>
        <v/>
      </c>
      <c r="K21" s="14">
        <f>$A$21</f>
        <v/>
      </c>
      <c r="L21" s="14">
        <f>$A$21</f>
        <v/>
      </c>
      <c r="M21" s="14">
        <f>$A$21</f>
        <v/>
      </c>
      <c r="N21" s="14">
        <f>$A$21</f>
        <v/>
      </c>
      <c r="O21" s="14">
        <f>$A$21</f>
        <v/>
      </c>
      <c r="P21" s="14">
        <f>$A$21</f>
        <v/>
      </c>
      <c r="Q21" s="14">
        <f>$A$21</f>
        <v/>
      </c>
      <c r="R21" s="14">
        <f>$A$21</f>
        <v/>
      </c>
      <c r="S21" s="14">
        <f>$A$21</f>
        <v/>
      </c>
      <c r="T21" s="14">
        <f>$A$21</f>
        <v/>
      </c>
      <c r="U21" s="14">
        <f>$A$21</f>
        <v/>
      </c>
      <c r="V21" s="14">
        <f>$A$21</f>
        <v/>
      </c>
      <c r="W21" s="14">
        <f>$A$21</f>
        <v/>
      </c>
      <c r="X21" s="14">
        <f>$A$21</f>
        <v/>
      </c>
      <c r="Y21" s="14">
        <f>$A$21</f>
        <v/>
      </c>
      <c r="Z21" s="14">
        <f>$A$21</f>
        <v/>
      </c>
    </row>
    <row r="22" outlineLevel="1" ht="12.75" customHeight="1">
      <c r="A22" s="20" t="n">
        <v>0.33</v>
      </c>
      <c r="B22" s="13" t="inlineStr">
        <is>
          <t>Конверсия 2 (тестовое занятие — покупка)</t>
        </is>
      </c>
      <c r="C22" s="14">
        <f>$A$11</f>
        <v/>
      </c>
      <c r="D22" s="14">
        <f>$A$11</f>
        <v/>
      </c>
      <c r="E22" s="14">
        <f>$A$11</f>
        <v/>
      </c>
      <c r="F22" s="14">
        <f>$A$11</f>
        <v/>
      </c>
      <c r="G22" s="14">
        <f>$A$11</f>
        <v/>
      </c>
      <c r="H22" s="14">
        <f>$A$11</f>
        <v/>
      </c>
      <c r="I22" s="14">
        <f>$A$11</f>
        <v/>
      </c>
      <c r="J22" s="14">
        <f>$A$11</f>
        <v/>
      </c>
      <c r="K22" s="14">
        <f>$A$11</f>
        <v/>
      </c>
      <c r="L22" s="14">
        <f>$A$11</f>
        <v/>
      </c>
      <c r="M22" s="14">
        <f>$A$11</f>
        <v/>
      </c>
      <c r="N22" s="14">
        <f>$A$11</f>
        <v/>
      </c>
      <c r="O22" s="14">
        <f>$A$11</f>
        <v/>
      </c>
      <c r="P22" s="14">
        <f>$A$11</f>
        <v/>
      </c>
      <c r="Q22" s="14">
        <f>$A$11</f>
        <v/>
      </c>
      <c r="R22" s="14">
        <f>$A$11</f>
        <v/>
      </c>
      <c r="S22" s="14">
        <f>$A$11</f>
        <v/>
      </c>
      <c r="T22" s="14">
        <f>$A$11</f>
        <v/>
      </c>
      <c r="U22" s="14">
        <f>$A$11</f>
        <v/>
      </c>
      <c r="V22" s="14">
        <f>$A$11</f>
        <v/>
      </c>
      <c r="W22" s="14">
        <f>$A$11</f>
        <v/>
      </c>
      <c r="X22" s="14">
        <f>$A$11</f>
        <v/>
      </c>
      <c r="Y22" s="14">
        <f>$A$11</f>
        <v/>
      </c>
      <c r="Z22" s="14">
        <f>$A$11</f>
        <v/>
      </c>
    </row>
    <row r="23" outlineLevel="1" ht="12.75" customHeight="1">
      <c r="A23" s="13" t="n"/>
      <c r="B23" s="13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outlineLevel="1" ht="12.75" customHeight="1">
      <c r="A24" s="8" t="n"/>
      <c r="B24" s="8" t="inlineStr">
        <is>
          <t>Показов</t>
        </is>
      </c>
      <c r="C24" s="9">
        <f>C18/C19*1000</f>
        <v/>
      </c>
      <c r="D24" s="9">
        <f>D18/D19*1000</f>
        <v/>
      </c>
      <c r="E24" s="9">
        <f>E18/E19*1000</f>
        <v/>
      </c>
      <c r="F24" s="9">
        <f>F18/F19*1000</f>
        <v/>
      </c>
      <c r="G24" s="9">
        <f>G18/G19*1000</f>
        <v/>
      </c>
      <c r="H24" s="9">
        <f>H18/H19*1000</f>
        <v/>
      </c>
      <c r="I24" s="9">
        <f>I18/I19*1000</f>
        <v/>
      </c>
      <c r="J24" s="9">
        <f>J18/J19*1000</f>
        <v/>
      </c>
      <c r="K24" s="9">
        <f>K18/K19*1000</f>
        <v/>
      </c>
      <c r="L24" s="9">
        <f>L18/L19*1000</f>
        <v/>
      </c>
      <c r="M24" s="9">
        <f>M18/M19*1000</f>
        <v/>
      </c>
      <c r="N24" s="9">
        <f>N18/N19*1000</f>
        <v/>
      </c>
      <c r="O24" s="9">
        <f>O18/O19*1000</f>
        <v/>
      </c>
      <c r="P24" s="9">
        <f>P18/P19*1000</f>
        <v/>
      </c>
      <c r="Q24" s="9">
        <f>Q18/Q19*1000</f>
        <v/>
      </c>
      <c r="R24" s="9">
        <f>R18/R19*1000</f>
        <v/>
      </c>
      <c r="S24" s="9">
        <f>S18/S19*1000</f>
        <v/>
      </c>
      <c r="T24" s="9">
        <f>T18/T19*1000</f>
        <v/>
      </c>
      <c r="U24" s="9">
        <f>U18/U19*1000</f>
        <v/>
      </c>
      <c r="V24" s="9">
        <f>V18/V19*1000</f>
        <v/>
      </c>
      <c r="W24" s="9">
        <f>W18/W19*1000</f>
        <v/>
      </c>
      <c r="X24" s="9">
        <f>X18/X19*1000</f>
        <v/>
      </c>
      <c r="Y24" s="9">
        <f>Y18/Y19*1000</f>
        <v/>
      </c>
      <c r="Z24" s="9">
        <f>Z18/Z19*1000</f>
        <v/>
      </c>
    </row>
    <row r="25" outlineLevel="1" ht="12.75" customHeight="1">
      <c r="A25" s="13" t="n"/>
      <c r="B25" s="13" t="inlineStr">
        <is>
          <t>Переходов на сайт</t>
        </is>
      </c>
      <c r="C25" s="17">
        <f>C24*C20</f>
        <v/>
      </c>
      <c r="D25" s="17">
        <f>D24*D20</f>
        <v/>
      </c>
      <c r="E25" s="17">
        <f>E24*E20</f>
        <v/>
      </c>
      <c r="F25" s="17">
        <f>F24*F20</f>
        <v/>
      </c>
      <c r="G25" s="17">
        <f>G24*G20</f>
        <v/>
      </c>
      <c r="H25" s="17">
        <f>H24*H20</f>
        <v/>
      </c>
      <c r="I25" s="17">
        <f>I24*I20</f>
        <v/>
      </c>
      <c r="J25" s="17">
        <f>J24*J20</f>
        <v/>
      </c>
      <c r="K25" s="17">
        <f>K24*K20</f>
        <v/>
      </c>
      <c r="L25" s="17">
        <f>L24*L20</f>
        <v/>
      </c>
      <c r="M25" s="17">
        <f>M24*M20</f>
        <v/>
      </c>
      <c r="N25" s="17">
        <f>N24*N20</f>
        <v/>
      </c>
      <c r="O25" s="17">
        <f>O24*O20</f>
        <v/>
      </c>
      <c r="P25" s="17">
        <f>P24*P20</f>
        <v/>
      </c>
      <c r="Q25" s="17">
        <f>Q24*Q20</f>
        <v/>
      </c>
      <c r="R25" s="17">
        <f>R24*R20</f>
        <v/>
      </c>
      <c r="S25" s="17">
        <f>S24*S20</f>
        <v/>
      </c>
      <c r="T25" s="17">
        <f>T24*T20</f>
        <v/>
      </c>
      <c r="U25" s="17">
        <f>U24*U20</f>
        <v/>
      </c>
      <c r="V25" s="17">
        <f>V24*V20</f>
        <v/>
      </c>
      <c r="W25" s="17">
        <f>W24*W20</f>
        <v/>
      </c>
      <c r="X25" s="17">
        <f>X24*X20</f>
        <v/>
      </c>
      <c r="Y25" s="17">
        <f>Y24*Y20</f>
        <v/>
      </c>
      <c r="Z25" s="17">
        <f>Z24*Z20</f>
        <v/>
      </c>
    </row>
    <row r="26" outlineLevel="1" ht="12.75" customHeight="1">
      <c r="A26" s="13" t="n"/>
      <c r="B26" s="13" t="inlineStr">
        <is>
          <t>Количество новых покупок</t>
        </is>
      </c>
      <c r="C26" s="17">
        <f>ROUNDDOWN(C25*C21,0)</f>
        <v/>
      </c>
      <c r="D26" s="17">
        <f>ROUNDDOWN(D25*D21,0)</f>
        <v/>
      </c>
      <c r="E26" s="17">
        <f>ROUNDDOWN(E25*E21,0)</f>
        <v/>
      </c>
      <c r="F26" s="17">
        <f>ROUNDDOWN(F25*F21,0)</f>
        <v/>
      </c>
      <c r="G26" s="17">
        <f>ROUNDDOWN(G25*G21,0)</f>
        <v/>
      </c>
      <c r="H26" s="17">
        <f>ROUNDDOWN(H25*H21,0)</f>
        <v/>
      </c>
      <c r="I26" s="17">
        <f>ROUNDDOWN(I25*I21,0)</f>
        <v/>
      </c>
      <c r="J26" s="17">
        <f>ROUNDDOWN(J25*J21,0)</f>
        <v/>
      </c>
      <c r="K26" s="17">
        <f>ROUNDDOWN(K25*K21,0)</f>
        <v/>
      </c>
      <c r="L26" s="17">
        <f>ROUNDDOWN(L25*L21,0)</f>
        <v/>
      </c>
      <c r="M26" s="17">
        <f>ROUNDDOWN(M25*M21,0)</f>
        <v/>
      </c>
      <c r="N26" s="17">
        <f>ROUNDDOWN(N25*N21,0)</f>
        <v/>
      </c>
      <c r="O26" s="17">
        <f>ROUNDDOWN(O25*O21,0)</f>
        <v/>
      </c>
      <c r="P26" s="17">
        <f>ROUNDDOWN(P25*P21,0)</f>
        <v/>
      </c>
      <c r="Q26" s="17">
        <f>ROUNDDOWN(Q25*Q21,0)</f>
        <v/>
      </c>
      <c r="R26" s="17">
        <f>ROUNDDOWN(R25*R21,0)</f>
        <v/>
      </c>
      <c r="S26" s="17">
        <f>ROUNDDOWN(S25*S21,0)</f>
        <v/>
      </c>
      <c r="T26" s="17">
        <f>ROUNDDOWN(T25*T21,0)</f>
        <v/>
      </c>
      <c r="U26" s="17">
        <f>ROUNDDOWN(U25*U21,0)</f>
        <v/>
      </c>
      <c r="V26" s="17">
        <f>ROUNDDOWN(V25*V21,0)</f>
        <v/>
      </c>
      <c r="W26" s="17">
        <f>ROUNDDOWN(W25*W21,0)</f>
        <v/>
      </c>
      <c r="X26" s="17">
        <f>ROUNDDOWN(X25*X21,0)</f>
        <v/>
      </c>
      <c r="Y26" s="17">
        <f>ROUNDDOWN(Y25*Y21,0)</f>
        <v/>
      </c>
      <c r="Z26" s="17">
        <f>ROUNDDOWN(Z25*Z21,0)</f>
        <v/>
      </c>
    </row>
    <row r="27" outlineLevel="1" ht="12.75" customHeight="1">
      <c r="A27" s="13" t="n"/>
      <c r="B27" s="13" t="inlineStr">
        <is>
          <t>Количество покупок</t>
        </is>
      </c>
      <c r="C27" s="17">
        <f>ROUNDDOWN(C26*C22,0)</f>
        <v/>
      </c>
      <c r="D27" s="17">
        <f>ROUNDDOWN(D26*D22,0)</f>
        <v/>
      </c>
      <c r="E27" s="17">
        <f>ROUNDDOWN(E26*E22,0)</f>
        <v/>
      </c>
      <c r="F27" s="17">
        <f>ROUNDDOWN(F26*F22,0)</f>
        <v/>
      </c>
      <c r="G27" s="17">
        <f>ROUNDDOWN(G26*G22,0)</f>
        <v/>
      </c>
      <c r="H27" s="17">
        <f>ROUNDDOWN(H26*H22,0)</f>
        <v/>
      </c>
      <c r="I27" s="17">
        <f>ROUNDDOWN(I26*I22,0)</f>
        <v/>
      </c>
      <c r="J27" s="17">
        <f>ROUNDDOWN(J26*J22,0)</f>
        <v/>
      </c>
      <c r="K27" s="17">
        <f>ROUNDDOWN(K26*K22,0)</f>
        <v/>
      </c>
      <c r="L27" s="17">
        <f>ROUNDDOWN(L26*L22,0)</f>
        <v/>
      </c>
      <c r="M27" s="17">
        <f>ROUNDDOWN(M26*M22,0)</f>
        <v/>
      </c>
      <c r="N27" s="17">
        <f>ROUNDDOWN(N26*N22,0)</f>
        <v/>
      </c>
      <c r="O27" s="17">
        <f>ROUNDDOWN(O26*O22,0)</f>
        <v/>
      </c>
      <c r="P27" s="17">
        <f>ROUNDDOWN(P26*P22,0)</f>
        <v/>
      </c>
      <c r="Q27" s="17">
        <f>ROUNDDOWN(Q26*Q22,0)</f>
        <v/>
      </c>
      <c r="R27" s="17">
        <f>ROUNDDOWN(R26*R22,0)</f>
        <v/>
      </c>
      <c r="S27" s="17">
        <f>ROUNDDOWN(S26*S22,0)</f>
        <v/>
      </c>
      <c r="T27" s="17">
        <f>ROUNDDOWN(T26*T22,0)</f>
        <v/>
      </c>
      <c r="U27" s="17">
        <f>ROUNDDOWN(U26*U22,0)</f>
        <v/>
      </c>
      <c r="V27" s="17">
        <f>ROUNDDOWN(V26*V22,0)</f>
        <v/>
      </c>
      <c r="W27" s="17">
        <f>ROUNDDOWN(W26*W22,0)</f>
        <v/>
      </c>
      <c r="X27" s="17">
        <f>ROUNDDOWN(X26*X22,0)</f>
        <v/>
      </c>
      <c r="Y27" s="17">
        <f>ROUNDDOWN(Y26*Y22,0)</f>
        <v/>
      </c>
      <c r="Z27" s="17">
        <f>ROUNDDOWN(Z26*Z22,0)</f>
        <v/>
      </c>
    </row>
    <row r="28" outlineLevel="1" ht="12.75" customHeight="1">
      <c r="A28" s="13" t="n"/>
      <c r="B28" s="13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outlineLevel="1" ht="12.75" customHeight="1">
      <c r="A29" s="13" t="n"/>
      <c r="B29" s="8" t="inlineStr">
        <is>
          <t>База учеников</t>
        </is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outlineLevel="1" ht="12.75" customHeight="1">
      <c r="A30" s="13" t="n"/>
      <c r="B30" s="13" t="inlineStr">
        <is>
          <t>Количество учеников (начало)</t>
        </is>
      </c>
      <c r="C30" s="17" t="n">
        <v>0</v>
      </c>
      <c r="D30" s="17">
        <f>C33</f>
        <v/>
      </c>
      <c r="E30" s="17">
        <f>D33</f>
        <v/>
      </c>
      <c r="F30" s="17">
        <f>E33</f>
        <v/>
      </c>
      <c r="G30" s="17">
        <f>F33</f>
        <v/>
      </c>
      <c r="H30" s="17">
        <f>G33</f>
        <v/>
      </c>
      <c r="I30" s="17">
        <f>H33</f>
        <v/>
      </c>
      <c r="J30" s="17">
        <f>I33</f>
        <v/>
      </c>
      <c r="K30" s="17">
        <f>J33</f>
        <v/>
      </c>
      <c r="L30" s="17">
        <f>K33</f>
        <v/>
      </c>
      <c r="M30" s="17">
        <f>L33</f>
        <v/>
      </c>
      <c r="N30" s="17">
        <f>M33</f>
        <v/>
      </c>
      <c r="O30" s="17">
        <f>N33</f>
        <v/>
      </c>
      <c r="P30" s="17">
        <f>O33</f>
        <v/>
      </c>
      <c r="Q30" s="17">
        <f>P33</f>
        <v/>
      </c>
      <c r="R30" s="17">
        <f>Q33</f>
        <v/>
      </c>
      <c r="S30" s="17">
        <f>R33</f>
        <v/>
      </c>
      <c r="T30" s="17">
        <f>S33</f>
        <v/>
      </c>
      <c r="U30" s="17">
        <f>T33</f>
        <v/>
      </c>
      <c r="V30" s="17">
        <f>U33</f>
        <v/>
      </c>
      <c r="W30" s="17">
        <f>V33</f>
        <v/>
      </c>
      <c r="X30" s="17">
        <f>W33</f>
        <v/>
      </c>
      <c r="Y30" s="17">
        <f>X33</f>
        <v/>
      </c>
      <c r="Z30" s="17">
        <f>Y33</f>
        <v/>
      </c>
    </row>
    <row r="31" outlineLevel="1" ht="12.75" customHeight="1">
      <c r="A31" s="13" t="n"/>
      <c r="B31" s="13" t="inlineStr">
        <is>
          <t>Новых</t>
        </is>
      </c>
      <c r="C31" s="17">
        <f>C27+C16</f>
        <v/>
      </c>
      <c r="D31" s="17">
        <f>D27+D16</f>
        <v/>
      </c>
      <c r="E31" s="17">
        <f>E27+E16</f>
        <v/>
      </c>
      <c r="F31" s="17">
        <f>F27+F16</f>
        <v/>
      </c>
      <c r="G31" s="17">
        <f>G27+G16</f>
        <v/>
      </c>
      <c r="H31" s="17">
        <f>H27+H16</f>
        <v/>
      </c>
      <c r="I31" s="17">
        <f>I27+I16</f>
        <v/>
      </c>
      <c r="J31" s="17">
        <f>J27+J16</f>
        <v/>
      </c>
      <c r="K31" s="17">
        <f>K27+K16</f>
        <v/>
      </c>
      <c r="L31" s="17">
        <f>L27+L16</f>
        <v/>
      </c>
      <c r="M31" s="17">
        <f>M27+M16</f>
        <v/>
      </c>
      <c r="N31" s="17">
        <f>N27+N16</f>
        <v/>
      </c>
      <c r="O31" s="17">
        <f>O27+O16</f>
        <v/>
      </c>
      <c r="P31" s="17">
        <f>P27+P16</f>
        <v/>
      </c>
      <c r="Q31" s="17">
        <f>Q27+Q16</f>
        <v/>
      </c>
      <c r="R31" s="17">
        <f>R27+R16</f>
        <v/>
      </c>
      <c r="S31" s="17">
        <f>S27+S16</f>
        <v/>
      </c>
      <c r="T31" s="17">
        <f>T27+T16</f>
        <v/>
      </c>
      <c r="U31" s="17">
        <f>U27+U16</f>
        <v/>
      </c>
      <c r="V31" s="17">
        <f>V27+V16</f>
        <v/>
      </c>
      <c r="W31" s="17">
        <f>W27+W16</f>
        <v/>
      </c>
      <c r="X31" s="17">
        <f>X27+X16</f>
        <v/>
      </c>
      <c r="Y31" s="17">
        <f>Y27+Y16</f>
        <v/>
      </c>
      <c r="Z31" s="17">
        <f>Z27+Z16</f>
        <v/>
      </c>
    </row>
    <row r="32" outlineLevel="1" ht="12.75" customHeight="1">
      <c r="A32" s="20" t="n">
        <v>0.14</v>
      </c>
      <c r="B32" s="13" t="inlineStr">
        <is>
          <t>Отток</t>
        </is>
      </c>
      <c r="C32" s="17" t="n"/>
      <c r="D32" s="17">
        <f>-ROUND(C33*($A$32),0)</f>
        <v/>
      </c>
      <c r="E32" s="17">
        <f>-ROUND(D33*($A$32),0)</f>
        <v/>
      </c>
      <c r="F32" s="17">
        <f>-ROUND(E33*($A$32),0)</f>
        <v/>
      </c>
      <c r="G32" s="17">
        <f>-ROUND(F33*($A$32),0)</f>
        <v/>
      </c>
      <c r="H32" s="17">
        <f>-ROUND(G33*($A$32),0)</f>
        <v/>
      </c>
      <c r="I32" s="17">
        <f>-ROUND(H33*($A$32),0)</f>
        <v/>
      </c>
      <c r="J32" s="17">
        <f>-ROUND(I33*($A$32),0)</f>
        <v/>
      </c>
      <c r="K32" s="17">
        <f>-ROUND(J33*($A$32),0)</f>
        <v/>
      </c>
      <c r="L32" s="17">
        <f>-ROUND(K33*($A$32),0)</f>
        <v/>
      </c>
      <c r="M32" s="17">
        <f>-ROUND(L33*($A$32),0)</f>
        <v/>
      </c>
      <c r="N32" s="17">
        <f>-ROUND(M33*($A$32),0)</f>
        <v/>
      </c>
      <c r="O32" s="17">
        <f>-ROUND(N33*($A$32),0)</f>
        <v/>
      </c>
      <c r="P32" s="17">
        <f>-ROUND(O33*($A$32),0)</f>
        <v/>
      </c>
      <c r="Q32" s="17">
        <f>-ROUND(P33*($A$32),0)</f>
        <v/>
      </c>
      <c r="R32" s="17">
        <f>-ROUND(Q33*($A$32),0)</f>
        <v/>
      </c>
      <c r="S32" s="17">
        <f>-ROUND(R33*($A$32),0)</f>
        <v/>
      </c>
      <c r="T32" s="17">
        <f>-ROUND(S33*($A$32),0)</f>
        <v/>
      </c>
      <c r="U32" s="17">
        <f>-ROUND(T33*($A$32),0)</f>
        <v/>
      </c>
      <c r="V32" s="17">
        <f>-ROUND(U33*($A$32),0)</f>
        <v/>
      </c>
      <c r="W32" s="17">
        <f>-ROUND(V33*($A$32),0)</f>
        <v/>
      </c>
      <c r="X32" s="17">
        <f>-ROUND(W33*($A$32),0)</f>
        <v/>
      </c>
      <c r="Y32" s="17">
        <f>-ROUND(X33*($A$32),0)</f>
        <v/>
      </c>
      <c r="Z32" s="17">
        <f>-ROUND(Y33*($A$32),0)</f>
        <v/>
      </c>
    </row>
    <row r="33" outlineLevel="1" ht="12.75" customHeight="1">
      <c r="A33" s="8" t="n"/>
      <c r="B33" s="8" t="inlineStr">
        <is>
          <t>Итого учеников</t>
        </is>
      </c>
      <c r="C33" s="9">
        <f>SUM(C30:C32)</f>
        <v/>
      </c>
      <c r="D33" s="9">
        <f>SUM(D30:D32)</f>
        <v/>
      </c>
      <c r="E33" s="9">
        <f>SUM(E30:E32)</f>
        <v/>
      </c>
      <c r="F33" s="9">
        <f>SUM(F30:F32)</f>
        <v/>
      </c>
      <c r="G33" s="9">
        <f>SUM(G30:G32)</f>
        <v/>
      </c>
      <c r="H33" s="9">
        <f>SUM(H30:H32)</f>
        <v/>
      </c>
      <c r="I33" s="9">
        <f>SUM(I30:I32)</f>
        <v/>
      </c>
      <c r="J33" s="9">
        <f>SUM(J30:J32)</f>
        <v/>
      </c>
      <c r="K33" s="9">
        <f>SUM(K30:K32)</f>
        <v/>
      </c>
      <c r="L33" s="9">
        <f>SUM(L30:L32)</f>
        <v/>
      </c>
      <c r="M33" s="9">
        <f>SUM(M30:M32)</f>
        <v/>
      </c>
      <c r="N33" s="9">
        <f>SUM(N30:N32)</f>
        <v/>
      </c>
      <c r="O33" s="9">
        <f>SUM(O30:O32)</f>
        <v/>
      </c>
      <c r="P33" s="9">
        <f>SUM(P30:P32)</f>
        <v/>
      </c>
      <c r="Q33" s="9">
        <f>SUM(Q30:Q32)</f>
        <v/>
      </c>
      <c r="R33" s="9">
        <f>SUM(R30:R32)</f>
        <v/>
      </c>
      <c r="S33" s="9">
        <f>SUM(S30:S32)</f>
        <v/>
      </c>
      <c r="T33" s="9">
        <f>SUM(T30:T32)</f>
        <v/>
      </c>
      <c r="U33" s="9">
        <f>SUM(U30:U32)</f>
        <v/>
      </c>
      <c r="V33" s="9">
        <f>SUM(V30:V32)</f>
        <v/>
      </c>
      <c r="W33" s="9">
        <f>SUM(W30:W32)</f>
        <v/>
      </c>
      <c r="X33" s="9">
        <f>SUM(X30:X32)</f>
        <v/>
      </c>
      <c r="Y33" s="9">
        <f>SUM(Y30:Y32)</f>
        <v/>
      </c>
      <c r="Z33" s="9">
        <f>SUM(Z30:Z32)</f>
        <v/>
      </c>
    </row>
    <row r="34" outlineLevel="1" ht="12.75" customHeight="1">
      <c r="A34" s="13" t="n"/>
      <c r="B34" s="13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outlineLevel="1" ht="12.75" customHeight="1">
      <c r="A35" s="13" t="n"/>
      <c r="B35" s="13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outlineLevel="1" ht="12.75" customHeight="1">
      <c r="A36" s="8" t="n"/>
      <c r="B36" s="8" t="inlineStr">
        <is>
          <t>Распределение выручки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outlineLevel="1" ht="12.75" customHeight="1">
      <c r="A37" s="20" t="n">
        <v>0.7</v>
      </c>
      <c r="B37" s="13" t="inlineStr">
        <is>
          <t>Курс «Базовый»</t>
        </is>
      </c>
      <c r="C37" s="17">
        <f>ROUNDDOWN(C33*$A37,0)</f>
        <v/>
      </c>
      <c r="D37" s="17">
        <f>ROUNDDOWN(D33*$A37,0)</f>
        <v/>
      </c>
      <c r="E37" s="17">
        <f>ROUNDDOWN(E33*$A37,0)</f>
        <v/>
      </c>
      <c r="F37" s="17">
        <f>ROUNDDOWN(F33*$A37,0)</f>
        <v/>
      </c>
      <c r="G37" s="17">
        <f>ROUNDDOWN(G33*$A37,0)</f>
        <v/>
      </c>
      <c r="H37" s="17">
        <f>ROUNDDOWN(H33*$A37,0)</f>
        <v/>
      </c>
      <c r="I37" s="17">
        <f>ROUNDDOWN(I33*$A37,0)</f>
        <v/>
      </c>
      <c r="J37" s="17">
        <f>ROUNDDOWN(J33*$A37,0)</f>
        <v/>
      </c>
      <c r="K37" s="17">
        <f>ROUNDDOWN(K33*$A37,0)</f>
        <v/>
      </c>
      <c r="L37" s="17">
        <f>ROUNDDOWN(L33*$A37,0)</f>
        <v/>
      </c>
      <c r="M37" s="17">
        <f>ROUNDDOWN(M33*$A37,0)</f>
        <v/>
      </c>
      <c r="N37" s="17">
        <f>ROUNDDOWN(N33*$A37,0)</f>
        <v/>
      </c>
      <c r="O37" s="17">
        <f>ROUNDDOWN(O33*$A37,0)</f>
        <v/>
      </c>
      <c r="P37" s="17">
        <f>ROUNDDOWN(P33*$A37,0)</f>
        <v/>
      </c>
      <c r="Q37" s="17">
        <f>ROUNDDOWN(Q33*$A37,0)</f>
        <v/>
      </c>
      <c r="R37" s="17">
        <f>ROUNDDOWN(R33*$A37,0)</f>
        <v/>
      </c>
      <c r="S37" s="17">
        <f>ROUNDDOWN(S33*$A37,0)</f>
        <v/>
      </c>
      <c r="T37" s="17">
        <f>ROUNDDOWN(T33*$A37,0)</f>
        <v/>
      </c>
      <c r="U37" s="17">
        <f>ROUNDDOWN(U33*$A37,0)</f>
        <v/>
      </c>
      <c r="V37" s="17">
        <f>ROUNDDOWN(V33*$A37,0)</f>
        <v/>
      </c>
      <c r="W37" s="17">
        <f>ROUNDDOWN(W33*$A37,0)</f>
        <v/>
      </c>
      <c r="X37" s="17">
        <f>ROUNDDOWN(X33*$A37,0)</f>
        <v/>
      </c>
      <c r="Y37" s="17">
        <f>ROUNDDOWN(Y33*$A37,0)</f>
        <v/>
      </c>
      <c r="Z37" s="17">
        <f>ROUNDDOWN(Z33*$A37,0)</f>
        <v/>
      </c>
    </row>
    <row r="38" outlineLevel="1" ht="12.75" customHeight="1">
      <c r="A38" s="18">
        <f>100%-A37</f>
        <v/>
      </c>
      <c r="B38" s="13" t="inlineStr">
        <is>
          <t>Курс «Продвинутый»</t>
        </is>
      </c>
      <c r="C38" s="17">
        <f>C33-C37</f>
        <v/>
      </c>
      <c r="D38" s="17">
        <f>D33-D37</f>
        <v/>
      </c>
      <c r="E38" s="17">
        <f>E33-E37</f>
        <v/>
      </c>
      <c r="F38" s="17">
        <f>F33-F37</f>
        <v/>
      </c>
      <c r="G38" s="17">
        <f>G33-G37</f>
        <v/>
      </c>
      <c r="H38" s="17">
        <f>H33-H37</f>
        <v/>
      </c>
      <c r="I38" s="17">
        <f>I33-I37</f>
        <v/>
      </c>
      <c r="J38" s="17">
        <f>J33-J37</f>
        <v/>
      </c>
      <c r="K38" s="17">
        <f>K33-K37</f>
        <v/>
      </c>
      <c r="L38" s="17">
        <f>L33-L37</f>
        <v/>
      </c>
      <c r="M38" s="17">
        <f>M33-M37</f>
        <v/>
      </c>
      <c r="N38" s="17">
        <f>N33-N37</f>
        <v/>
      </c>
      <c r="O38" s="17">
        <f>O33-O37</f>
        <v/>
      </c>
      <c r="P38" s="17">
        <f>P33-P37</f>
        <v/>
      </c>
      <c r="Q38" s="17">
        <f>Q33-Q37</f>
        <v/>
      </c>
      <c r="R38" s="17">
        <f>R33-R37</f>
        <v/>
      </c>
      <c r="S38" s="17">
        <f>S33-S37</f>
        <v/>
      </c>
      <c r="T38" s="17">
        <f>T33-T37</f>
        <v/>
      </c>
      <c r="U38" s="17">
        <f>U33-U37</f>
        <v/>
      </c>
      <c r="V38" s="17">
        <f>V33-V37</f>
        <v/>
      </c>
      <c r="W38" s="17">
        <f>W33-W37</f>
        <v/>
      </c>
      <c r="X38" s="17">
        <f>X33-X37</f>
        <v/>
      </c>
      <c r="Y38" s="17">
        <f>Y33-Y37</f>
        <v/>
      </c>
      <c r="Z38" s="17">
        <f>Z33-Z37</f>
        <v/>
      </c>
    </row>
    <row r="39" outlineLevel="1" ht="12.75" customHeight="1">
      <c r="A39" s="14">
        <f>SUM(A37:A38)</f>
        <v/>
      </c>
      <c r="B39" s="13" t="inlineStr">
        <is>
          <t>Количество покупок</t>
        </is>
      </c>
      <c r="C39" s="17">
        <f>SUM(C37:C38)</f>
        <v/>
      </c>
      <c r="D39" s="17">
        <f>SUM(D37:D38)</f>
        <v/>
      </c>
      <c r="E39" s="17">
        <f>SUM(E37:E38)</f>
        <v/>
      </c>
      <c r="F39" s="17">
        <f>SUM(F37:F38)</f>
        <v/>
      </c>
      <c r="G39" s="17">
        <f>SUM(G37:G38)</f>
        <v/>
      </c>
      <c r="H39" s="17">
        <f>SUM(H37:H38)</f>
        <v/>
      </c>
      <c r="I39" s="17">
        <f>SUM(I37:I38)</f>
        <v/>
      </c>
      <c r="J39" s="17">
        <f>SUM(J37:J38)</f>
        <v/>
      </c>
      <c r="K39" s="17">
        <f>SUM(K37:K38)</f>
        <v/>
      </c>
      <c r="L39" s="17">
        <f>SUM(L37:L38)</f>
        <v/>
      </c>
      <c r="M39" s="17">
        <f>SUM(M37:M38)</f>
        <v/>
      </c>
      <c r="N39" s="17">
        <f>SUM(N37:N38)</f>
        <v/>
      </c>
      <c r="O39" s="17">
        <f>SUM(O37:O38)</f>
        <v/>
      </c>
      <c r="P39" s="17">
        <f>SUM(P37:P38)</f>
        <v/>
      </c>
      <c r="Q39" s="17">
        <f>SUM(Q37:Q38)</f>
        <v/>
      </c>
      <c r="R39" s="17">
        <f>SUM(R37:R38)</f>
        <v/>
      </c>
      <c r="S39" s="17">
        <f>SUM(S37:S38)</f>
        <v/>
      </c>
      <c r="T39" s="17">
        <f>SUM(T37:T38)</f>
        <v/>
      </c>
      <c r="U39" s="17">
        <f>SUM(U37:U38)</f>
        <v/>
      </c>
      <c r="V39" s="17">
        <f>SUM(V37:V38)</f>
        <v/>
      </c>
      <c r="W39" s="17">
        <f>SUM(W37:W38)</f>
        <v/>
      </c>
      <c r="X39" s="17">
        <f>SUM(X37:X38)</f>
        <v/>
      </c>
      <c r="Y39" s="17">
        <f>SUM(Y37:Y38)</f>
        <v/>
      </c>
      <c r="Z39" s="17">
        <f>SUM(Z37:Z38)</f>
        <v/>
      </c>
    </row>
    <row r="40" outlineLevel="1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12.75" customHeight="1">
      <c r="A41" s="8" t="n"/>
      <c r="B41" s="8" t="inlineStr">
        <is>
          <t>Выручка от продаж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>
      <c r="A42" s="19" t="n">
        <v>9900</v>
      </c>
      <c r="B42" s="13" t="inlineStr">
        <is>
          <t>Стоимость курса «Базовый»</t>
        </is>
      </c>
      <c r="C42" s="17">
        <f>$A$42*C43</f>
        <v/>
      </c>
      <c r="D42" s="17">
        <f>$A$42*D43</f>
        <v/>
      </c>
      <c r="E42" s="17">
        <f>$A$42*E43</f>
        <v/>
      </c>
      <c r="F42" s="17">
        <f>$A$42*F43</f>
        <v/>
      </c>
      <c r="G42" s="17">
        <f>$A$42*G43</f>
        <v/>
      </c>
      <c r="H42" s="17">
        <f>$A$42*H43</f>
        <v/>
      </c>
      <c r="I42" s="17">
        <f>$A$42*I43</f>
        <v/>
      </c>
      <c r="J42" s="17">
        <f>$A$42*J43</f>
        <v/>
      </c>
      <c r="K42" s="17">
        <f>$A$42*K43</f>
        <v/>
      </c>
      <c r="L42" s="17">
        <f>$A$42*L43</f>
        <v/>
      </c>
      <c r="M42" s="17">
        <f>$A$42*M43</f>
        <v/>
      </c>
      <c r="N42" s="17">
        <f>$A$42*N43</f>
        <v/>
      </c>
      <c r="O42" s="17">
        <f>$A$42*O43</f>
        <v/>
      </c>
      <c r="P42" s="17">
        <f>$A$42*P43</f>
        <v/>
      </c>
      <c r="Q42" s="17">
        <f>$A$42*Q43</f>
        <v/>
      </c>
      <c r="R42" s="17">
        <f>$A$42*R43</f>
        <v/>
      </c>
      <c r="S42" s="17">
        <f>$A$42*S43</f>
        <v/>
      </c>
      <c r="T42" s="17">
        <f>$A$42*T43</f>
        <v/>
      </c>
      <c r="U42" s="17">
        <f>$A$42*U43</f>
        <v/>
      </c>
      <c r="V42" s="17">
        <f>$A$42*V43</f>
        <v/>
      </c>
      <c r="W42" s="17">
        <f>$A$42*W43</f>
        <v/>
      </c>
      <c r="X42" s="17">
        <f>$A$42*X43</f>
        <v/>
      </c>
      <c r="Y42" s="17">
        <f>$A$42*Y43</f>
        <v/>
      </c>
      <c r="Z42" s="17">
        <f>$A$42*Z43</f>
        <v/>
      </c>
    </row>
    <row r="43" ht="12.75" customHeight="1">
      <c r="A43" s="13" t="n"/>
      <c r="B43" s="13" t="inlineStr">
        <is>
          <t>Количество учеников</t>
        </is>
      </c>
      <c r="C43" s="17">
        <f>C37</f>
        <v/>
      </c>
      <c r="D43" s="17">
        <f>D37</f>
        <v/>
      </c>
      <c r="E43" s="17">
        <f>E37</f>
        <v/>
      </c>
      <c r="F43" s="17">
        <f>F37</f>
        <v/>
      </c>
      <c r="G43" s="17">
        <f>G37</f>
        <v/>
      </c>
      <c r="H43" s="17">
        <f>H37</f>
        <v/>
      </c>
      <c r="I43" s="17">
        <f>I37</f>
        <v/>
      </c>
      <c r="J43" s="17">
        <f>J37</f>
        <v/>
      </c>
      <c r="K43" s="17">
        <f>K37</f>
        <v/>
      </c>
      <c r="L43" s="17">
        <f>L37</f>
        <v/>
      </c>
      <c r="M43" s="17">
        <f>M37</f>
        <v/>
      </c>
      <c r="N43" s="17">
        <f>N37</f>
        <v/>
      </c>
      <c r="O43" s="17">
        <f>O37</f>
        <v/>
      </c>
      <c r="P43" s="17">
        <f>P37</f>
        <v/>
      </c>
      <c r="Q43" s="17">
        <f>Q37</f>
        <v/>
      </c>
      <c r="R43" s="17">
        <f>R37</f>
        <v/>
      </c>
      <c r="S43" s="17">
        <f>S37</f>
        <v/>
      </c>
      <c r="T43" s="17">
        <f>T37</f>
        <v/>
      </c>
      <c r="U43" s="17">
        <f>U37</f>
        <v/>
      </c>
      <c r="V43" s="17">
        <f>V37</f>
        <v/>
      </c>
      <c r="W43" s="17">
        <f>W37</f>
        <v/>
      </c>
      <c r="X43" s="17">
        <f>X37</f>
        <v/>
      </c>
      <c r="Y43" s="17">
        <f>Y37</f>
        <v/>
      </c>
      <c r="Z43" s="17">
        <f>Z37</f>
        <v/>
      </c>
    </row>
    <row r="44" ht="12.75" customHeight="1">
      <c r="A44" s="19" t="n">
        <v>19900</v>
      </c>
      <c r="B44" s="13" t="inlineStr">
        <is>
          <t>Стоимость курса «Продвинутый»</t>
        </is>
      </c>
      <c r="C44" s="17">
        <f>$A$44*C45</f>
        <v/>
      </c>
      <c r="D44" s="17">
        <f>$A$44*D45</f>
        <v/>
      </c>
      <c r="E44" s="17">
        <f>$A$44*E45</f>
        <v/>
      </c>
      <c r="F44" s="17">
        <f>$A$44*F45</f>
        <v/>
      </c>
      <c r="G44" s="17">
        <f>$A$44*G45</f>
        <v/>
      </c>
      <c r="H44" s="17">
        <f>$A$44*H45</f>
        <v/>
      </c>
      <c r="I44" s="17">
        <f>$A$44*I45</f>
        <v/>
      </c>
      <c r="J44" s="17">
        <f>$A$44*J45</f>
        <v/>
      </c>
      <c r="K44" s="17">
        <f>$A$44*K45</f>
        <v/>
      </c>
      <c r="L44" s="17">
        <f>$A$44*L45</f>
        <v/>
      </c>
      <c r="M44" s="17">
        <f>$A$44*M45</f>
        <v/>
      </c>
      <c r="N44" s="17">
        <f>$A$44*N45</f>
        <v/>
      </c>
      <c r="O44" s="17">
        <f>$A$44*O45</f>
        <v/>
      </c>
      <c r="P44" s="17">
        <f>$A$44*P45</f>
        <v/>
      </c>
      <c r="Q44" s="17">
        <f>$A$44*Q45</f>
        <v/>
      </c>
      <c r="R44" s="17">
        <f>$A$44*R45</f>
        <v/>
      </c>
      <c r="S44" s="17">
        <f>$A$44*S45</f>
        <v/>
      </c>
      <c r="T44" s="17">
        <f>$A$44*T45</f>
        <v/>
      </c>
      <c r="U44" s="17">
        <f>$A$44*U45</f>
        <v/>
      </c>
      <c r="V44" s="17">
        <f>$A$44*V45</f>
        <v/>
      </c>
      <c r="W44" s="17">
        <f>$A$44*W45</f>
        <v/>
      </c>
      <c r="X44" s="17">
        <f>$A$44*X45</f>
        <v/>
      </c>
      <c r="Y44" s="17">
        <f>$A$44*Y45</f>
        <v/>
      </c>
      <c r="Z44" s="17">
        <f>$A$44*Z45</f>
        <v/>
      </c>
    </row>
    <row r="45" ht="12.75" customHeight="1">
      <c r="A45" s="13" t="n"/>
      <c r="B45" s="13" t="inlineStr">
        <is>
          <t>Количество учеников</t>
        </is>
      </c>
      <c r="C45" s="17">
        <f>C38</f>
        <v/>
      </c>
      <c r="D45" s="17">
        <f>D38</f>
        <v/>
      </c>
      <c r="E45" s="17">
        <f>E38</f>
        <v/>
      </c>
      <c r="F45" s="17">
        <f>F38</f>
        <v/>
      </c>
      <c r="G45" s="17">
        <f>G38</f>
        <v/>
      </c>
      <c r="H45" s="17">
        <f>H38</f>
        <v/>
      </c>
      <c r="I45" s="17">
        <f>I38</f>
        <v/>
      </c>
      <c r="J45" s="17">
        <f>J38</f>
        <v/>
      </c>
      <c r="K45" s="17">
        <f>K38</f>
        <v/>
      </c>
      <c r="L45" s="17">
        <f>L38</f>
        <v/>
      </c>
      <c r="M45" s="17">
        <f>M38</f>
        <v/>
      </c>
      <c r="N45" s="17">
        <f>N38</f>
        <v/>
      </c>
      <c r="O45" s="17">
        <f>O38</f>
        <v/>
      </c>
      <c r="P45" s="17">
        <f>P38</f>
        <v/>
      </c>
      <c r="Q45" s="17">
        <f>Q38</f>
        <v/>
      </c>
      <c r="R45" s="17">
        <f>R38</f>
        <v/>
      </c>
      <c r="S45" s="17">
        <f>S38</f>
        <v/>
      </c>
      <c r="T45" s="17">
        <f>T38</f>
        <v/>
      </c>
      <c r="U45" s="17">
        <f>U38</f>
        <v/>
      </c>
      <c r="V45" s="17">
        <f>V38</f>
        <v/>
      </c>
      <c r="W45" s="17">
        <f>W38</f>
        <v/>
      </c>
      <c r="X45" s="17">
        <f>X38</f>
        <v/>
      </c>
      <c r="Y45" s="17">
        <f>Y38</f>
        <v/>
      </c>
      <c r="Z45" s="17">
        <f>Z38</f>
        <v/>
      </c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12.75" customHeight="1">
      <c r="A47" s="13" t="n"/>
      <c r="B47" s="5" t="inlineStr">
        <is>
          <t>ПРЯМЫЕ ЗАТРАТЫ</t>
        </is>
      </c>
      <c r="C47" s="6">
        <f>SUM(C50:C57)</f>
        <v/>
      </c>
      <c r="D47" s="6">
        <f>SUM(D50:D57)</f>
        <v/>
      </c>
      <c r="E47" s="6">
        <f>SUM(E50:E57)</f>
        <v/>
      </c>
      <c r="F47" s="6">
        <f>SUM(F50:F57)</f>
        <v/>
      </c>
      <c r="G47" s="6">
        <f>SUM(G50:G57)</f>
        <v/>
      </c>
      <c r="H47" s="6">
        <f>SUM(H50:H57)</f>
        <v/>
      </c>
      <c r="I47" s="6">
        <f>SUM(I50:I57)</f>
        <v/>
      </c>
      <c r="J47" s="6">
        <f>SUM(J50:J57)</f>
        <v/>
      </c>
      <c r="K47" s="6">
        <f>SUM(K50:K57)</f>
        <v/>
      </c>
      <c r="L47" s="6">
        <f>SUM(L50:L57)</f>
        <v/>
      </c>
      <c r="M47" s="6">
        <f>SUM(M50:M57)</f>
        <v/>
      </c>
      <c r="N47" s="6">
        <f>SUM(N50:N57)</f>
        <v/>
      </c>
      <c r="O47" s="6">
        <f>SUM(O50:O57)</f>
        <v/>
      </c>
      <c r="P47" s="6">
        <f>SUM(P50:P57)</f>
        <v/>
      </c>
      <c r="Q47" s="6">
        <f>SUM(Q50:Q57)</f>
        <v/>
      </c>
      <c r="R47" s="6">
        <f>SUM(R50:R57)</f>
        <v/>
      </c>
      <c r="S47" s="6">
        <f>SUM(S50:S57)</f>
        <v/>
      </c>
      <c r="T47" s="6">
        <f>SUM(T50:T57)</f>
        <v/>
      </c>
      <c r="U47" s="6">
        <f>SUM(U50:U57)</f>
        <v/>
      </c>
      <c r="V47" s="6">
        <f>SUM(V50:V57)</f>
        <v/>
      </c>
      <c r="W47" s="6">
        <f>SUM(W50:W57)</f>
        <v/>
      </c>
      <c r="X47" s="6">
        <f>SUM(X50:X57)</f>
        <v/>
      </c>
      <c r="Y47" s="6">
        <f>SUM(Y50:Y57)</f>
        <v/>
      </c>
      <c r="Z47" s="6">
        <f>SUM(Z50:Z57)</f>
        <v/>
      </c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12.75" customHeight="1">
      <c r="A49" s="19" t="n">
        <v>1</v>
      </c>
      <c r="B49" s="13" t="inlineStr">
        <is>
          <t>Количество преподавателей</t>
        </is>
      </c>
      <c r="C49" s="17">
        <f>$A$49</f>
        <v/>
      </c>
      <c r="D49" s="17">
        <f>$A$49</f>
        <v/>
      </c>
      <c r="E49" s="17">
        <f>$A$49</f>
        <v/>
      </c>
      <c r="F49" s="17">
        <f>$A$49</f>
        <v/>
      </c>
      <c r="G49" s="17">
        <f>$A$49</f>
        <v/>
      </c>
      <c r="H49" s="17">
        <f>$A$49</f>
        <v/>
      </c>
      <c r="I49" s="17">
        <f>$A$49</f>
        <v/>
      </c>
      <c r="J49" s="17">
        <f>$A$49</f>
        <v/>
      </c>
      <c r="K49" s="17">
        <f>$A$49</f>
        <v/>
      </c>
      <c r="L49" s="17">
        <f>$A$49</f>
        <v/>
      </c>
      <c r="M49" s="17">
        <f>$A$49</f>
        <v/>
      </c>
      <c r="N49" s="17">
        <f>$A$49</f>
        <v/>
      </c>
      <c r="O49" s="17">
        <f>$A$49</f>
        <v/>
      </c>
      <c r="P49" s="17">
        <f>$A$49</f>
        <v/>
      </c>
      <c r="Q49" s="17">
        <f>$A$49</f>
        <v/>
      </c>
      <c r="R49" s="17">
        <f>$A$49</f>
        <v/>
      </c>
      <c r="S49" s="17">
        <f>$A$49</f>
        <v/>
      </c>
      <c r="T49" s="17">
        <f>$A$49</f>
        <v/>
      </c>
      <c r="U49" s="17">
        <f>$A$49</f>
        <v/>
      </c>
      <c r="V49" s="17">
        <f>$A$49</f>
        <v/>
      </c>
      <c r="W49" s="17">
        <f>$A$49</f>
        <v/>
      </c>
      <c r="X49" s="17">
        <f>$A$49</f>
        <v/>
      </c>
      <c r="Y49" s="17">
        <f>$A$49</f>
        <v/>
      </c>
      <c r="Z49" s="17">
        <f>$A$49</f>
        <v/>
      </c>
    </row>
    <row r="50" ht="12.75" customHeight="1">
      <c r="A50" s="19" t="n">
        <v>60000</v>
      </c>
      <c r="B50" s="13" t="inlineStr">
        <is>
          <t>Оплата труда преподавателя</t>
        </is>
      </c>
      <c r="C50" s="17">
        <f>$A$50*C49</f>
        <v/>
      </c>
      <c r="D50" s="17">
        <f>$A$50*D49</f>
        <v/>
      </c>
      <c r="E50" s="17">
        <f>$A$50*E49</f>
        <v/>
      </c>
      <c r="F50" s="17">
        <f>$A$50*F49</f>
        <v/>
      </c>
      <c r="G50" s="17">
        <f>$A$50*G49</f>
        <v/>
      </c>
      <c r="H50" s="17">
        <f>$A$50*H49</f>
        <v/>
      </c>
      <c r="I50" s="17">
        <f>$A$50*I49</f>
        <v/>
      </c>
      <c r="J50" s="17">
        <f>$A$50*J49</f>
        <v/>
      </c>
      <c r="K50" s="17">
        <f>$A$50*K49</f>
        <v/>
      </c>
      <c r="L50" s="17">
        <f>$A$50*L49</f>
        <v/>
      </c>
      <c r="M50" s="17">
        <f>$A$50*M49</f>
        <v/>
      </c>
      <c r="N50" s="17">
        <f>$A$50*N49</f>
        <v/>
      </c>
      <c r="O50" s="17">
        <f>$A$50*O49</f>
        <v/>
      </c>
      <c r="P50" s="17">
        <f>$A$50*P49</f>
        <v/>
      </c>
      <c r="Q50" s="17">
        <f>$A$50*Q49</f>
        <v/>
      </c>
      <c r="R50" s="17">
        <f>$A$50*R49</f>
        <v/>
      </c>
      <c r="S50" s="17">
        <f>$A$50*S49</f>
        <v/>
      </c>
      <c r="T50" s="17">
        <f>$A$50*T49</f>
        <v/>
      </c>
      <c r="U50" s="17">
        <f>$A$50*U49</f>
        <v/>
      </c>
      <c r="V50" s="17">
        <f>$A$50*V49</f>
        <v/>
      </c>
      <c r="W50" s="17">
        <f>$A$50*W49</f>
        <v/>
      </c>
      <c r="X50" s="17">
        <f>$A$50*X49</f>
        <v/>
      </c>
      <c r="Y50" s="17">
        <f>$A$50*Y49</f>
        <v/>
      </c>
      <c r="Z50" s="17">
        <f>$A$50*Z49</f>
        <v/>
      </c>
    </row>
    <row r="51" ht="12.75" customHeight="1">
      <c r="A51" s="20" t="n">
        <v>0.13</v>
      </c>
      <c r="B51" s="13" t="inlineStr">
        <is>
          <t>НДФЛ</t>
        </is>
      </c>
      <c r="C51" s="17">
        <f>C50*$A$51</f>
        <v/>
      </c>
      <c r="D51" s="17">
        <f>D50*$A$51</f>
        <v/>
      </c>
      <c r="E51" s="17">
        <f>E50*$A$51</f>
        <v/>
      </c>
      <c r="F51" s="17">
        <f>F50*$A$51</f>
        <v/>
      </c>
      <c r="G51" s="17">
        <f>G50*$A$51</f>
        <v/>
      </c>
      <c r="H51" s="17">
        <f>H50*$A$51</f>
        <v/>
      </c>
      <c r="I51" s="17">
        <f>I50*$A$51</f>
        <v/>
      </c>
      <c r="J51" s="17">
        <f>J50*$A$51</f>
        <v/>
      </c>
      <c r="K51" s="17">
        <f>K50*$A$51</f>
        <v/>
      </c>
      <c r="L51" s="17">
        <f>L50*$A$51</f>
        <v/>
      </c>
      <c r="M51" s="17">
        <f>M50*$A$51</f>
        <v/>
      </c>
      <c r="N51" s="17">
        <f>N50*$A$51</f>
        <v/>
      </c>
      <c r="O51" s="17">
        <f>O50*$A$51</f>
        <v/>
      </c>
      <c r="P51" s="17">
        <f>P50*$A$51</f>
        <v/>
      </c>
      <c r="Q51" s="17">
        <f>Q50*$A$51</f>
        <v/>
      </c>
      <c r="R51" s="17">
        <f>R50*$A$51</f>
        <v/>
      </c>
      <c r="S51" s="17">
        <f>S50*$A$51</f>
        <v/>
      </c>
      <c r="T51" s="17">
        <f>T50*$A$51</f>
        <v/>
      </c>
      <c r="U51" s="17">
        <f>U50*$A$51</f>
        <v/>
      </c>
      <c r="V51" s="17">
        <f>V50*$A$51</f>
        <v/>
      </c>
      <c r="W51" s="17">
        <f>W50*$A$51</f>
        <v/>
      </c>
      <c r="X51" s="17">
        <f>X50*$A$51</f>
        <v/>
      </c>
      <c r="Y51" s="17">
        <f>Y50*$A$51</f>
        <v/>
      </c>
      <c r="Z51" s="17">
        <f>Z50*$A$51</f>
        <v/>
      </c>
    </row>
    <row r="52" ht="12.75" customHeight="1">
      <c r="A52" s="20" t="n">
        <v>0.3</v>
      </c>
      <c r="B52" s="13" t="inlineStr">
        <is>
          <t>Страховые взносы</t>
        </is>
      </c>
      <c r="C52" s="17">
        <f>C50*$A$52</f>
        <v/>
      </c>
      <c r="D52" s="17">
        <f>D50*$A$52</f>
        <v/>
      </c>
      <c r="E52" s="17">
        <f>E50*$A$52</f>
        <v/>
      </c>
      <c r="F52" s="17">
        <f>F50*$A$52</f>
        <v/>
      </c>
      <c r="G52" s="17">
        <f>G50*$A$52</f>
        <v/>
      </c>
      <c r="H52" s="17">
        <f>H50*$A$52</f>
        <v/>
      </c>
      <c r="I52" s="17">
        <f>I50*$A$52</f>
        <v/>
      </c>
      <c r="J52" s="17">
        <f>J50*$A$52</f>
        <v/>
      </c>
      <c r="K52" s="17">
        <f>K50*$A$52</f>
        <v/>
      </c>
      <c r="L52" s="17">
        <f>L50*$A$52</f>
        <v/>
      </c>
      <c r="M52" s="17">
        <f>M50*$A$52</f>
        <v/>
      </c>
      <c r="N52" s="17">
        <f>N50*$A$52</f>
        <v/>
      </c>
      <c r="O52" s="17">
        <f>O50*$A$52</f>
        <v/>
      </c>
      <c r="P52" s="17">
        <f>P50*$A$52</f>
        <v/>
      </c>
      <c r="Q52" s="17">
        <f>Q50*$A$52</f>
        <v/>
      </c>
      <c r="R52" s="17">
        <f>R50*$A$52</f>
        <v/>
      </c>
      <c r="S52" s="17">
        <f>S50*$A$52</f>
        <v/>
      </c>
      <c r="T52" s="17">
        <f>T50*$A$52</f>
        <v/>
      </c>
      <c r="U52" s="17">
        <f>U50*$A$52</f>
        <v/>
      </c>
      <c r="V52" s="17">
        <f>V50*$A$52</f>
        <v/>
      </c>
      <c r="W52" s="17">
        <f>W50*$A$52</f>
        <v/>
      </c>
      <c r="X52" s="17">
        <f>X50*$A$52</f>
        <v/>
      </c>
      <c r="Y52" s="17">
        <f>Y50*$A$52</f>
        <v/>
      </c>
      <c r="Z52" s="17">
        <f>Z50*$A$52</f>
        <v/>
      </c>
    </row>
    <row r="53" ht="12.75" customHeight="1">
      <c r="A53" s="19" t="n">
        <v>25000</v>
      </c>
      <c r="B53" s="13" t="inlineStr">
        <is>
          <t>Аренда класса на 40 учеников в месяц</t>
        </is>
      </c>
      <c r="C53" s="17">
        <f>$A$53</f>
        <v/>
      </c>
      <c r="D53" s="17">
        <f>$A$53</f>
        <v/>
      </c>
      <c r="E53" s="17">
        <f>$A$53</f>
        <v/>
      </c>
      <c r="F53" s="17">
        <f>$A$53</f>
        <v/>
      </c>
      <c r="G53" s="17">
        <f>$A$53</f>
        <v/>
      </c>
      <c r="H53" s="17">
        <f>$A$53</f>
        <v/>
      </c>
      <c r="I53" s="17">
        <f>$A$53</f>
        <v/>
      </c>
      <c r="J53" s="17">
        <f>$A$53</f>
        <v/>
      </c>
      <c r="K53" s="17">
        <f>$A$53</f>
        <v/>
      </c>
      <c r="L53" s="17">
        <f>$A$53</f>
        <v/>
      </c>
      <c r="M53" s="17">
        <f>$A$53</f>
        <v/>
      </c>
      <c r="N53" s="17">
        <f>$A$53</f>
        <v/>
      </c>
      <c r="O53" s="17">
        <f>$A$53</f>
        <v/>
      </c>
      <c r="P53" s="17">
        <f>$A$53</f>
        <v/>
      </c>
      <c r="Q53" s="17">
        <f>$A$53</f>
        <v/>
      </c>
      <c r="R53" s="17">
        <f>$A$53</f>
        <v/>
      </c>
      <c r="S53" s="17">
        <f>$A$53</f>
        <v/>
      </c>
      <c r="T53" s="17">
        <f>$A$53</f>
        <v/>
      </c>
      <c r="U53" s="17">
        <f>$A$53</f>
        <v/>
      </c>
      <c r="V53" s="17">
        <f>$A$53</f>
        <v/>
      </c>
      <c r="W53" s="17">
        <f>$A$53</f>
        <v/>
      </c>
      <c r="X53" s="17">
        <f>$A$53</f>
        <v/>
      </c>
      <c r="Y53" s="17">
        <f>$A$53</f>
        <v/>
      </c>
      <c r="Z53" s="17">
        <f>$A$53</f>
        <v/>
      </c>
    </row>
    <row r="54" ht="12.75" customHeight="1">
      <c r="A54" s="13" t="n"/>
      <c r="B54" s="13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2.75" customHeight="1">
      <c r="A55" s="19" t="n">
        <v>990</v>
      </c>
      <c r="B55" s="13" t="inlineStr">
        <is>
          <t>Стоимость ИТ-сервисов на одного ученика</t>
        </is>
      </c>
      <c r="C55" s="17">
        <f>$A$55*$C$33</f>
        <v/>
      </c>
      <c r="D55" s="17">
        <f>$A$55*$C$33</f>
        <v/>
      </c>
      <c r="E55" s="17">
        <f>$A$55*$C$33</f>
        <v/>
      </c>
      <c r="F55" s="17">
        <f>$A$55*$C$33</f>
        <v/>
      </c>
      <c r="G55" s="17">
        <f>$A$55*$C$33</f>
        <v/>
      </c>
      <c r="H55" s="17">
        <f>$A$55*$C$33</f>
        <v/>
      </c>
      <c r="I55" s="17">
        <f>$A$55*$C$33</f>
        <v/>
      </c>
      <c r="J55" s="17">
        <f>$A$55*$C$33</f>
        <v/>
      </c>
      <c r="K55" s="17">
        <f>$A$55*$C$33</f>
        <v/>
      </c>
      <c r="L55" s="17">
        <f>$A$55*$C$33</f>
        <v/>
      </c>
      <c r="M55" s="17">
        <f>$A$55*$C$33</f>
        <v/>
      </c>
      <c r="N55" s="17">
        <f>$A$55*$C$33</f>
        <v/>
      </c>
      <c r="O55" s="17">
        <f>$A$55*$C$33</f>
        <v/>
      </c>
      <c r="P55" s="17">
        <f>$A$55*$C$33</f>
        <v/>
      </c>
      <c r="Q55" s="17">
        <f>$A$55*$C$33</f>
        <v/>
      </c>
      <c r="R55" s="17">
        <f>$A$55*$C$33</f>
        <v/>
      </c>
      <c r="S55" s="17">
        <f>$A$55*$C$33</f>
        <v/>
      </c>
      <c r="T55" s="17">
        <f>$A$55*$C$33</f>
        <v/>
      </c>
      <c r="U55" s="17">
        <f>$A$55*$C$33</f>
        <v/>
      </c>
      <c r="V55" s="17">
        <f>$A$55*$C$33</f>
        <v/>
      </c>
      <c r="W55" s="17">
        <f>$A$55*$C$33</f>
        <v/>
      </c>
      <c r="X55" s="17">
        <f>$A$55*$C$33</f>
        <v/>
      </c>
      <c r="Y55" s="17">
        <f>$A$55*$C$33</f>
        <v/>
      </c>
      <c r="Z55" s="17">
        <f>$A$55*$C$33</f>
        <v/>
      </c>
    </row>
    <row r="56" ht="12.75" customHeight="1">
      <c r="A56" s="13" t="n"/>
      <c r="B56" s="13" t="inlineStr">
        <is>
          <t>Реклама в интернете, социальных сетях</t>
        </is>
      </c>
      <c r="C56" s="17">
        <f>C7+C18</f>
        <v/>
      </c>
      <c r="D56" s="17">
        <f>D7+D18</f>
        <v/>
      </c>
      <c r="E56" s="17">
        <f>E7+E18</f>
        <v/>
      </c>
      <c r="F56" s="17">
        <f>F7+F18</f>
        <v/>
      </c>
      <c r="G56" s="17">
        <f>G7+G18</f>
        <v/>
      </c>
      <c r="H56" s="17">
        <f>H7+H18</f>
        <v/>
      </c>
      <c r="I56" s="17">
        <f>I7+I18</f>
        <v/>
      </c>
      <c r="J56" s="17">
        <f>J7+J18</f>
        <v/>
      </c>
      <c r="K56" s="17">
        <f>K7+K18</f>
        <v/>
      </c>
      <c r="L56" s="17">
        <f>L7+L18</f>
        <v/>
      </c>
      <c r="M56" s="17">
        <f>M7+M18</f>
        <v/>
      </c>
      <c r="N56" s="17">
        <f>N7+N18</f>
        <v/>
      </c>
      <c r="O56" s="17">
        <f>O7+O18</f>
        <v/>
      </c>
      <c r="P56" s="17">
        <f>P7+P18</f>
        <v/>
      </c>
      <c r="Q56" s="17">
        <f>Q7+Q18</f>
        <v/>
      </c>
      <c r="R56" s="17">
        <f>R7+R18</f>
        <v/>
      </c>
      <c r="S56" s="17">
        <f>S7+S18</f>
        <v/>
      </c>
      <c r="T56" s="17">
        <f>T7+T18</f>
        <v/>
      </c>
      <c r="U56" s="17">
        <f>U7+U18</f>
        <v/>
      </c>
      <c r="V56" s="17">
        <f>V7+V18</f>
        <v/>
      </c>
      <c r="W56" s="17">
        <f>W7+W18</f>
        <v/>
      </c>
      <c r="X56" s="17">
        <f>X7+X18</f>
        <v/>
      </c>
      <c r="Y56" s="17">
        <f>Y7+Y18</f>
        <v/>
      </c>
      <c r="Z56" s="17">
        <f>Z7+Z18</f>
        <v/>
      </c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12.75" customHeight="1">
      <c r="A58" s="13" t="n"/>
      <c r="B58" s="5" t="inlineStr">
        <is>
          <t>ВАЛОВАЯ ПРИБЫЛЬ</t>
        </is>
      </c>
      <c r="C58" s="27">
        <f>C5-C47</f>
        <v/>
      </c>
      <c r="D58" s="27">
        <f>D5-D47</f>
        <v/>
      </c>
      <c r="E58" s="27">
        <f>E5-E47</f>
        <v/>
      </c>
      <c r="F58" s="27">
        <f>F5-F47</f>
        <v/>
      </c>
      <c r="G58" s="27">
        <f>G5-G47</f>
        <v/>
      </c>
      <c r="H58" s="27">
        <f>H5-H47</f>
        <v/>
      </c>
      <c r="I58" s="27">
        <f>I5-I47</f>
        <v/>
      </c>
      <c r="J58" s="27">
        <f>J5-J47</f>
        <v/>
      </c>
      <c r="K58" s="27">
        <f>K5-K47</f>
        <v/>
      </c>
      <c r="L58" s="27">
        <f>L5-L47</f>
        <v/>
      </c>
      <c r="M58" s="27">
        <f>M5-M47</f>
        <v/>
      </c>
      <c r="N58" s="27">
        <f>N5-N47</f>
        <v/>
      </c>
      <c r="O58" s="27">
        <f>O5-O47</f>
        <v/>
      </c>
      <c r="P58" s="27">
        <f>P5-P47</f>
        <v/>
      </c>
      <c r="Q58" s="27">
        <f>Q5-Q47</f>
        <v/>
      </c>
      <c r="R58" s="27">
        <f>R5-R47</f>
        <v/>
      </c>
      <c r="S58" s="27">
        <f>S5-S47</f>
        <v/>
      </c>
      <c r="T58" s="27">
        <f>T5-T47</f>
        <v/>
      </c>
      <c r="U58" s="27">
        <f>U5-U47</f>
        <v/>
      </c>
      <c r="V58" s="27">
        <f>V5-V47</f>
        <v/>
      </c>
      <c r="W58" s="27">
        <f>W5-W47</f>
        <v/>
      </c>
      <c r="X58" s="27">
        <f>X5-X47</f>
        <v/>
      </c>
      <c r="Y58" s="27">
        <f>Y5-Y47</f>
        <v/>
      </c>
      <c r="Z58" s="27">
        <f>Z5-Z47</f>
        <v/>
      </c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12.75" customHeight="1">
      <c r="A60" s="13" t="n"/>
      <c r="B60" s="5" t="inlineStr">
        <is>
          <t>ПОСТОЯННЫЕ РАСХОДЫ</t>
        </is>
      </c>
      <c r="C60" s="6">
        <f>SUM(C62:C72)</f>
        <v/>
      </c>
      <c r="D60" s="6">
        <f>SUM(D62:D72)</f>
        <v/>
      </c>
      <c r="E60" s="6">
        <f>SUM(E62:E72)</f>
        <v/>
      </c>
      <c r="F60" s="6">
        <f>SUM(F62:F72)</f>
        <v/>
      </c>
      <c r="G60" s="6">
        <f>SUM(G62:G72)</f>
        <v/>
      </c>
      <c r="H60" s="6">
        <f>SUM(H62:H72)</f>
        <v/>
      </c>
      <c r="I60" s="6">
        <f>SUM(I62:I72)</f>
        <v/>
      </c>
      <c r="J60" s="6">
        <f>SUM(J62:J72)</f>
        <v/>
      </c>
      <c r="K60" s="6">
        <f>SUM(K62:K72)</f>
        <v/>
      </c>
      <c r="L60" s="6">
        <f>SUM(L62:L72)</f>
        <v/>
      </c>
      <c r="M60" s="6">
        <f>SUM(M62:M72)</f>
        <v/>
      </c>
      <c r="N60" s="6">
        <f>SUM(N62:N72)</f>
        <v/>
      </c>
      <c r="O60" s="6">
        <f>SUM(O62:O72)</f>
        <v/>
      </c>
      <c r="P60" s="6">
        <f>SUM(P62:P72)</f>
        <v/>
      </c>
      <c r="Q60" s="6">
        <f>SUM(Q62:Q72)</f>
        <v/>
      </c>
      <c r="R60" s="6">
        <f>SUM(R62:R72)</f>
        <v/>
      </c>
      <c r="S60" s="6">
        <f>SUM(S62:S72)</f>
        <v/>
      </c>
      <c r="T60" s="6">
        <f>SUM(T62:T72)</f>
        <v/>
      </c>
      <c r="U60" s="6">
        <f>SUM(U62:U72)</f>
        <v/>
      </c>
      <c r="V60" s="6">
        <f>SUM(V62:V72)</f>
        <v/>
      </c>
      <c r="W60" s="6">
        <f>SUM(W62:W72)</f>
        <v/>
      </c>
      <c r="X60" s="6">
        <f>SUM(X62:X72)</f>
        <v/>
      </c>
      <c r="Y60" s="6">
        <f>SUM(Y62:Y72)</f>
        <v/>
      </c>
      <c r="Z60" s="6">
        <f>SUM(Z62:Z72)</f>
        <v/>
      </c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12.75" customHeight="1">
      <c r="A62" s="20" t="n">
        <v>0.1</v>
      </c>
      <c r="B62" s="13" t="inlineStr">
        <is>
          <t>Коммунальные расходы</t>
        </is>
      </c>
      <c r="C62" s="17">
        <f>C53*$A$62</f>
        <v/>
      </c>
      <c r="D62" s="17">
        <f>D53*$A$62</f>
        <v/>
      </c>
      <c r="E62" s="17">
        <f>E53*$A$62</f>
        <v/>
      </c>
      <c r="F62" s="17">
        <f>F53*$A$62</f>
        <v/>
      </c>
      <c r="G62" s="17">
        <f>G53*$A$62</f>
        <v/>
      </c>
      <c r="H62" s="17">
        <f>H53*$A$62</f>
        <v/>
      </c>
      <c r="I62" s="17">
        <f>I53*$A$62</f>
        <v/>
      </c>
      <c r="J62" s="17">
        <f>J53*$A$62</f>
        <v/>
      </c>
      <c r="K62" s="17">
        <f>K53*$A$62</f>
        <v/>
      </c>
      <c r="L62" s="17">
        <f>L53*$A$62</f>
        <v/>
      </c>
      <c r="M62" s="17">
        <f>M53*$A$62</f>
        <v/>
      </c>
      <c r="N62" s="17">
        <f>N53*$A$62</f>
        <v/>
      </c>
      <c r="O62" s="17">
        <f>O53*$A$62</f>
        <v/>
      </c>
      <c r="P62" s="17">
        <f>P53*$A$62</f>
        <v/>
      </c>
      <c r="Q62" s="17">
        <f>Q53*$A$62</f>
        <v/>
      </c>
      <c r="R62" s="17">
        <f>R53*$A$62</f>
        <v/>
      </c>
      <c r="S62" s="17">
        <f>S53*$A$62</f>
        <v/>
      </c>
      <c r="T62" s="17">
        <f>T53*$A$62</f>
        <v/>
      </c>
      <c r="U62" s="17">
        <f>U53*$A$62</f>
        <v/>
      </c>
      <c r="V62" s="17">
        <f>V53*$A$62</f>
        <v/>
      </c>
      <c r="W62" s="17">
        <f>W53*$A$62</f>
        <v/>
      </c>
      <c r="X62" s="17">
        <f>X53*$A$62</f>
        <v/>
      </c>
      <c r="Y62" s="17">
        <f>Y53*$A$62</f>
        <v/>
      </c>
      <c r="Z62" s="17">
        <f>Z53*$A$62</f>
        <v/>
      </c>
    </row>
    <row r="63" ht="12.75" customHeight="1">
      <c r="A63" s="19" t="n">
        <v>8500</v>
      </c>
      <c r="B63" s="13" t="inlineStr">
        <is>
          <t>Уборка на 1 класс в месяц</t>
        </is>
      </c>
      <c r="C63" s="17">
        <f>$A$63</f>
        <v/>
      </c>
      <c r="D63" s="17">
        <f>$A$63</f>
        <v/>
      </c>
      <c r="E63" s="17">
        <f>$A$63</f>
        <v/>
      </c>
      <c r="F63" s="17">
        <f>$A$63</f>
        <v/>
      </c>
      <c r="G63" s="17">
        <f>$A$63</f>
        <v/>
      </c>
      <c r="H63" s="17">
        <f>$A$63</f>
        <v/>
      </c>
      <c r="I63" s="17">
        <f>$A$63</f>
        <v/>
      </c>
      <c r="J63" s="17">
        <f>$A$63</f>
        <v/>
      </c>
      <c r="K63" s="17">
        <f>$A$63</f>
        <v/>
      </c>
      <c r="L63" s="17">
        <f>$A$63</f>
        <v/>
      </c>
      <c r="M63" s="17">
        <f>$A$63</f>
        <v/>
      </c>
      <c r="N63" s="17">
        <f>$A$63</f>
        <v/>
      </c>
      <c r="O63" s="17">
        <f>$A$63</f>
        <v/>
      </c>
      <c r="P63" s="17">
        <f>$A$63</f>
        <v/>
      </c>
      <c r="Q63" s="17">
        <f>$A$63</f>
        <v/>
      </c>
      <c r="R63" s="17">
        <f>$A$63</f>
        <v/>
      </c>
      <c r="S63" s="17">
        <f>$A$63</f>
        <v/>
      </c>
      <c r="T63" s="17">
        <f>$A$63</f>
        <v/>
      </c>
      <c r="U63" s="17">
        <f>$A$63</f>
        <v/>
      </c>
      <c r="V63" s="17">
        <f>$A$63</f>
        <v/>
      </c>
      <c r="W63" s="17">
        <f>$A$63</f>
        <v/>
      </c>
      <c r="X63" s="17">
        <f>$A$63</f>
        <v/>
      </c>
      <c r="Y63" s="17">
        <f>$A$63</f>
        <v/>
      </c>
      <c r="Z63" s="17">
        <f>$A$63</f>
        <v/>
      </c>
    </row>
    <row r="64" ht="12.75" customHeight="1">
      <c r="A64" s="13" t="n"/>
      <c r="B64" s="8" t="inlineStr">
        <is>
          <t>ИТ, связь и интернет</t>
        </is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12.75" customHeight="1">
      <c r="A65" s="19" t="n">
        <v>30000</v>
      </c>
      <c r="B65" s="21" t="inlineStr">
        <is>
          <t>Менеджер отдела продаж</t>
        </is>
      </c>
      <c r="C65" s="17">
        <f>$A$65</f>
        <v/>
      </c>
      <c r="D65" s="17">
        <f>$A$65</f>
        <v/>
      </c>
      <c r="E65" s="17">
        <f>$A$65</f>
        <v/>
      </c>
      <c r="F65" s="17">
        <f>$A$65</f>
        <v/>
      </c>
      <c r="G65" s="17">
        <f>$A$65</f>
        <v/>
      </c>
      <c r="H65" s="17">
        <f>$A$65</f>
        <v/>
      </c>
      <c r="I65" s="17">
        <f>$A$65</f>
        <v/>
      </c>
      <c r="J65" s="17">
        <f>$A$65</f>
        <v/>
      </c>
      <c r="K65" s="17">
        <f>$A$65</f>
        <v/>
      </c>
      <c r="L65" s="17">
        <f>$A$65</f>
        <v/>
      </c>
      <c r="M65" s="17">
        <f>$A$65</f>
        <v/>
      </c>
      <c r="N65" s="17">
        <f>$A$65</f>
        <v/>
      </c>
      <c r="O65" s="17">
        <f>$A$65</f>
        <v/>
      </c>
      <c r="P65" s="17">
        <f>$A$65</f>
        <v/>
      </c>
      <c r="Q65" s="17">
        <f>$A$65</f>
        <v/>
      </c>
      <c r="R65" s="17">
        <f>$A$65</f>
        <v/>
      </c>
      <c r="S65" s="17">
        <f>$A$65</f>
        <v/>
      </c>
      <c r="T65" s="17">
        <f>$A$65</f>
        <v/>
      </c>
      <c r="U65" s="17">
        <f>$A$65</f>
        <v/>
      </c>
      <c r="V65" s="17">
        <f>$A$65</f>
        <v/>
      </c>
      <c r="W65" s="17">
        <f>$A$65</f>
        <v/>
      </c>
      <c r="X65" s="17">
        <f>$A$65</f>
        <v/>
      </c>
      <c r="Y65" s="17">
        <f>$A$65</f>
        <v/>
      </c>
      <c r="Z65" s="17">
        <f>$A$65</f>
        <v/>
      </c>
    </row>
    <row r="66" ht="12.75" customHeight="1">
      <c r="A66" s="19" t="n">
        <v>3500</v>
      </c>
      <c r="B66" s="21" t="inlineStr">
        <is>
          <t>Интернет</t>
        </is>
      </c>
      <c r="C66" s="17">
        <f>$A$66</f>
        <v/>
      </c>
      <c r="D66" s="17">
        <f>$A$66</f>
        <v/>
      </c>
      <c r="E66" s="17">
        <f>$A$66</f>
        <v/>
      </c>
      <c r="F66" s="17">
        <f>$A$66</f>
        <v/>
      </c>
      <c r="G66" s="17">
        <f>$A$66</f>
        <v/>
      </c>
      <c r="H66" s="17">
        <f>$A$66</f>
        <v/>
      </c>
      <c r="I66" s="17">
        <f>$A$66</f>
        <v/>
      </c>
      <c r="J66" s="17">
        <f>$A$66</f>
        <v/>
      </c>
      <c r="K66" s="17">
        <f>$A$66</f>
        <v/>
      </c>
      <c r="L66" s="17">
        <f>$A$66</f>
        <v/>
      </c>
      <c r="M66" s="17">
        <f>$A$66</f>
        <v/>
      </c>
      <c r="N66" s="17">
        <f>$A$66</f>
        <v/>
      </c>
      <c r="O66" s="17">
        <f>$A$66</f>
        <v/>
      </c>
      <c r="P66" s="17">
        <f>$A$66</f>
        <v/>
      </c>
      <c r="Q66" s="17">
        <f>$A$66</f>
        <v/>
      </c>
      <c r="R66" s="17">
        <f>$A$66</f>
        <v/>
      </c>
      <c r="S66" s="17">
        <f>$A$66</f>
        <v/>
      </c>
      <c r="T66" s="17">
        <f>$A$66</f>
        <v/>
      </c>
      <c r="U66" s="17">
        <f>$A$66</f>
        <v/>
      </c>
      <c r="V66" s="17">
        <f>$A$66</f>
        <v/>
      </c>
      <c r="W66" s="17">
        <f>$A$66</f>
        <v/>
      </c>
      <c r="X66" s="17">
        <f>$A$66</f>
        <v/>
      </c>
      <c r="Y66" s="17">
        <f>$A$66</f>
        <v/>
      </c>
      <c r="Z66" s="17">
        <f>$A$66</f>
        <v/>
      </c>
    </row>
    <row r="67" ht="12.75" customHeight="1">
      <c r="A67" s="19" t="n">
        <v>1600</v>
      </c>
      <c r="B67" s="21" t="inlineStr">
        <is>
          <t>Сотовая связь</t>
        </is>
      </c>
      <c r="C67" s="17">
        <f>$A$67</f>
        <v/>
      </c>
      <c r="D67" s="17">
        <f>$A$67</f>
        <v/>
      </c>
      <c r="E67" s="17">
        <f>$A$67</f>
        <v/>
      </c>
      <c r="F67" s="17">
        <f>$A$67</f>
        <v/>
      </c>
      <c r="G67" s="17">
        <f>$A$67</f>
        <v/>
      </c>
      <c r="H67" s="17">
        <f>$A$67</f>
        <v/>
      </c>
      <c r="I67" s="17">
        <f>$A$67</f>
        <v/>
      </c>
      <c r="J67" s="17">
        <f>$A$67</f>
        <v/>
      </c>
      <c r="K67" s="17">
        <f>$A$67</f>
        <v/>
      </c>
      <c r="L67" s="17">
        <f>$A$67</f>
        <v/>
      </c>
      <c r="M67" s="17">
        <f>$A$67</f>
        <v/>
      </c>
      <c r="N67" s="17">
        <f>$A$67</f>
        <v/>
      </c>
      <c r="O67" s="17">
        <f>$A$67</f>
        <v/>
      </c>
      <c r="P67" s="17">
        <f>$A$67</f>
        <v/>
      </c>
      <c r="Q67" s="17">
        <f>$A$67</f>
        <v/>
      </c>
      <c r="R67" s="17">
        <f>$A$67</f>
        <v/>
      </c>
      <c r="S67" s="17">
        <f>$A$67</f>
        <v/>
      </c>
      <c r="T67" s="17">
        <f>$A$67</f>
        <v/>
      </c>
      <c r="U67" s="17">
        <f>$A$67</f>
        <v/>
      </c>
      <c r="V67" s="17">
        <f>$A$67</f>
        <v/>
      </c>
      <c r="W67" s="17">
        <f>$A$67</f>
        <v/>
      </c>
      <c r="X67" s="17">
        <f>$A$67</f>
        <v/>
      </c>
      <c r="Y67" s="17">
        <f>$A$67</f>
        <v/>
      </c>
      <c r="Z67" s="17">
        <f>$A$67</f>
        <v/>
      </c>
    </row>
    <row r="68" ht="12.75" customHeight="1">
      <c r="A68" s="19" t="n">
        <v>10000</v>
      </c>
      <c r="B68" s="21" t="inlineStr">
        <is>
          <t>Техническая поддержка сайта</t>
        </is>
      </c>
      <c r="C68" s="17">
        <f>$A$68</f>
        <v/>
      </c>
      <c r="D68" s="17">
        <f>$A$68</f>
        <v/>
      </c>
      <c r="E68" s="17">
        <f>$A$68</f>
        <v/>
      </c>
      <c r="F68" s="17">
        <f>$A$68</f>
        <v/>
      </c>
      <c r="G68" s="17">
        <f>$A$68</f>
        <v/>
      </c>
      <c r="H68" s="17">
        <f>$A$68</f>
        <v/>
      </c>
      <c r="I68" s="17">
        <f>$A$68</f>
        <v/>
      </c>
      <c r="J68" s="17">
        <f>$A$68</f>
        <v/>
      </c>
      <c r="K68" s="17">
        <f>$A$68</f>
        <v/>
      </c>
      <c r="L68" s="17">
        <f>$A$68</f>
        <v/>
      </c>
      <c r="M68" s="17">
        <f>$A$68</f>
        <v/>
      </c>
      <c r="N68" s="17">
        <f>$A$68</f>
        <v/>
      </c>
      <c r="O68" s="17">
        <f>$A$68</f>
        <v/>
      </c>
      <c r="P68" s="17">
        <f>$A$68</f>
        <v/>
      </c>
      <c r="Q68" s="17">
        <f>$A$68</f>
        <v/>
      </c>
      <c r="R68" s="17">
        <f>$A$68</f>
        <v/>
      </c>
      <c r="S68" s="17">
        <f>$A$68</f>
        <v/>
      </c>
      <c r="T68" s="17">
        <f>$A$68</f>
        <v/>
      </c>
      <c r="U68" s="17">
        <f>$A$68</f>
        <v/>
      </c>
      <c r="V68" s="17">
        <f>$A$68</f>
        <v/>
      </c>
      <c r="W68" s="17">
        <f>$A$68</f>
        <v/>
      </c>
      <c r="X68" s="17">
        <f>$A$68</f>
        <v/>
      </c>
      <c r="Y68" s="17">
        <f>$A$68</f>
        <v/>
      </c>
      <c r="Z68" s="17">
        <f>$A$68</f>
        <v/>
      </c>
    </row>
    <row r="69" ht="12.75" customHeight="1">
      <c r="A69" s="19" t="n">
        <v>3000</v>
      </c>
      <c r="B69" s="21" t="inlineStr">
        <is>
          <t>Аренда веб-хостинга</t>
        </is>
      </c>
      <c r="C69" s="17">
        <f>$A$69</f>
        <v/>
      </c>
      <c r="D69" s="17">
        <f>$A$69</f>
        <v/>
      </c>
      <c r="E69" s="17">
        <f>$A$69</f>
        <v/>
      </c>
      <c r="F69" s="17">
        <f>$A$69</f>
        <v/>
      </c>
      <c r="G69" s="17">
        <f>$A$69</f>
        <v/>
      </c>
      <c r="H69" s="17">
        <f>$A$69</f>
        <v/>
      </c>
      <c r="I69" s="17">
        <f>$A$69</f>
        <v/>
      </c>
      <c r="J69" s="17">
        <f>$A$69</f>
        <v/>
      </c>
      <c r="K69" s="17">
        <f>$A$69</f>
        <v/>
      </c>
      <c r="L69" s="17">
        <f>$A$69</f>
        <v/>
      </c>
      <c r="M69" s="17">
        <f>$A$69</f>
        <v/>
      </c>
      <c r="N69" s="17">
        <f>$A$69</f>
        <v/>
      </c>
      <c r="O69" s="17">
        <f>$A$69</f>
        <v/>
      </c>
      <c r="P69" s="17">
        <f>$A$69</f>
        <v/>
      </c>
      <c r="Q69" s="17">
        <f>$A$69</f>
        <v/>
      </c>
      <c r="R69" s="17">
        <f>$A$69</f>
        <v/>
      </c>
      <c r="S69" s="17">
        <f>$A$69</f>
        <v/>
      </c>
      <c r="T69" s="17">
        <f>$A$69</f>
        <v/>
      </c>
      <c r="U69" s="17">
        <f>$A$69</f>
        <v/>
      </c>
      <c r="V69" s="17">
        <f>$A$69</f>
        <v/>
      </c>
      <c r="W69" s="17">
        <f>$A$69</f>
        <v/>
      </c>
      <c r="X69" s="17">
        <f>$A$69</f>
        <v/>
      </c>
      <c r="Y69" s="17">
        <f>$A$69</f>
        <v/>
      </c>
      <c r="Z69" s="17">
        <f>$A$69</f>
        <v/>
      </c>
    </row>
    <row r="70" ht="12.75" customHeight="1">
      <c r="A70" s="19" t="n">
        <v>55000</v>
      </c>
      <c r="B70" s="13" t="inlineStr">
        <is>
          <t>SMM</t>
        </is>
      </c>
      <c r="C70" s="17">
        <f>$A$70</f>
        <v/>
      </c>
      <c r="D70" s="17">
        <f>$A$70</f>
        <v/>
      </c>
      <c r="E70" s="17">
        <f>$A$70</f>
        <v/>
      </c>
      <c r="F70" s="17">
        <f>$A$70</f>
        <v/>
      </c>
      <c r="G70" s="17">
        <f>$A$70</f>
        <v/>
      </c>
      <c r="H70" s="17">
        <f>$A$70</f>
        <v/>
      </c>
      <c r="I70" s="17">
        <f>$A$70</f>
        <v/>
      </c>
      <c r="J70" s="17">
        <f>$A$70</f>
        <v/>
      </c>
      <c r="K70" s="17">
        <f>$A$70</f>
        <v/>
      </c>
      <c r="L70" s="17">
        <f>$A$70</f>
        <v/>
      </c>
      <c r="M70" s="17">
        <f>$A$70</f>
        <v/>
      </c>
      <c r="N70" s="17">
        <f>$A$70</f>
        <v/>
      </c>
      <c r="O70" s="17">
        <f>$A$70</f>
        <v/>
      </c>
      <c r="P70" s="17">
        <f>$A$70</f>
        <v/>
      </c>
      <c r="Q70" s="17">
        <f>$A$70</f>
        <v/>
      </c>
      <c r="R70" s="17">
        <f>$A$70</f>
        <v/>
      </c>
      <c r="S70" s="17">
        <f>$A$70</f>
        <v/>
      </c>
      <c r="T70" s="17">
        <f>$A$70</f>
        <v/>
      </c>
      <c r="U70" s="17">
        <f>$A$70</f>
        <v/>
      </c>
      <c r="V70" s="17">
        <f>$A$70</f>
        <v/>
      </c>
      <c r="W70" s="17">
        <f>$A$70</f>
        <v/>
      </c>
      <c r="X70" s="17">
        <f>$A$70</f>
        <v/>
      </c>
      <c r="Y70" s="17">
        <f>$A$70</f>
        <v/>
      </c>
      <c r="Z70" s="17">
        <f>$A$70</f>
        <v/>
      </c>
    </row>
    <row r="71" ht="12.75" customHeight="1">
      <c r="A71" s="20" t="n">
        <v>0.05</v>
      </c>
      <c r="B71" s="13" t="inlineStr">
        <is>
          <t>Прочее</t>
        </is>
      </c>
      <c r="C71" s="17">
        <f>C5*$A$71</f>
        <v/>
      </c>
      <c r="D71" s="17">
        <f>D5*$A$71</f>
        <v/>
      </c>
      <c r="E71" s="17">
        <f>E5*$A$71</f>
        <v/>
      </c>
      <c r="F71" s="17">
        <f>F5*$A$71</f>
        <v/>
      </c>
      <c r="G71" s="17">
        <f>G5*$A$71</f>
        <v/>
      </c>
      <c r="H71" s="17">
        <f>H5*$A$71</f>
        <v/>
      </c>
      <c r="I71" s="17">
        <f>I5*$A$71</f>
        <v/>
      </c>
      <c r="J71" s="17">
        <f>J5*$A$71</f>
        <v/>
      </c>
      <c r="K71" s="17">
        <f>K5*$A$71</f>
        <v/>
      </c>
      <c r="L71" s="17">
        <f>L5*$A$71</f>
        <v/>
      </c>
      <c r="M71" s="17">
        <f>M5*$A$71</f>
        <v/>
      </c>
      <c r="N71" s="17">
        <f>N5*$A$71</f>
        <v/>
      </c>
      <c r="O71" s="17">
        <f>O5*$A$71</f>
        <v/>
      </c>
      <c r="P71" s="17">
        <f>P5*$A$71</f>
        <v/>
      </c>
      <c r="Q71" s="17">
        <f>Q5*$A$71</f>
        <v/>
      </c>
      <c r="R71" s="17">
        <f>R5*$A$71</f>
        <v/>
      </c>
      <c r="S71" s="17">
        <f>S5*$A$71</f>
        <v/>
      </c>
      <c r="T71" s="17">
        <f>T5*$A$71</f>
        <v/>
      </c>
      <c r="U71" s="17">
        <f>U5*$A$71</f>
        <v/>
      </c>
      <c r="V71" s="17">
        <f>V5*$A$71</f>
        <v/>
      </c>
      <c r="W71" s="17">
        <f>W5*$A$71</f>
        <v/>
      </c>
      <c r="X71" s="17">
        <f>X5*$A$71</f>
        <v/>
      </c>
      <c r="Y71" s="17">
        <f>Y5*$A$71</f>
        <v/>
      </c>
      <c r="Z71" s="17">
        <f>Z5*$A$71</f>
        <v/>
      </c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12.75" customHeight="1">
      <c r="A73" s="13" t="n"/>
      <c r="B73" s="5" t="inlineStr">
        <is>
          <t>ПРИБЫЛЬ (EBITDA)</t>
        </is>
      </c>
      <c r="C73" s="22">
        <f>C58-C60</f>
        <v/>
      </c>
      <c r="D73" s="22">
        <f>D58-D60</f>
        <v/>
      </c>
      <c r="E73" s="22">
        <f>E58-E60</f>
        <v/>
      </c>
      <c r="F73" s="22">
        <f>F58-F60</f>
        <v/>
      </c>
      <c r="G73" s="22">
        <f>G58-G60</f>
        <v/>
      </c>
      <c r="H73" s="22">
        <f>H58-H60</f>
        <v/>
      </c>
      <c r="I73" s="22">
        <f>I58-I60</f>
        <v/>
      </c>
      <c r="J73" s="22">
        <f>J58-J60</f>
        <v/>
      </c>
      <c r="K73" s="22">
        <f>K58-K60</f>
        <v/>
      </c>
      <c r="L73" s="22">
        <f>L58-L60</f>
        <v/>
      </c>
      <c r="M73" s="22">
        <f>M58-M60</f>
        <v/>
      </c>
      <c r="N73" s="22">
        <f>N58-N60</f>
        <v/>
      </c>
      <c r="O73" s="22">
        <f>O58-O60</f>
        <v/>
      </c>
      <c r="P73" s="22">
        <f>P58-P60</f>
        <v/>
      </c>
      <c r="Q73" s="22">
        <f>Q58-Q60</f>
        <v/>
      </c>
      <c r="R73" s="22">
        <f>R58-R60</f>
        <v/>
      </c>
      <c r="S73" s="22">
        <f>S58-S60</f>
        <v/>
      </c>
      <c r="T73" s="22">
        <f>T58-T60</f>
        <v/>
      </c>
      <c r="U73" s="22">
        <f>U58-U60</f>
        <v/>
      </c>
      <c r="V73" s="22">
        <f>V58-V60</f>
        <v/>
      </c>
      <c r="W73" s="22">
        <f>W58-W60</f>
        <v/>
      </c>
      <c r="X73" s="22">
        <f>X58-X60</f>
        <v/>
      </c>
      <c r="Y73" s="22">
        <f>Y58-Y60</f>
        <v/>
      </c>
      <c r="Z73" s="22">
        <f>Z58-Z60</f>
        <v/>
      </c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12.75" customHeight="1">
      <c r="A75" s="20" t="n">
        <v>0.07000000000000001</v>
      </c>
      <c r="B75" s="13" t="inlineStr">
        <is>
          <t>Налоги (УСН)</t>
        </is>
      </c>
      <c r="C75" s="17">
        <f>$A$75*C$5</f>
        <v/>
      </c>
      <c r="D75" s="17">
        <f>$A$75*D$5</f>
        <v/>
      </c>
      <c r="E75" s="17">
        <f>$A$75*E$5</f>
        <v/>
      </c>
      <c r="F75" s="17">
        <f>$A$75*F$5</f>
        <v/>
      </c>
      <c r="G75" s="17">
        <f>$A$75*G$5</f>
        <v/>
      </c>
      <c r="H75" s="17">
        <f>$A$75*H$5</f>
        <v/>
      </c>
      <c r="I75" s="17">
        <f>$A$75*I$5</f>
        <v/>
      </c>
      <c r="J75" s="17">
        <f>$A$75*J$5</f>
        <v/>
      </c>
      <c r="K75" s="17">
        <f>$A$75*K$5</f>
        <v/>
      </c>
      <c r="L75" s="17">
        <f>$A$75*L$5</f>
        <v/>
      </c>
      <c r="M75" s="17">
        <f>$A$75*M$5</f>
        <v/>
      </c>
      <c r="N75" s="17">
        <f>$A$75*N$5</f>
        <v/>
      </c>
      <c r="O75" s="17">
        <f>$A$75*O$5</f>
        <v/>
      </c>
      <c r="P75" s="17">
        <f>$A$75*P$5</f>
        <v/>
      </c>
      <c r="Q75" s="17">
        <f>$A$75*Q$5</f>
        <v/>
      </c>
      <c r="R75" s="17">
        <f>$A$75*R$5</f>
        <v/>
      </c>
      <c r="S75" s="17">
        <f>$A$75*S$5</f>
        <v/>
      </c>
      <c r="T75" s="17">
        <f>$A$75*T$5</f>
        <v/>
      </c>
      <c r="U75" s="17">
        <f>$A$75*U$5</f>
        <v/>
      </c>
      <c r="V75" s="17">
        <f>$A$75*V$5</f>
        <v/>
      </c>
      <c r="W75" s="17">
        <f>$A$75*W$5</f>
        <v/>
      </c>
      <c r="X75" s="17">
        <f>$A$75*X$5</f>
        <v/>
      </c>
      <c r="Y75" s="17">
        <f>$A$75*Y$5</f>
        <v/>
      </c>
      <c r="Z75" s="17">
        <f>$A$75*Z$5</f>
        <v/>
      </c>
    </row>
    <row r="76" ht="12.75" customHeight="1">
      <c r="A76" s="13" t="n"/>
      <c r="B76" s="13" t="inlineStr">
        <is>
          <t>Амортизация</t>
        </is>
      </c>
      <c r="C76" s="17">
        <f>$A$83/24</f>
        <v/>
      </c>
      <c r="D76" s="17">
        <f>$A$83/24</f>
        <v/>
      </c>
      <c r="E76" s="17">
        <f>$A$83/24</f>
        <v/>
      </c>
      <c r="F76" s="17">
        <f>$A$83/24</f>
        <v/>
      </c>
      <c r="G76" s="17">
        <f>$A$83/24</f>
        <v/>
      </c>
      <c r="H76" s="17">
        <f>$A$83/24</f>
        <v/>
      </c>
      <c r="I76" s="17">
        <f>$A$83/24</f>
        <v/>
      </c>
      <c r="J76" s="17">
        <f>$A$83/24</f>
        <v/>
      </c>
      <c r="K76" s="17">
        <f>$A$83/24</f>
        <v/>
      </c>
      <c r="L76" s="17">
        <f>$A$83/24</f>
        <v/>
      </c>
      <c r="M76" s="17">
        <f>$A$83/24</f>
        <v/>
      </c>
      <c r="N76" s="17">
        <f>$A$83/24</f>
        <v/>
      </c>
      <c r="O76" s="17">
        <f>$A$83/24</f>
        <v/>
      </c>
      <c r="P76" s="17">
        <f>$A$83/24</f>
        <v/>
      </c>
      <c r="Q76" s="17">
        <f>$A$83/24</f>
        <v/>
      </c>
      <c r="R76" s="17">
        <f>$A$83/24</f>
        <v/>
      </c>
      <c r="S76" s="17">
        <f>$A$83/24</f>
        <v/>
      </c>
      <c r="T76" s="17">
        <f>$A$83/24</f>
        <v/>
      </c>
      <c r="U76" s="17">
        <f>$A$83/24</f>
        <v/>
      </c>
      <c r="V76" s="17">
        <f>$A$83/24</f>
        <v/>
      </c>
      <c r="W76" s="17">
        <f>$A$83/24</f>
        <v/>
      </c>
      <c r="X76" s="17">
        <f>$A$83/24</f>
        <v/>
      </c>
      <c r="Y76" s="17">
        <f>$A$83/24</f>
        <v/>
      </c>
      <c r="Z76" s="17">
        <f>$A$83/24</f>
        <v/>
      </c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12.75" customHeight="1">
      <c r="A78" s="8" t="n"/>
      <c r="B78" s="8" t="inlineStr">
        <is>
          <t>ЧИСТАЯ ПРИБЫЛЬ (УБЫТОК)</t>
        </is>
      </c>
      <c r="C78" s="9">
        <f>C73-SUM(C75:C77)</f>
        <v/>
      </c>
      <c r="D78" s="9">
        <f>D73-SUM(D75:D77)</f>
        <v/>
      </c>
      <c r="E78" s="9">
        <f>E73-SUM(E75:E77)</f>
        <v/>
      </c>
      <c r="F78" s="9">
        <f>F73-SUM(F75:F77)</f>
        <v/>
      </c>
      <c r="G78" s="9">
        <f>G73-SUM(G75:G77)</f>
        <v/>
      </c>
      <c r="H78" s="9">
        <f>H73-SUM(H75:H77)</f>
        <v/>
      </c>
      <c r="I78" s="9">
        <f>I73-SUM(I75:I77)</f>
        <v/>
      </c>
      <c r="J78" s="9">
        <f>J73-SUM(J75:J77)</f>
        <v/>
      </c>
      <c r="K78" s="9">
        <f>K73-SUM(K75:K77)</f>
        <v/>
      </c>
      <c r="L78" s="9">
        <f>L73-SUM(L75:L77)</f>
        <v/>
      </c>
      <c r="M78" s="9">
        <f>M73-SUM(M75:M77)</f>
        <v/>
      </c>
      <c r="N78" s="9">
        <f>N73-SUM(N75:N77)</f>
        <v/>
      </c>
      <c r="O78" s="9">
        <f>O73-SUM(O75:O77)</f>
        <v/>
      </c>
      <c r="P78" s="9">
        <f>P73-SUM(P75:P77)</f>
        <v/>
      </c>
      <c r="Q78" s="9">
        <f>Q73-SUM(Q75:Q77)</f>
        <v/>
      </c>
      <c r="R78" s="9">
        <f>R73-SUM(R75:R77)</f>
        <v/>
      </c>
      <c r="S78" s="9">
        <f>S73-SUM(S75:S77)</f>
        <v/>
      </c>
      <c r="T78" s="9">
        <f>T73-SUM(T75:T77)</f>
        <v/>
      </c>
      <c r="U78" s="9">
        <f>U73-SUM(U75:U77)</f>
        <v/>
      </c>
      <c r="V78" s="9">
        <f>V73-SUM(V75:V77)</f>
        <v/>
      </c>
      <c r="W78" s="9">
        <f>W73-SUM(W75:W77)</f>
        <v/>
      </c>
      <c r="X78" s="9">
        <f>X73-SUM(X75:X77)</f>
        <v/>
      </c>
      <c r="Y78" s="9">
        <f>Y73-SUM(Y75:Y77)</f>
        <v/>
      </c>
      <c r="Z78" s="9">
        <f>Z73-SUM(Z75:Z77)</f>
        <v/>
      </c>
    </row>
    <row r="79" ht="12.75" customHeight="1">
      <c r="A79" s="23" t="n"/>
      <c r="B79" s="23" t="inlineStr">
        <is>
          <t>Рентабельность чистой прибыли</t>
        </is>
      </c>
      <c r="C79" s="24">
        <f>C78/C5</f>
        <v/>
      </c>
      <c r="D79" s="24">
        <f>D78/D5</f>
        <v/>
      </c>
      <c r="E79" s="24">
        <f>E78/E5</f>
        <v/>
      </c>
      <c r="F79" s="24">
        <f>F78/F5</f>
        <v/>
      </c>
      <c r="G79" s="24">
        <f>G78/G5</f>
        <v/>
      </c>
      <c r="H79" s="24">
        <f>H78/H5</f>
        <v/>
      </c>
      <c r="I79" s="24">
        <f>I78/I5</f>
        <v/>
      </c>
      <c r="J79" s="24">
        <f>J78/J5</f>
        <v/>
      </c>
      <c r="K79" s="24">
        <f>K78/K5</f>
        <v/>
      </c>
      <c r="L79" s="24">
        <f>L78/L5</f>
        <v/>
      </c>
      <c r="M79" s="24">
        <f>M78/M5</f>
        <v/>
      </c>
      <c r="N79" s="24">
        <f>N78/N5</f>
        <v/>
      </c>
      <c r="O79" s="24">
        <f>O78/O5</f>
        <v/>
      </c>
      <c r="P79" s="24">
        <f>P78/P5</f>
        <v/>
      </c>
      <c r="Q79" s="24">
        <f>Q78/Q5</f>
        <v/>
      </c>
      <c r="R79" s="24">
        <f>R78/R5</f>
        <v/>
      </c>
      <c r="S79" s="24">
        <f>S78/S5</f>
        <v/>
      </c>
      <c r="T79" s="24">
        <f>T78/T5</f>
        <v/>
      </c>
      <c r="U79" s="24">
        <f>U78/U5</f>
        <v/>
      </c>
      <c r="V79" s="24">
        <f>V78/V5</f>
        <v/>
      </c>
      <c r="W79" s="24">
        <f>W78/W5</f>
        <v/>
      </c>
      <c r="X79" s="24">
        <f>X78/X5</f>
        <v/>
      </c>
      <c r="Y79" s="24">
        <f>Y78/Y5</f>
        <v/>
      </c>
      <c r="Z79" s="24">
        <f>Z78/Z5</f>
        <v/>
      </c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12.75" customHeight="1">
      <c r="A82" s="13" t="n"/>
      <c r="B82" s="13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</row>
    <row r="83" ht="12.75" customHeight="1">
      <c r="A83" s="13" t="n"/>
      <c r="B83" s="13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 ht="12.75" customHeight="1">
      <c r="A84" s="13" t="n"/>
      <c r="B84" s="13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12.75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12.75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12.75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12.75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12.75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  <row r="1001" ht="12.75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</row>
    <row r="1002" ht="12.75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</row>
    <row r="1003" ht="12.75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</row>
    <row r="1004" ht="12.75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</row>
  </sheetData>
  <conditionalFormatting sqref="C78:Z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Z13">
    <cfRule type="colorScale" priority="5">
      <colorScale>
        <cfvo type="min"/>
        <cfvo type="max"/>
        <color rgb="FFFCFCFF"/>
        <color rgb="FF63BE7B"/>
      </colorScale>
    </cfRule>
  </conditionalFormatting>
  <conditionalFormatting sqref="C56:Z56">
    <cfRule type="colorScale" priority="4">
      <colorScale>
        <cfvo type="min"/>
        <cfvo type="max"/>
        <color rgb="FFFCFCFF"/>
        <color rgb="FFF8696B"/>
      </colorScale>
    </cfRule>
  </conditionalFormatting>
  <conditionalFormatting sqref="C7:Z7">
    <cfRule type="colorScale" priority="3">
      <colorScale>
        <cfvo type="min"/>
        <cfvo type="max"/>
        <color rgb="FFFCFCFF"/>
        <color rgb="FFF8696B"/>
      </colorScale>
    </cfRule>
  </conditionalFormatting>
  <conditionalFormatting sqref="C58:Z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05"/>
  <sheetViews>
    <sheetView showGridLines="0" tabSelected="1" zoomScale="40" zoomScaleNormal="4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89" sqref="H89"/>
    </sheetView>
  </sheetViews>
  <sheetFormatPr baseColWidth="8" defaultColWidth="14.42578125" defaultRowHeight="15.75" customHeight="1" outlineLevelRow="1"/>
  <cols>
    <col width="12.7109375" customWidth="1" min="1" max="1"/>
    <col width="50.28515625" customWidth="1" min="2" max="2"/>
    <col width="12.7109375" customWidth="1" min="3" max="38"/>
  </cols>
  <sheetData>
    <row r="1" ht="12.75" customHeight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>
        <v>1</v>
      </c>
      <c r="P1" s="13" t="n">
        <v>2</v>
      </c>
      <c r="Q1" s="13" t="n">
        <v>3</v>
      </c>
      <c r="R1" s="13" t="n">
        <v>4</v>
      </c>
      <c r="S1" s="13" t="n">
        <v>5</v>
      </c>
      <c r="T1" s="13" t="n">
        <v>6</v>
      </c>
      <c r="U1" s="13" t="n">
        <v>7</v>
      </c>
      <c r="V1" s="13" t="n">
        <v>8</v>
      </c>
      <c r="W1" s="13" t="n">
        <v>9</v>
      </c>
      <c r="X1" s="13" t="n">
        <v>10</v>
      </c>
      <c r="Y1" s="13" t="n">
        <v>11</v>
      </c>
      <c r="Z1" s="13" t="n">
        <v>12</v>
      </c>
      <c r="AA1" s="13" t="n">
        <v>13</v>
      </c>
      <c r="AB1" s="13" t="n">
        <v>14</v>
      </c>
      <c r="AC1" s="13" t="n">
        <v>15</v>
      </c>
      <c r="AD1" s="13" t="n">
        <v>16</v>
      </c>
      <c r="AE1" s="13" t="n">
        <v>17</v>
      </c>
      <c r="AF1" s="13" t="n">
        <v>18</v>
      </c>
      <c r="AG1" s="13" t="n">
        <v>19</v>
      </c>
      <c r="AH1" s="13" t="n">
        <v>20</v>
      </c>
      <c r="AI1" s="13" t="n">
        <v>21</v>
      </c>
      <c r="AJ1" s="13" t="n">
        <v>22</v>
      </c>
      <c r="AK1" s="13" t="n">
        <v>23</v>
      </c>
      <c r="AL1" s="13" t="n">
        <v>24</v>
      </c>
    </row>
    <row r="2" ht="12.75" customHeight="1" thickBot="1">
      <c r="A2" s="13" t="n"/>
      <c r="B2" s="2" t="inlineStr">
        <is>
          <t>Месяц</t>
        </is>
      </c>
      <c r="C2" s="3" t="n">
        <v>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J2" s="3">
        <f>I2+1</f>
        <v/>
      </c>
      <c r="K2" s="3">
        <f>J2+1</f>
        <v/>
      </c>
      <c r="L2" s="3">
        <f>K2+1</f>
        <v/>
      </c>
      <c r="M2" s="3">
        <f>L2+1</f>
        <v/>
      </c>
      <c r="N2" s="3">
        <f>M2+1</f>
        <v/>
      </c>
      <c r="O2" s="3">
        <f>N2+1</f>
        <v/>
      </c>
      <c r="P2" s="3">
        <f>O2+1</f>
        <v/>
      </c>
      <c r="Q2" s="3">
        <f>P2+1</f>
        <v/>
      </c>
      <c r="R2" s="3">
        <f>Q2+1</f>
        <v/>
      </c>
      <c r="S2" s="3">
        <f>R2+1</f>
        <v/>
      </c>
      <c r="T2" s="3">
        <f>S2+1</f>
        <v/>
      </c>
      <c r="U2" s="3">
        <f>T2+1</f>
        <v/>
      </c>
      <c r="V2" s="3">
        <f>U2+1</f>
        <v/>
      </c>
      <c r="W2" s="3">
        <f>V2+1</f>
        <v/>
      </c>
      <c r="X2" s="3">
        <f>W2+1</f>
        <v/>
      </c>
      <c r="Y2" s="3">
        <f>X2+1</f>
        <v/>
      </c>
      <c r="Z2" s="3">
        <f>Y2+1</f>
        <v/>
      </c>
      <c r="AA2" s="3">
        <f>Z2+1</f>
        <v/>
      </c>
      <c r="AB2" s="3">
        <f>AA2+1</f>
        <v/>
      </c>
      <c r="AC2" s="3">
        <f>AB2+1</f>
        <v/>
      </c>
      <c r="AD2" s="3">
        <f>AC2+1</f>
        <v/>
      </c>
      <c r="AE2" s="3">
        <f>AD2+1</f>
        <v/>
      </c>
      <c r="AF2" s="3">
        <f>AE2+1</f>
        <v/>
      </c>
      <c r="AG2" s="3">
        <f>AF2+1</f>
        <v/>
      </c>
      <c r="AH2" s="3">
        <f>AG2+1</f>
        <v/>
      </c>
      <c r="AI2" s="3">
        <f>AH2+1</f>
        <v/>
      </c>
      <c r="AJ2" s="3">
        <f>AI2+1</f>
        <v/>
      </c>
      <c r="AK2" s="3">
        <f>AJ2+1</f>
        <v/>
      </c>
      <c r="AL2" s="3">
        <f>AK2+1</f>
        <v/>
      </c>
    </row>
    <row r="3" ht="12.75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</row>
    <row r="4" ht="12.75" customHeight="1">
      <c r="A4" s="8" t="n"/>
      <c r="B4" s="8" t="inlineStr">
        <is>
          <t>Отчет о прибылях и убытках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</row>
    <row r="5" ht="12.75" customHeight="1">
      <c r="A5" s="13" t="n"/>
      <c r="B5" s="5" t="inlineStr">
        <is>
          <t>ВЫРУЧКА</t>
        </is>
      </c>
      <c r="C5" s="6">
        <f>C42+C44</f>
        <v/>
      </c>
      <c r="D5" s="6">
        <f>D42+D44</f>
        <v/>
      </c>
      <c r="E5" s="6">
        <f>E42+E44</f>
        <v/>
      </c>
      <c r="F5" s="6">
        <f>F42+F44</f>
        <v/>
      </c>
      <c r="G5" s="6">
        <f>G42+G44</f>
        <v/>
      </c>
      <c r="H5" s="6">
        <f>H42+H44</f>
        <v/>
      </c>
      <c r="I5" s="6">
        <f>I42+I44</f>
        <v/>
      </c>
      <c r="J5" s="6">
        <f>J42+J44</f>
        <v/>
      </c>
      <c r="K5" s="6">
        <f>K42+K44</f>
        <v/>
      </c>
      <c r="L5" s="6">
        <f>L42+L44</f>
        <v/>
      </c>
      <c r="M5" s="6">
        <f>M42+M44</f>
        <v/>
      </c>
      <c r="N5" s="6">
        <f>N42+N44</f>
        <v/>
      </c>
      <c r="O5" s="6">
        <f>O42+O44</f>
        <v/>
      </c>
      <c r="P5" s="6">
        <f>P42+P44</f>
        <v/>
      </c>
      <c r="Q5" s="6">
        <f>Q42+Q44</f>
        <v/>
      </c>
      <c r="R5" s="6">
        <f>R42+R44</f>
        <v/>
      </c>
      <c r="S5" s="6">
        <f>S42+S44</f>
        <v/>
      </c>
      <c r="T5" s="6">
        <f>T42+T44</f>
        <v/>
      </c>
      <c r="U5" s="6">
        <f>U42+U44</f>
        <v/>
      </c>
      <c r="V5" s="6">
        <f>V42+V44</f>
        <v/>
      </c>
      <c r="W5" s="6">
        <f>W42+W44</f>
        <v/>
      </c>
      <c r="X5" s="6">
        <f>X42+X44</f>
        <v/>
      </c>
      <c r="Y5" s="6">
        <f>Y42+Y44</f>
        <v/>
      </c>
      <c r="Z5" s="6">
        <f>Z42+Z44</f>
        <v/>
      </c>
      <c r="AA5" s="6">
        <f>AA42+AA44</f>
        <v/>
      </c>
      <c r="AB5" s="6">
        <f>AB42+AB44</f>
        <v/>
      </c>
      <c r="AC5" s="6">
        <f>AC42+AC44</f>
        <v/>
      </c>
      <c r="AD5" s="6">
        <f>AD42+AD44</f>
        <v/>
      </c>
      <c r="AE5" s="6">
        <f>AE42+AE44</f>
        <v/>
      </c>
      <c r="AF5" s="6">
        <f>AF42+AF44</f>
        <v/>
      </c>
      <c r="AG5" s="6">
        <f>AG42+AG44</f>
        <v/>
      </c>
      <c r="AH5" s="6">
        <f>AH42+AH44</f>
        <v/>
      </c>
      <c r="AI5" s="6">
        <f>AI42+AI44</f>
        <v/>
      </c>
      <c r="AJ5" s="6">
        <f>AJ42+AJ44</f>
        <v/>
      </c>
      <c r="AK5" s="6">
        <f>AK42+AK44</f>
        <v/>
      </c>
      <c r="AL5" s="6">
        <f>AL42+AL44</f>
        <v/>
      </c>
    </row>
    <row r="6" ht="12.75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</row>
    <row r="7" outlineLevel="1" ht="12.75" customHeight="1">
      <c r="A7" s="7" t="n">
        <v>100000</v>
      </c>
      <c r="B7" s="8" t="inlineStr">
        <is>
          <t>Бюджет на рекламу (Яндекс Директ)</t>
        </is>
      </c>
      <c r="C7" s="9">
        <f>$A$7</f>
        <v/>
      </c>
      <c r="D7" s="9">
        <f>C7+5000</f>
        <v/>
      </c>
      <c r="E7" s="9">
        <f>D7+5000</f>
        <v/>
      </c>
      <c r="F7" s="9">
        <f>E7+5000</f>
        <v/>
      </c>
      <c r="G7" s="9">
        <f>F7+5000</f>
        <v/>
      </c>
      <c r="H7" s="9">
        <f>G7+5000</f>
        <v/>
      </c>
      <c r="I7" s="9">
        <f>H7+20000</f>
        <v/>
      </c>
      <c r="J7" s="9">
        <f>I7+20000</f>
        <v/>
      </c>
      <c r="K7" s="9">
        <f>J7+20000</f>
        <v/>
      </c>
      <c r="L7" s="9">
        <f>K7-10000</f>
        <v/>
      </c>
      <c r="M7" s="9">
        <f>L7-10000</f>
        <v/>
      </c>
      <c r="N7" s="9">
        <f>M7-10000</f>
        <v/>
      </c>
      <c r="O7" s="9">
        <f>N7-10000</f>
        <v/>
      </c>
      <c r="P7" s="9">
        <f>O7+5000</f>
        <v/>
      </c>
      <c r="Q7" s="9">
        <f>P7+5000</f>
        <v/>
      </c>
      <c r="R7" s="9">
        <f>Q7+5000</f>
        <v/>
      </c>
      <c r="S7" s="9">
        <f>R7+5000</f>
        <v/>
      </c>
      <c r="T7" s="9">
        <f>S7+5000</f>
        <v/>
      </c>
      <c r="U7" s="9">
        <f>T7+20000</f>
        <v/>
      </c>
      <c r="V7" s="9">
        <f>U7+20000</f>
        <v/>
      </c>
      <c r="W7" s="9">
        <f>V7+20000</f>
        <v/>
      </c>
      <c r="X7" s="9">
        <f>W7-10000</f>
        <v/>
      </c>
      <c r="Y7" s="9">
        <f>X7-10000</f>
        <v/>
      </c>
      <c r="Z7" s="9">
        <f>Y7-10000</f>
        <v/>
      </c>
      <c r="AA7" s="9">
        <f>Z7-10000</f>
        <v/>
      </c>
      <c r="AB7" s="9">
        <f>AA7+5000</f>
        <v/>
      </c>
      <c r="AC7" s="9">
        <f>AB7+5000</f>
        <v/>
      </c>
      <c r="AD7" s="9">
        <f>AC7+5000</f>
        <v/>
      </c>
      <c r="AE7" s="9">
        <f>AD7+5000</f>
        <v/>
      </c>
      <c r="AF7" s="9">
        <f>AE7+5000</f>
        <v/>
      </c>
      <c r="AG7" s="9">
        <f>AF7+20000</f>
        <v/>
      </c>
      <c r="AH7" s="9">
        <f>AG7+20000</f>
        <v/>
      </c>
      <c r="AI7" s="9">
        <f>AH7+20000</f>
        <v/>
      </c>
      <c r="AJ7" s="9">
        <f>AI7-10000</f>
        <v/>
      </c>
      <c r="AK7" s="9">
        <f>AJ7-10000</f>
        <v/>
      </c>
      <c r="AL7" s="9">
        <f>AK7-10000</f>
        <v/>
      </c>
    </row>
    <row r="8" outlineLevel="1" ht="12.75" customHeight="1">
      <c r="A8" s="19" t="n">
        <v>105</v>
      </c>
      <c r="B8" s="13" t="inlineStr">
        <is>
          <t>Стоимость клика</t>
        </is>
      </c>
      <c r="C8" s="17">
        <f>C7/C13</f>
        <v/>
      </c>
      <c r="D8" s="17">
        <f>D7/D13</f>
        <v/>
      </c>
      <c r="E8" s="17">
        <f>E7/E13</f>
        <v/>
      </c>
      <c r="F8" s="17">
        <f>F7/F13</f>
        <v/>
      </c>
      <c r="G8" s="17">
        <f>G7/G13</f>
        <v/>
      </c>
      <c r="H8" s="17">
        <f>H7/H13</f>
        <v/>
      </c>
      <c r="I8" s="17">
        <f>I7/I13</f>
        <v/>
      </c>
      <c r="J8" s="17">
        <f>J7/J13</f>
        <v/>
      </c>
      <c r="K8" s="17">
        <f>K7/K13</f>
        <v/>
      </c>
      <c r="L8" s="17">
        <f>L7/L13</f>
        <v/>
      </c>
      <c r="M8" s="17">
        <f>M7/M13</f>
        <v/>
      </c>
      <c r="N8" s="17">
        <f>N7/N13</f>
        <v/>
      </c>
      <c r="O8" s="17">
        <f>O7/O13</f>
        <v/>
      </c>
      <c r="P8" s="17">
        <f>P7/P13</f>
        <v/>
      </c>
      <c r="Q8" s="17">
        <f>Q7/Q13</f>
        <v/>
      </c>
      <c r="R8" s="17">
        <f>R7/R13</f>
        <v/>
      </c>
      <c r="S8" s="17">
        <f>S7/S13</f>
        <v/>
      </c>
      <c r="T8" s="17">
        <f>T7/T13</f>
        <v/>
      </c>
      <c r="U8" s="17">
        <f>U7/U13</f>
        <v/>
      </c>
      <c r="V8" s="17">
        <f>V7/V13</f>
        <v/>
      </c>
      <c r="W8" s="17">
        <f>W7/W13</f>
        <v/>
      </c>
      <c r="X8" s="17">
        <f>X7/X13</f>
        <v/>
      </c>
      <c r="Y8" s="17">
        <f>Y7/Y13</f>
        <v/>
      </c>
      <c r="Z8" s="17">
        <f>Z7/Z13</f>
        <v/>
      </c>
      <c r="AA8" s="17">
        <f>AA7/AA13</f>
        <v/>
      </c>
      <c r="AB8" s="17">
        <f>AB7/AB13</f>
        <v/>
      </c>
      <c r="AC8" s="17">
        <f>AC7/AC13</f>
        <v/>
      </c>
      <c r="AD8" s="17">
        <f>AD7/AD13</f>
        <v/>
      </c>
      <c r="AE8" s="17">
        <f>AE7/AE13</f>
        <v/>
      </c>
      <c r="AF8" s="17">
        <f>AF7/AF13</f>
        <v/>
      </c>
      <c r="AG8" s="17">
        <f>AG7/AG13</f>
        <v/>
      </c>
      <c r="AH8" s="17">
        <f>AH7/AH13</f>
        <v/>
      </c>
      <c r="AI8" s="17">
        <f>AI7/AI13</f>
        <v/>
      </c>
      <c r="AJ8" s="17">
        <f>AJ7/AJ13</f>
        <v/>
      </c>
      <c r="AK8" s="17">
        <f>AK7/AK13</f>
        <v/>
      </c>
      <c r="AL8" s="17">
        <f>AL7/AL13</f>
        <v/>
      </c>
    </row>
    <row r="9" outlineLevel="1" ht="12.75" customHeight="1">
      <c r="A9" s="20" t="n">
        <v>0.12</v>
      </c>
      <c r="B9" s="13" t="inlineStr">
        <is>
          <t>Конверсия 1 (посетители — заявка)</t>
        </is>
      </c>
      <c r="C9" s="14">
        <f>$A$9</f>
        <v/>
      </c>
      <c r="D9" s="14">
        <f>$A$9</f>
        <v/>
      </c>
      <c r="E9" s="14">
        <f>$A$9</f>
        <v/>
      </c>
      <c r="F9" s="14">
        <f>$A$9</f>
        <v/>
      </c>
      <c r="G9" s="14">
        <f>$A$9</f>
        <v/>
      </c>
      <c r="H9" s="14">
        <f>$A$9</f>
        <v/>
      </c>
      <c r="I9" s="14">
        <f>$A$9</f>
        <v/>
      </c>
      <c r="J9" s="14">
        <f>$A$9</f>
        <v/>
      </c>
      <c r="K9" s="14">
        <f>$A$9</f>
        <v/>
      </c>
      <c r="L9" s="14">
        <f>$A$9</f>
        <v/>
      </c>
      <c r="M9" s="14">
        <f>$A$9</f>
        <v/>
      </c>
      <c r="N9" s="14">
        <f>$A$9</f>
        <v/>
      </c>
      <c r="O9" s="14" t="n">
        <v>0.11</v>
      </c>
      <c r="P9" s="14" t="n">
        <v>0.11</v>
      </c>
      <c r="Q9" s="14" t="n">
        <v>0.11</v>
      </c>
      <c r="R9" s="14" t="n">
        <v>0.11</v>
      </c>
      <c r="S9" s="14" t="n">
        <v>0.11</v>
      </c>
      <c r="T9" s="14" t="n">
        <v>0.11</v>
      </c>
      <c r="U9" s="14" t="n">
        <v>0.11</v>
      </c>
      <c r="V9" s="14" t="n">
        <v>0.11</v>
      </c>
      <c r="W9" s="14" t="n">
        <v>0.11</v>
      </c>
      <c r="X9" s="14" t="n">
        <v>0.11</v>
      </c>
      <c r="Y9" s="14" t="n">
        <v>0.11</v>
      </c>
      <c r="Z9" s="14" t="n">
        <v>0.11</v>
      </c>
      <c r="AA9" s="14" t="n">
        <v>0.1</v>
      </c>
      <c r="AB9" s="14" t="n">
        <v>0.1</v>
      </c>
      <c r="AC9" s="14" t="n">
        <v>0.1</v>
      </c>
      <c r="AD9" s="14" t="n">
        <v>0.1</v>
      </c>
      <c r="AE9" s="14" t="n">
        <v>0.1</v>
      </c>
      <c r="AF9" s="14" t="n">
        <v>0.1</v>
      </c>
      <c r="AG9" s="14" t="n">
        <v>0.1</v>
      </c>
      <c r="AH9" s="14" t="n">
        <v>0.1</v>
      </c>
      <c r="AI9" s="14" t="n">
        <v>0.1</v>
      </c>
      <c r="AJ9" s="14" t="n">
        <v>0.1</v>
      </c>
      <c r="AK9" s="14" t="n">
        <v>0.1</v>
      </c>
      <c r="AL9" s="14" t="n">
        <v>0.1</v>
      </c>
      <c r="AM9" s="28" t="inlineStr">
        <is>
          <t>смоделировала вручную, не знаю как должно быть на самом деле</t>
        </is>
      </c>
    </row>
    <row r="10" outlineLevel="1" ht="12.75" customHeight="1">
      <c r="A10" s="20" t="n">
        <v>0.15</v>
      </c>
      <c r="B10" s="13" t="inlineStr">
        <is>
          <t>Конверсия 2 (заявка — тестовое занятие)</t>
        </is>
      </c>
      <c r="C10" s="14">
        <f>$A$10</f>
        <v/>
      </c>
      <c r="D10" s="14">
        <f>$A$10</f>
        <v/>
      </c>
      <c r="E10" s="14">
        <f>$A$10</f>
        <v/>
      </c>
      <c r="F10" s="14">
        <f>$A$10</f>
        <v/>
      </c>
      <c r="G10" s="14">
        <f>$A$10</f>
        <v/>
      </c>
      <c r="H10" s="14">
        <f>$A$10</f>
        <v/>
      </c>
      <c r="I10" s="14">
        <f>$A$10</f>
        <v/>
      </c>
      <c r="J10" s="14">
        <f>$A$10</f>
        <v/>
      </c>
      <c r="K10" s="14">
        <f>$A$10</f>
        <v/>
      </c>
      <c r="L10" s="14">
        <f>$A$10</f>
        <v/>
      </c>
      <c r="M10" s="14">
        <f>$A$10</f>
        <v/>
      </c>
      <c r="N10" s="14">
        <f>$A$10</f>
        <v/>
      </c>
      <c r="O10" s="14" t="n">
        <v>0.14</v>
      </c>
      <c r="P10" s="14" t="n">
        <v>0.14</v>
      </c>
      <c r="Q10" s="14" t="n">
        <v>0.14</v>
      </c>
      <c r="R10" s="14" t="n">
        <v>0.14</v>
      </c>
      <c r="S10" s="14" t="n">
        <v>0.14</v>
      </c>
      <c r="T10" s="14" t="n">
        <v>0.14</v>
      </c>
      <c r="U10" s="14" t="n">
        <v>0.14</v>
      </c>
      <c r="V10" s="14" t="n">
        <v>0.14</v>
      </c>
      <c r="W10" s="14" t="n">
        <v>0.14</v>
      </c>
      <c r="X10" s="14" t="n">
        <v>0.14</v>
      </c>
      <c r="Y10" s="14" t="n">
        <v>0.14</v>
      </c>
      <c r="Z10" s="14" t="n">
        <v>0.14</v>
      </c>
      <c r="AA10" s="14" t="n">
        <v>0.13</v>
      </c>
      <c r="AB10" s="14" t="n">
        <v>0.13</v>
      </c>
      <c r="AC10" s="14" t="n">
        <v>0.13</v>
      </c>
      <c r="AD10" s="14" t="n">
        <v>0.13</v>
      </c>
      <c r="AE10" s="14" t="n">
        <v>0.13</v>
      </c>
      <c r="AF10" s="14" t="n">
        <v>0.13</v>
      </c>
      <c r="AG10" s="14" t="n">
        <v>0.13</v>
      </c>
      <c r="AH10" s="14" t="n">
        <v>0.13</v>
      </c>
      <c r="AI10" s="14" t="n">
        <v>0.13</v>
      </c>
      <c r="AJ10" s="14" t="n">
        <v>0.13</v>
      </c>
      <c r="AK10" s="14" t="n">
        <v>0.13</v>
      </c>
      <c r="AL10" s="14" t="n">
        <v>0.13</v>
      </c>
    </row>
    <row r="11" outlineLevel="1" ht="12.75" customHeight="1">
      <c r="A11" s="20" t="n">
        <v>0.33</v>
      </c>
      <c r="B11" s="13" t="inlineStr">
        <is>
          <t>Конверсия 3 (тестовое занятие — покупка)</t>
        </is>
      </c>
      <c r="C11" s="14">
        <f>$A$11</f>
        <v/>
      </c>
      <c r="D11" s="14">
        <f>$A$11</f>
        <v/>
      </c>
      <c r="E11" s="14">
        <f>$A$11</f>
        <v/>
      </c>
      <c r="F11" s="14">
        <f>$A$11</f>
        <v/>
      </c>
      <c r="G11" s="14">
        <f>$A$11</f>
        <v/>
      </c>
      <c r="H11" s="14">
        <f>$A$11</f>
        <v/>
      </c>
      <c r="I11" s="14">
        <f>$A$11</f>
        <v/>
      </c>
      <c r="J11" s="14">
        <f>$A$11</f>
        <v/>
      </c>
      <c r="K11" s="14">
        <f>$A$11</f>
        <v/>
      </c>
      <c r="L11" s="14">
        <f>$A$11</f>
        <v/>
      </c>
      <c r="M11" s="14">
        <f>$A$11</f>
        <v/>
      </c>
      <c r="N11" s="14">
        <f>$A$11</f>
        <v/>
      </c>
      <c r="O11" s="14" t="n">
        <v>0.3</v>
      </c>
      <c r="P11" s="14" t="n">
        <v>0.3</v>
      </c>
      <c r="Q11" s="14" t="n">
        <v>0.3</v>
      </c>
      <c r="R11" s="14" t="n">
        <v>0.3</v>
      </c>
      <c r="S11" s="14" t="n">
        <v>0.3</v>
      </c>
      <c r="T11" s="14" t="n">
        <v>0.3</v>
      </c>
      <c r="U11" s="14" t="n">
        <v>0.3</v>
      </c>
      <c r="V11" s="14" t="n">
        <v>0.3</v>
      </c>
      <c r="W11" s="14" t="n">
        <v>0.3</v>
      </c>
      <c r="X11" s="14" t="n">
        <v>0.3</v>
      </c>
      <c r="Y11" s="14" t="n">
        <v>0.3</v>
      </c>
      <c r="Z11" s="14" t="n">
        <v>0.3</v>
      </c>
      <c r="AA11" s="14" t="n">
        <v>0.27</v>
      </c>
      <c r="AB11" s="14" t="n">
        <v>0.27</v>
      </c>
      <c r="AC11" s="14" t="n">
        <v>0.27</v>
      </c>
      <c r="AD11" s="14" t="n">
        <v>0.27</v>
      </c>
      <c r="AE11" s="14" t="n">
        <v>0.27</v>
      </c>
      <c r="AF11" s="14" t="n">
        <v>0.27</v>
      </c>
      <c r="AG11" s="14" t="n">
        <v>0.27</v>
      </c>
      <c r="AH11" s="14" t="n">
        <v>0.27</v>
      </c>
      <c r="AI11" s="14" t="n">
        <v>0.27</v>
      </c>
      <c r="AJ11" s="14" t="n">
        <v>0.27</v>
      </c>
      <c r="AK11" s="14" t="n">
        <v>0.27</v>
      </c>
      <c r="AL11" s="14" t="n">
        <v>0.27</v>
      </c>
    </row>
    <row r="12" outlineLevel="1" ht="12.75" customHeight="1">
      <c r="A12" s="13" t="n"/>
      <c r="B12" s="13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</row>
    <row r="13" outlineLevel="1" ht="12.75" customHeight="1">
      <c r="B13" s="8" t="inlineStr">
        <is>
          <t>Посетителей на сайте</t>
        </is>
      </c>
      <c r="C13" s="9" t="n">
        <v>952</v>
      </c>
      <c r="D13" s="9">
        <f>C13+20</f>
        <v/>
      </c>
      <c r="E13" s="9">
        <f>D13+40</f>
        <v/>
      </c>
      <c r="F13" s="9">
        <f>E13+50</f>
        <v/>
      </c>
      <c r="G13" s="9">
        <f>F13+50</f>
        <v/>
      </c>
      <c r="H13" s="9">
        <f>G13+50</f>
        <v/>
      </c>
      <c r="I13" s="9">
        <f>H13+100</f>
        <v/>
      </c>
      <c r="J13" s="9">
        <f>I13+200</f>
        <v/>
      </c>
      <c r="K13" s="9">
        <f>J13+300</f>
        <v/>
      </c>
      <c r="L13" s="9">
        <f>K13-100</f>
        <v/>
      </c>
      <c r="M13" s="9">
        <f>L13-150</f>
        <v/>
      </c>
      <c r="N13" s="9">
        <f>M13-150</f>
        <v/>
      </c>
      <c r="O13" s="9">
        <f>N13</f>
        <v/>
      </c>
      <c r="P13" s="9">
        <f>O13+20</f>
        <v/>
      </c>
      <c r="Q13" s="9">
        <f>P13+40</f>
        <v/>
      </c>
      <c r="R13" s="9">
        <f>Q13+50</f>
        <v/>
      </c>
      <c r="S13" s="9">
        <f>R13+50</f>
        <v/>
      </c>
      <c r="T13" s="9">
        <f>S13+50</f>
        <v/>
      </c>
      <c r="U13" s="9">
        <f>T13+100</f>
        <v/>
      </c>
      <c r="V13" s="9">
        <f>U13+200</f>
        <v/>
      </c>
      <c r="W13" s="9">
        <f>V13+300</f>
        <v/>
      </c>
      <c r="X13" s="9">
        <f>W13-100</f>
        <v/>
      </c>
      <c r="Y13" s="9">
        <f>X13-150</f>
        <v/>
      </c>
      <c r="Z13" s="9">
        <f>Y13-150</f>
        <v/>
      </c>
      <c r="AA13" s="9">
        <f>Z13</f>
        <v/>
      </c>
      <c r="AB13" s="9">
        <f>AA13+20</f>
        <v/>
      </c>
      <c r="AC13" s="9">
        <f>AB13+40</f>
        <v/>
      </c>
      <c r="AD13" s="9">
        <f>AC13+50</f>
        <v/>
      </c>
      <c r="AE13" s="9">
        <f>AD13+50</f>
        <v/>
      </c>
      <c r="AF13" s="9">
        <f>AE13+50</f>
        <v/>
      </c>
      <c r="AG13" s="9">
        <f>AF13+100</f>
        <v/>
      </c>
      <c r="AH13" s="9">
        <f>AG13+200</f>
        <v/>
      </c>
      <c r="AI13" s="9">
        <f>AH13+300</f>
        <v/>
      </c>
      <c r="AJ13" s="9">
        <f>AI13-100</f>
        <v/>
      </c>
      <c r="AK13" s="9">
        <f>AJ13-150</f>
        <v/>
      </c>
      <c r="AL13" s="9">
        <f>AK13-150</f>
        <v/>
      </c>
    </row>
    <row r="14" outlineLevel="1" ht="12.75" customHeight="1">
      <c r="A14" s="13" t="n"/>
      <c r="B14" s="13" t="inlineStr">
        <is>
          <t>Количество заявок</t>
        </is>
      </c>
      <c r="C14" s="17">
        <f>C13*C9</f>
        <v/>
      </c>
      <c r="D14" s="17">
        <f>D13*D9</f>
        <v/>
      </c>
      <c r="E14" s="17">
        <f>E13*E9</f>
        <v/>
      </c>
      <c r="F14" s="17">
        <f>F13*F9</f>
        <v/>
      </c>
      <c r="G14" s="17">
        <f>G13*G9</f>
        <v/>
      </c>
      <c r="H14" s="17">
        <f>H13*H9</f>
        <v/>
      </c>
      <c r="I14" s="17">
        <f>I13*I9</f>
        <v/>
      </c>
      <c r="J14" s="17">
        <f>J13*J9</f>
        <v/>
      </c>
      <c r="K14" s="17">
        <f>K13*K9</f>
        <v/>
      </c>
      <c r="L14" s="17">
        <f>L13*L9</f>
        <v/>
      </c>
      <c r="M14" s="17">
        <f>M13*M9</f>
        <v/>
      </c>
      <c r="N14" s="17">
        <f>N13*N9</f>
        <v/>
      </c>
      <c r="O14" s="17">
        <f>O13*O9</f>
        <v/>
      </c>
      <c r="P14" s="17">
        <f>P13*P9</f>
        <v/>
      </c>
      <c r="Q14" s="17">
        <f>Q13*Q9</f>
        <v/>
      </c>
      <c r="R14" s="17">
        <f>R13*R9</f>
        <v/>
      </c>
      <c r="S14" s="17">
        <f>S13*S9</f>
        <v/>
      </c>
      <c r="T14" s="17">
        <f>T13*T9</f>
        <v/>
      </c>
      <c r="U14" s="17">
        <f>U13*U9</f>
        <v/>
      </c>
      <c r="V14" s="17">
        <f>V13*V9</f>
        <v/>
      </c>
      <c r="W14" s="17">
        <f>W13*W9</f>
        <v/>
      </c>
      <c r="X14" s="17">
        <f>X13*X9</f>
        <v/>
      </c>
      <c r="Y14" s="17">
        <f>Y13*Y9</f>
        <v/>
      </c>
      <c r="Z14" s="17">
        <f>Z13*Z9</f>
        <v/>
      </c>
      <c r="AA14" s="17">
        <f>AA13*AA9</f>
        <v/>
      </c>
      <c r="AB14" s="17">
        <f>AB13*AB9</f>
        <v/>
      </c>
      <c r="AC14" s="17">
        <f>AC13*AC9</f>
        <v/>
      </c>
      <c r="AD14" s="17">
        <f>AD13*AD9</f>
        <v/>
      </c>
      <c r="AE14" s="17">
        <f>AE13*AE9</f>
        <v/>
      </c>
      <c r="AF14" s="17">
        <f>AF13*AF9</f>
        <v/>
      </c>
      <c r="AG14" s="17">
        <f>AG13*AG9</f>
        <v/>
      </c>
      <c r="AH14" s="17">
        <f>AH13*AH9</f>
        <v/>
      </c>
      <c r="AI14" s="17">
        <f>AI13*AI9</f>
        <v/>
      </c>
      <c r="AJ14" s="17">
        <f>AJ13*AJ9</f>
        <v/>
      </c>
      <c r="AK14" s="17">
        <f>AK13*AK9</f>
        <v/>
      </c>
      <c r="AL14" s="17">
        <f>AL13*AL9</f>
        <v/>
      </c>
    </row>
    <row r="15" outlineLevel="1" ht="12.75" customHeight="1">
      <c r="A15" s="13" t="n"/>
      <c r="B15" s="13" t="inlineStr">
        <is>
          <t>Количество приходов на тестовое занятие</t>
        </is>
      </c>
      <c r="C15" s="17">
        <f>ROUNDDOWN(C14*C10,0)</f>
        <v/>
      </c>
      <c r="D15" s="17">
        <f>ROUNDDOWN(D14*D10,0)</f>
        <v/>
      </c>
      <c r="E15" s="17">
        <f>ROUNDDOWN(E14*E10,0)</f>
        <v/>
      </c>
      <c r="F15" s="17">
        <f>ROUNDDOWN(F14*F10,0)</f>
        <v/>
      </c>
      <c r="G15" s="17">
        <f>ROUNDDOWN(G14*G10,0)</f>
        <v/>
      </c>
      <c r="H15" s="17">
        <f>ROUNDDOWN(H14*H10,0)</f>
        <v/>
      </c>
      <c r="I15" s="17">
        <f>ROUNDDOWN(I14*I10,0)</f>
        <v/>
      </c>
      <c r="J15" s="17">
        <f>ROUNDDOWN(J14*J10,0)</f>
        <v/>
      </c>
      <c r="K15" s="17">
        <f>ROUNDDOWN(K14*K10,0)</f>
        <v/>
      </c>
      <c r="L15" s="17">
        <f>ROUNDDOWN(L14*L10,0)</f>
        <v/>
      </c>
      <c r="M15" s="17">
        <f>ROUNDDOWN(M14*M10,0)</f>
        <v/>
      </c>
      <c r="N15" s="17">
        <f>ROUNDDOWN(N14*N10,0)</f>
        <v/>
      </c>
      <c r="O15" s="17">
        <f>ROUNDDOWN(O14*O10,0)</f>
        <v/>
      </c>
      <c r="P15" s="17">
        <f>ROUNDDOWN(P14*P10,0)</f>
        <v/>
      </c>
      <c r="Q15" s="17">
        <f>ROUNDDOWN(Q14*Q10,0)</f>
        <v/>
      </c>
      <c r="R15" s="17">
        <f>ROUNDDOWN(R14*R10,0)</f>
        <v/>
      </c>
      <c r="S15" s="17">
        <f>ROUNDDOWN(S14*S10,0)</f>
        <v/>
      </c>
      <c r="T15" s="17">
        <f>ROUNDDOWN(T14*T10,0)</f>
        <v/>
      </c>
      <c r="U15" s="17">
        <f>ROUNDDOWN(U14*U10,0)</f>
        <v/>
      </c>
      <c r="V15" s="17">
        <f>ROUNDDOWN(V14*V10,0)</f>
        <v/>
      </c>
      <c r="W15" s="17">
        <f>ROUNDDOWN(W14*W10,0)</f>
        <v/>
      </c>
      <c r="X15" s="17">
        <f>ROUNDDOWN(X14*X10,0)</f>
        <v/>
      </c>
      <c r="Y15" s="17">
        <f>ROUNDDOWN(Y14*Y10,0)</f>
        <v/>
      </c>
      <c r="Z15" s="17">
        <f>ROUNDDOWN(Z14*Z10,0)</f>
        <v/>
      </c>
      <c r="AA15" s="17">
        <f>ROUNDDOWN(AA14*AA10,0)</f>
        <v/>
      </c>
      <c r="AB15" s="17">
        <f>ROUNDDOWN(AB14*AB10,0)</f>
        <v/>
      </c>
      <c r="AC15" s="17">
        <f>ROUNDDOWN(AC14*AC10,0)</f>
        <v/>
      </c>
      <c r="AD15" s="17">
        <f>ROUNDDOWN(AD14*AD10,0)</f>
        <v/>
      </c>
      <c r="AE15" s="17">
        <f>ROUNDDOWN(AE14*AE10,0)</f>
        <v/>
      </c>
      <c r="AF15" s="17">
        <f>ROUNDDOWN(AF14*AF10,0)</f>
        <v/>
      </c>
      <c r="AG15" s="17">
        <f>ROUNDDOWN(AG14*AG10,0)</f>
        <v/>
      </c>
      <c r="AH15" s="17">
        <f>ROUNDDOWN(AH14*AH10,0)</f>
        <v/>
      </c>
      <c r="AI15" s="17">
        <f>ROUNDDOWN(AI14*AI10,0)</f>
        <v/>
      </c>
      <c r="AJ15" s="17">
        <f>ROUNDDOWN(AJ14*AJ10,0)</f>
        <v/>
      </c>
      <c r="AK15" s="17">
        <f>ROUNDDOWN(AK14*AK10,0)</f>
        <v/>
      </c>
      <c r="AL15" s="17">
        <f>ROUNDDOWN(AL14*AL10,0)</f>
        <v/>
      </c>
    </row>
    <row r="16" outlineLevel="1" ht="12.75" customHeight="1">
      <c r="A16" s="13" t="n"/>
      <c r="B16" s="13" t="inlineStr">
        <is>
          <t>Количество покупок</t>
        </is>
      </c>
      <c r="C16" s="17">
        <f>ROUNDDOWN(C15*C11,0)</f>
        <v/>
      </c>
      <c r="D16" s="17">
        <f>ROUNDDOWN(D15*D11,0)</f>
        <v/>
      </c>
      <c r="E16" s="17">
        <f>ROUNDDOWN(E15*E11,0)</f>
        <v/>
      </c>
      <c r="F16" s="17">
        <f>ROUNDDOWN(F15*F11,0)</f>
        <v/>
      </c>
      <c r="G16" s="17">
        <f>ROUNDDOWN(G15*G11,0)</f>
        <v/>
      </c>
      <c r="H16" s="17">
        <f>ROUNDDOWN(H15*H11,0)</f>
        <v/>
      </c>
      <c r="I16" s="17">
        <f>ROUNDDOWN(I15*I11,0)</f>
        <v/>
      </c>
      <c r="J16" s="17">
        <f>ROUNDDOWN(J15*J11,0)</f>
        <v/>
      </c>
      <c r="K16" s="17">
        <f>ROUNDDOWN(K15*K11,0)</f>
        <v/>
      </c>
      <c r="L16" s="17">
        <f>ROUNDDOWN(L15*L11,0)</f>
        <v/>
      </c>
      <c r="M16" s="17">
        <f>ROUNDDOWN(M15*M11,0)</f>
        <v/>
      </c>
      <c r="N16" s="17">
        <f>ROUNDDOWN(N15*N11,0)</f>
        <v/>
      </c>
      <c r="O16" s="17">
        <f>ROUNDDOWN(O15*O11,0)</f>
        <v/>
      </c>
      <c r="P16" s="17">
        <f>ROUNDDOWN(P15*P11,0)</f>
        <v/>
      </c>
      <c r="Q16" s="17">
        <f>ROUNDDOWN(Q15*Q11,0)</f>
        <v/>
      </c>
      <c r="R16" s="17">
        <f>ROUNDDOWN(R15*R11,0)</f>
        <v/>
      </c>
      <c r="S16" s="17">
        <f>ROUNDDOWN(S15*S11,0)</f>
        <v/>
      </c>
      <c r="T16" s="17">
        <f>ROUNDDOWN(T15*T11,0)</f>
        <v/>
      </c>
      <c r="U16" s="17">
        <f>ROUNDDOWN(U15*U11,0)</f>
        <v/>
      </c>
      <c r="V16" s="17">
        <f>ROUNDDOWN(V15*V11,0)</f>
        <v/>
      </c>
      <c r="W16" s="17">
        <f>ROUNDDOWN(W15*W11,0)</f>
        <v/>
      </c>
      <c r="X16" s="17">
        <f>ROUNDDOWN(X15*X11,0)</f>
        <v/>
      </c>
      <c r="Y16" s="17">
        <f>ROUNDDOWN(Y15*Y11,0)</f>
        <v/>
      </c>
      <c r="Z16" s="17">
        <f>ROUNDDOWN(Z15*Z11,0)</f>
        <v/>
      </c>
      <c r="AA16" s="17">
        <f>ROUNDDOWN(AA15*AA11,0)</f>
        <v/>
      </c>
      <c r="AB16" s="17">
        <f>ROUNDDOWN(AB15*AB11,0)</f>
        <v/>
      </c>
      <c r="AC16" s="17">
        <f>ROUNDDOWN(AC15*AC11,0)</f>
        <v/>
      </c>
      <c r="AD16" s="17">
        <f>ROUNDDOWN(AD15*AD11,0)</f>
        <v/>
      </c>
      <c r="AE16" s="17">
        <f>ROUNDDOWN(AE15*AE11,0)</f>
        <v/>
      </c>
      <c r="AF16" s="17">
        <f>ROUNDDOWN(AF15*AF11,0)</f>
        <v/>
      </c>
      <c r="AG16" s="17">
        <f>ROUNDDOWN(AG15*AG11,0)</f>
        <v/>
      </c>
      <c r="AH16" s="17">
        <f>ROUNDDOWN(AH15*AH11,0)</f>
        <v/>
      </c>
      <c r="AI16" s="17">
        <f>ROUNDDOWN(AI15*AI11,0)</f>
        <v/>
      </c>
      <c r="AJ16" s="17">
        <f>ROUNDDOWN(AJ15*AJ11,0)</f>
        <v/>
      </c>
      <c r="AK16" s="17">
        <f>ROUNDDOWN(AK15*AK11,0)</f>
        <v/>
      </c>
      <c r="AL16" s="17">
        <f>ROUNDDOWN(AL15*AL11,0)</f>
        <v/>
      </c>
    </row>
    <row r="17" outlineLevel="1" ht="12.75" customHeight="1">
      <c r="A17" s="13" t="n"/>
      <c r="B17" s="13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</row>
    <row r="18" outlineLevel="1" ht="12.75" customHeight="1">
      <c r="A18" s="7" t="n">
        <v>75000</v>
      </c>
      <c r="B18" s="8" t="inlineStr">
        <is>
          <t>Бюджет на рекламу (соцсети)</t>
        </is>
      </c>
      <c r="C18" s="9">
        <f>$A$18</f>
        <v/>
      </c>
      <c r="D18" s="9">
        <f>$A$18</f>
        <v/>
      </c>
      <c r="E18" s="9">
        <f>$A$18</f>
        <v/>
      </c>
      <c r="F18" s="9">
        <f>$A$18</f>
        <v/>
      </c>
      <c r="G18" s="9">
        <f>$A$18</f>
        <v/>
      </c>
      <c r="H18" s="9">
        <f>$A$18</f>
        <v/>
      </c>
      <c r="I18" s="9">
        <f>$A$18</f>
        <v/>
      </c>
      <c r="J18" s="9">
        <f>$A$18</f>
        <v/>
      </c>
      <c r="K18" s="9">
        <f>$A$18</f>
        <v/>
      </c>
      <c r="L18" s="9">
        <f>$A$18</f>
        <v/>
      </c>
      <c r="M18" s="9">
        <f>$A$18</f>
        <v/>
      </c>
      <c r="N18" s="9">
        <f>$A$18</f>
        <v/>
      </c>
      <c r="O18" s="9">
        <f>$A$18</f>
        <v/>
      </c>
      <c r="P18" s="9">
        <f>$A$18</f>
        <v/>
      </c>
      <c r="Q18" s="9">
        <f>$A$18</f>
        <v/>
      </c>
      <c r="R18" s="9">
        <f>$A$18</f>
        <v/>
      </c>
      <c r="S18" s="9">
        <f>$A$18</f>
        <v/>
      </c>
      <c r="T18" s="9">
        <f>$A$18</f>
        <v/>
      </c>
      <c r="U18" s="9">
        <f>$A$18</f>
        <v/>
      </c>
      <c r="V18" s="9">
        <f>$A$18</f>
        <v/>
      </c>
      <c r="W18" s="9">
        <f>$A$18</f>
        <v/>
      </c>
      <c r="X18" s="9">
        <f>$A$18</f>
        <v/>
      </c>
      <c r="Y18" s="9">
        <f>$A$18</f>
        <v/>
      </c>
      <c r="Z18" s="9">
        <f>$A$18</f>
        <v/>
      </c>
      <c r="AA18" s="9">
        <f>$A$18</f>
        <v/>
      </c>
      <c r="AB18" s="9">
        <f>$A$18</f>
        <v/>
      </c>
      <c r="AC18" s="9">
        <f>$A$18</f>
        <v/>
      </c>
      <c r="AD18" s="9">
        <f>$A$18</f>
        <v/>
      </c>
      <c r="AE18" s="9">
        <f>$A$18</f>
        <v/>
      </c>
      <c r="AF18" s="9">
        <f>$A$18</f>
        <v/>
      </c>
      <c r="AG18" s="9">
        <f>$A$18</f>
        <v/>
      </c>
      <c r="AH18" s="9">
        <f>$A$18</f>
        <v/>
      </c>
      <c r="AI18" s="9">
        <f>$A$18</f>
        <v/>
      </c>
      <c r="AJ18" s="9">
        <f>$A$18</f>
        <v/>
      </c>
      <c r="AK18" s="9">
        <f>$A$18</f>
        <v/>
      </c>
      <c r="AL18" s="9">
        <f>$A$18</f>
        <v/>
      </c>
    </row>
    <row r="19" outlineLevel="1" ht="12.75" customHeight="1">
      <c r="A19" s="19" t="n">
        <v>950</v>
      </c>
      <c r="B19" s="13" t="inlineStr">
        <is>
          <t>CPM (цена 1000 показов)</t>
        </is>
      </c>
      <c r="C19" s="17">
        <f>$A$19</f>
        <v/>
      </c>
      <c r="D19" s="17">
        <f>$A$19</f>
        <v/>
      </c>
      <c r="E19" s="17">
        <f>$A$19</f>
        <v/>
      </c>
      <c r="F19" s="17">
        <f>$A$19</f>
        <v/>
      </c>
      <c r="G19" s="17">
        <f>$A$19</f>
        <v/>
      </c>
      <c r="H19" s="17">
        <f>$A$19</f>
        <v/>
      </c>
      <c r="I19" s="17">
        <f>$A$19</f>
        <v/>
      </c>
      <c r="J19" s="17">
        <f>$A$19</f>
        <v/>
      </c>
      <c r="K19" s="17">
        <f>$A$19</f>
        <v/>
      </c>
      <c r="L19" s="17">
        <f>$A$19</f>
        <v/>
      </c>
      <c r="M19" s="17">
        <f>$A$19</f>
        <v/>
      </c>
      <c r="N19" s="17">
        <f>$A$19</f>
        <v/>
      </c>
      <c r="O19" s="17">
        <f>$A$19</f>
        <v/>
      </c>
      <c r="P19" s="17">
        <f>$A$19</f>
        <v/>
      </c>
      <c r="Q19" s="17">
        <f>$A$19</f>
        <v/>
      </c>
      <c r="R19" s="17">
        <f>$A$19</f>
        <v/>
      </c>
      <c r="S19" s="17">
        <f>$A$19</f>
        <v/>
      </c>
      <c r="T19" s="17">
        <f>$A$19</f>
        <v/>
      </c>
      <c r="U19" s="17">
        <f>$A$19</f>
        <v/>
      </c>
      <c r="V19" s="17">
        <f>$A$19</f>
        <v/>
      </c>
      <c r="W19" s="17">
        <f>$A$19</f>
        <v/>
      </c>
      <c r="X19" s="17">
        <f>$A$19</f>
        <v/>
      </c>
      <c r="Y19" s="17">
        <f>$A$19</f>
        <v/>
      </c>
      <c r="Z19" s="17">
        <f>$A$19</f>
        <v/>
      </c>
      <c r="AA19" s="17">
        <f>$A$19</f>
        <v/>
      </c>
      <c r="AB19" s="17">
        <f>$A$19</f>
        <v/>
      </c>
      <c r="AC19" s="17">
        <f>$A$19</f>
        <v/>
      </c>
      <c r="AD19" s="17">
        <f>$A$19</f>
        <v/>
      </c>
      <c r="AE19" s="17">
        <f>$A$19</f>
        <v/>
      </c>
      <c r="AF19" s="17">
        <f>$A$19</f>
        <v/>
      </c>
      <c r="AG19" s="17">
        <f>$A$19</f>
        <v/>
      </c>
      <c r="AH19" s="17">
        <f>$A$19</f>
        <v/>
      </c>
      <c r="AI19" s="17">
        <f>$A$19</f>
        <v/>
      </c>
      <c r="AJ19" s="17">
        <f>$A$19</f>
        <v/>
      </c>
      <c r="AK19" s="17">
        <f>$A$19</f>
        <v/>
      </c>
      <c r="AL19" s="17">
        <f>$A$19</f>
        <v/>
      </c>
    </row>
    <row r="20" outlineLevel="1" ht="12.75" customHeight="1">
      <c r="A20" s="15" t="n">
        <v>0.01</v>
      </c>
      <c r="B20" s="13" t="inlineStr">
        <is>
          <t>CTR</t>
        </is>
      </c>
      <c r="C20" s="16">
        <f>$A$20</f>
        <v/>
      </c>
      <c r="D20" s="16">
        <f>$A$20</f>
        <v/>
      </c>
      <c r="E20" s="16">
        <f>$A$20</f>
        <v/>
      </c>
      <c r="F20" s="16">
        <f>$A$20</f>
        <v/>
      </c>
      <c r="G20" s="16">
        <f>$A$20</f>
        <v/>
      </c>
      <c r="H20" s="16">
        <f>$A$20</f>
        <v/>
      </c>
      <c r="I20" s="16">
        <f>$A$20</f>
        <v/>
      </c>
      <c r="J20" s="16">
        <f>$A$20</f>
        <v/>
      </c>
      <c r="K20" s="16">
        <f>$A$20</f>
        <v/>
      </c>
      <c r="L20" s="16">
        <f>$A$20</f>
        <v/>
      </c>
      <c r="M20" s="16">
        <f>$A$20</f>
        <v/>
      </c>
      <c r="N20" s="16">
        <f>$A$20</f>
        <v/>
      </c>
      <c r="O20" s="16">
        <f>$A$20</f>
        <v/>
      </c>
      <c r="P20" s="16">
        <f>$A$20</f>
        <v/>
      </c>
      <c r="Q20" s="16">
        <f>$A$20</f>
        <v/>
      </c>
      <c r="R20" s="16">
        <f>$A$20</f>
        <v/>
      </c>
      <c r="S20" s="16">
        <f>$A$20</f>
        <v/>
      </c>
      <c r="T20" s="16">
        <f>$A$20</f>
        <v/>
      </c>
      <c r="U20" s="16">
        <f>$A$20</f>
        <v/>
      </c>
      <c r="V20" s="16">
        <f>$A$20</f>
        <v/>
      </c>
      <c r="W20" s="16">
        <f>$A$20</f>
        <v/>
      </c>
      <c r="X20" s="16">
        <f>$A$20</f>
        <v/>
      </c>
      <c r="Y20" s="16">
        <f>$A$20</f>
        <v/>
      </c>
      <c r="Z20" s="16">
        <f>$A$20</f>
        <v/>
      </c>
      <c r="AA20" s="16">
        <f>$A$20</f>
        <v/>
      </c>
      <c r="AB20" s="16">
        <f>$A$20</f>
        <v/>
      </c>
      <c r="AC20" s="16">
        <f>$A$20</f>
        <v/>
      </c>
      <c r="AD20" s="16">
        <f>$A$20</f>
        <v/>
      </c>
      <c r="AE20" s="16">
        <f>$A$20</f>
        <v/>
      </c>
      <c r="AF20" s="16">
        <f>$A$20</f>
        <v/>
      </c>
      <c r="AG20" s="16">
        <f>$A$20</f>
        <v/>
      </c>
      <c r="AH20" s="16">
        <f>$A$20</f>
        <v/>
      </c>
      <c r="AI20" s="16">
        <f>$A$20</f>
        <v/>
      </c>
      <c r="AJ20" s="16">
        <f>$A$20</f>
        <v/>
      </c>
      <c r="AK20" s="16">
        <f>$A$20</f>
        <v/>
      </c>
      <c r="AL20" s="16">
        <f>$A$20</f>
        <v/>
      </c>
    </row>
    <row r="21" outlineLevel="1" ht="12.75" customHeight="1">
      <c r="A21" s="20" t="n">
        <v>0.05</v>
      </c>
      <c r="B21" s="13" t="inlineStr">
        <is>
          <t>Конверсия 1 (заявка — тестовое занятие)</t>
        </is>
      </c>
      <c r="C21" s="14">
        <f>$A$21</f>
        <v/>
      </c>
      <c r="D21" s="14">
        <f>$A$21</f>
        <v/>
      </c>
      <c r="E21" s="14">
        <f>$A$21</f>
        <v/>
      </c>
      <c r="F21" s="14">
        <f>$A$21</f>
        <v/>
      </c>
      <c r="G21" s="14">
        <f>$A$21</f>
        <v/>
      </c>
      <c r="H21" s="14">
        <f>$A$21</f>
        <v/>
      </c>
      <c r="I21" s="14">
        <f>$A$21</f>
        <v/>
      </c>
      <c r="J21" s="14">
        <f>$A$21</f>
        <v/>
      </c>
      <c r="K21" s="14">
        <f>$A$21</f>
        <v/>
      </c>
      <c r="L21" s="14">
        <f>$A$21</f>
        <v/>
      </c>
      <c r="M21" s="14">
        <f>$A$21</f>
        <v/>
      </c>
      <c r="N21" s="14">
        <f>$A$21</f>
        <v/>
      </c>
      <c r="O21" s="14">
        <f>$A$21</f>
        <v/>
      </c>
      <c r="P21" s="14">
        <f>$A$21</f>
        <v/>
      </c>
      <c r="Q21" s="14">
        <f>$A$21</f>
        <v/>
      </c>
      <c r="R21" s="14">
        <f>$A$21</f>
        <v/>
      </c>
      <c r="S21" s="14">
        <f>$A$21</f>
        <v/>
      </c>
      <c r="T21" s="14">
        <f>$A$21</f>
        <v/>
      </c>
      <c r="U21" s="14">
        <f>$A$21</f>
        <v/>
      </c>
      <c r="V21" s="14">
        <f>$A$21</f>
        <v/>
      </c>
      <c r="W21" s="14">
        <f>$A$21</f>
        <v/>
      </c>
      <c r="X21" s="14">
        <f>$A$21</f>
        <v/>
      </c>
      <c r="Y21" s="14">
        <f>$A$21</f>
        <v/>
      </c>
      <c r="Z21" s="14">
        <f>$A$21</f>
        <v/>
      </c>
      <c r="AA21" s="14">
        <f>$A$21</f>
        <v/>
      </c>
      <c r="AB21" s="14">
        <f>$A$21</f>
        <v/>
      </c>
      <c r="AC21" s="14">
        <f>$A$21</f>
        <v/>
      </c>
      <c r="AD21" s="14">
        <f>$A$21</f>
        <v/>
      </c>
      <c r="AE21" s="14">
        <f>$A$21</f>
        <v/>
      </c>
      <c r="AF21" s="14">
        <f>$A$21</f>
        <v/>
      </c>
      <c r="AG21" s="14">
        <f>$A$21</f>
        <v/>
      </c>
      <c r="AH21" s="14">
        <f>$A$21</f>
        <v/>
      </c>
      <c r="AI21" s="14">
        <f>$A$21</f>
        <v/>
      </c>
      <c r="AJ21" s="14">
        <f>$A$21</f>
        <v/>
      </c>
      <c r="AK21" s="14">
        <f>$A$21</f>
        <v/>
      </c>
      <c r="AL21" s="14">
        <f>$A$21</f>
        <v/>
      </c>
      <c r="AS21" s="28" t="inlineStr">
        <is>
          <t>в ручном режиме посчитала, как удерживать стоимость клика, но менять бюджет, удерживая его в пределах 250 тыс.</t>
        </is>
      </c>
    </row>
    <row r="22" outlineLevel="1" ht="12.75" customHeight="1">
      <c r="A22" s="20" t="n">
        <v>0.33</v>
      </c>
      <c r="B22" s="13" t="inlineStr">
        <is>
          <t>Конверсия 2 (тестовое занятие — покупка)</t>
        </is>
      </c>
      <c r="C22" s="14">
        <f>$A$11</f>
        <v/>
      </c>
      <c r="D22" s="14">
        <f>$A$11</f>
        <v/>
      </c>
      <c r="E22" s="14">
        <f>$A$11</f>
        <v/>
      </c>
      <c r="F22" s="14">
        <f>$A$11</f>
        <v/>
      </c>
      <c r="G22" s="14">
        <f>$A$11</f>
        <v/>
      </c>
      <c r="H22" s="14">
        <f>$A$11</f>
        <v/>
      </c>
      <c r="I22" s="14">
        <f>$A$11</f>
        <v/>
      </c>
      <c r="J22" s="14">
        <f>$A$11</f>
        <v/>
      </c>
      <c r="K22" s="14">
        <f>$A$11</f>
        <v/>
      </c>
      <c r="L22" s="14">
        <f>$A$11</f>
        <v/>
      </c>
      <c r="M22" s="14">
        <f>$A$11</f>
        <v/>
      </c>
      <c r="N22" s="14">
        <f>$A$11</f>
        <v/>
      </c>
      <c r="O22" s="14">
        <f>$A$11</f>
        <v/>
      </c>
      <c r="P22" s="14">
        <f>$A$11</f>
        <v/>
      </c>
      <c r="Q22" s="14">
        <f>$A$11</f>
        <v/>
      </c>
      <c r="R22" s="14">
        <f>$A$11</f>
        <v/>
      </c>
      <c r="S22" s="14">
        <f>$A$11</f>
        <v/>
      </c>
      <c r="T22" s="14">
        <f>$A$11</f>
        <v/>
      </c>
      <c r="U22" s="14">
        <f>$A$11</f>
        <v/>
      </c>
      <c r="V22" s="14">
        <f>$A$11</f>
        <v/>
      </c>
      <c r="W22" s="14">
        <f>$A$11</f>
        <v/>
      </c>
      <c r="X22" s="14">
        <f>$A$11</f>
        <v/>
      </c>
      <c r="Y22" s="14">
        <f>$A$11</f>
        <v/>
      </c>
      <c r="Z22" s="14">
        <f>$A$11</f>
        <v/>
      </c>
      <c r="AA22" s="14">
        <f>$A$11</f>
        <v/>
      </c>
      <c r="AB22" s="14">
        <f>$A$11</f>
        <v/>
      </c>
      <c r="AC22" s="14">
        <f>$A$11</f>
        <v/>
      </c>
      <c r="AD22" s="14">
        <f>$A$11</f>
        <v/>
      </c>
      <c r="AE22" s="14">
        <f>$A$11</f>
        <v/>
      </c>
      <c r="AF22" s="14">
        <f>$A$11</f>
        <v/>
      </c>
      <c r="AG22" s="14">
        <f>$A$11</f>
        <v/>
      </c>
      <c r="AH22" s="14">
        <f>$A$11</f>
        <v/>
      </c>
      <c r="AI22" s="14">
        <f>$A$11</f>
        <v/>
      </c>
      <c r="AJ22" s="14">
        <f>$A$11</f>
        <v/>
      </c>
      <c r="AK22" s="14">
        <f>$A$11</f>
        <v/>
      </c>
      <c r="AL22" s="14">
        <f>$A$11</f>
        <v/>
      </c>
    </row>
    <row r="23" outlineLevel="1" ht="12.75" customHeight="1">
      <c r="A23" s="13" t="n"/>
      <c r="B23" s="13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</row>
    <row r="24" outlineLevel="1" ht="12.75" customHeight="1">
      <c r="A24" s="8" t="n"/>
      <c r="B24" s="8" t="inlineStr">
        <is>
          <t>Показов</t>
        </is>
      </c>
      <c r="C24" s="9">
        <f>C18/C19*1000</f>
        <v/>
      </c>
      <c r="D24" s="9">
        <f>D18/D19*1000</f>
        <v/>
      </c>
      <c r="E24" s="9">
        <f>E18/E19*1000</f>
        <v/>
      </c>
      <c r="F24" s="9">
        <f>F18/F19*1000</f>
        <v/>
      </c>
      <c r="G24" s="9">
        <f>G18/G19*1000</f>
        <v/>
      </c>
      <c r="H24" s="9">
        <f>H18/H19*1000</f>
        <v/>
      </c>
      <c r="I24" s="9">
        <f>I18/I19*1000</f>
        <v/>
      </c>
      <c r="J24" s="9">
        <f>J18/J19*1000</f>
        <v/>
      </c>
      <c r="K24" s="9">
        <f>K18/K19*1000</f>
        <v/>
      </c>
      <c r="L24" s="9">
        <f>L18/L19*1000</f>
        <v/>
      </c>
      <c r="M24" s="9">
        <f>M18/M19*1000</f>
        <v/>
      </c>
      <c r="N24" s="9">
        <f>N18/N19*1000</f>
        <v/>
      </c>
      <c r="O24" s="9">
        <f>O18/O19*1000</f>
        <v/>
      </c>
      <c r="P24" s="9">
        <f>P18/P19*1000</f>
        <v/>
      </c>
      <c r="Q24" s="9">
        <f>Q18/Q19*1000</f>
        <v/>
      </c>
      <c r="R24" s="9">
        <f>R18/R19*1000</f>
        <v/>
      </c>
      <c r="S24" s="9">
        <f>S18/S19*1000</f>
        <v/>
      </c>
      <c r="T24" s="9">
        <f>T18/T19*1000</f>
        <v/>
      </c>
      <c r="U24" s="9">
        <f>U18/U19*1000</f>
        <v/>
      </c>
      <c r="V24" s="9">
        <f>V18/V19*1000</f>
        <v/>
      </c>
      <c r="W24" s="9">
        <f>W18/W19*1000</f>
        <v/>
      </c>
      <c r="X24" s="9">
        <f>X18/X19*1000</f>
        <v/>
      </c>
      <c r="Y24" s="9">
        <f>Y18/Y19*1000</f>
        <v/>
      </c>
      <c r="Z24" s="9">
        <f>Z18/Z19*1000</f>
        <v/>
      </c>
      <c r="AA24" s="9">
        <f>AA18/AA19*1000</f>
        <v/>
      </c>
      <c r="AB24" s="9">
        <f>AB18/AB19*1000</f>
        <v/>
      </c>
      <c r="AC24" s="9">
        <f>AC18/AC19*1000</f>
        <v/>
      </c>
      <c r="AD24" s="9">
        <f>AD18/AD19*1000</f>
        <v/>
      </c>
      <c r="AE24" s="9">
        <f>AE18/AE19*1000</f>
        <v/>
      </c>
      <c r="AF24" s="9">
        <f>AF18/AF19*1000</f>
        <v/>
      </c>
      <c r="AG24" s="9">
        <f>AG18/AG19*1000</f>
        <v/>
      </c>
      <c r="AH24" s="9">
        <f>AH18/AH19*1000</f>
        <v/>
      </c>
      <c r="AI24" s="9">
        <f>AI18/AI19*1000</f>
        <v/>
      </c>
      <c r="AJ24" s="9">
        <f>AJ18/AJ19*1000</f>
        <v/>
      </c>
      <c r="AK24" s="9">
        <f>AK18/AK19*1000</f>
        <v/>
      </c>
      <c r="AL24" s="9">
        <f>AL18/AL19*1000</f>
        <v/>
      </c>
    </row>
    <row r="25" outlineLevel="1" ht="12.75" customHeight="1">
      <c r="A25" s="13" t="n"/>
      <c r="B25" s="13" t="inlineStr">
        <is>
          <t>Переходов на сайт</t>
        </is>
      </c>
      <c r="C25" s="17">
        <f>C24*C20</f>
        <v/>
      </c>
      <c r="D25" s="17">
        <f>D24*D20</f>
        <v/>
      </c>
      <c r="E25" s="17">
        <f>E24*E20</f>
        <v/>
      </c>
      <c r="F25" s="17">
        <f>F24*F20</f>
        <v/>
      </c>
      <c r="G25" s="17">
        <f>G24*G20</f>
        <v/>
      </c>
      <c r="H25" s="17">
        <f>H24*H20</f>
        <v/>
      </c>
      <c r="I25" s="17">
        <f>I24*I20</f>
        <v/>
      </c>
      <c r="J25" s="17">
        <f>J24*J20</f>
        <v/>
      </c>
      <c r="K25" s="17">
        <f>K24*K20</f>
        <v/>
      </c>
      <c r="L25" s="17">
        <f>L24*L20</f>
        <v/>
      </c>
      <c r="M25" s="17">
        <f>M24*M20</f>
        <v/>
      </c>
      <c r="N25" s="17">
        <f>N24*N20</f>
        <v/>
      </c>
      <c r="O25" s="17">
        <f>O24*O20</f>
        <v/>
      </c>
      <c r="P25" s="17">
        <f>P24*P20</f>
        <v/>
      </c>
      <c r="Q25" s="17">
        <f>Q24*Q20</f>
        <v/>
      </c>
      <c r="R25" s="17">
        <f>R24*R20</f>
        <v/>
      </c>
      <c r="S25" s="17">
        <f>S24*S20</f>
        <v/>
      </c>
      <c r="T25" s="17">
        <f>T24*T20</f>
        <v/>
      </c>
      <c r="U25" s="17">
        <f>U24*U20</f>
        <v/>
      </c>
      <c r="V25" s="17">
        <f>V24*V20</f>
        <v/>
      </c>
      <c r="W25" s="17">
        <f>W24*W20</f>
        <v/>
      </c>
      <c r="X25" s="17">
        <f>X24*X20</f>
        <v/>
      </c>
      <c r="Y25" s="17">
        <f>Y24*Y20</f>
        <v/>
      </c>
      <c r="Z25" s="17">
        <f>Z24*Z20</f>
        <v/>
      </c>
      <c r="AA25" s="17">
        <f>AA24*AA20</f>
        <v/>
      </c>
      <c r="AB25" s="17">
        <f>AB24*AB20</f>
        <v/>
      </c>
      <c r="AC25" s="17">
        <f>AC24*AC20</f>
        <v/>
      </c>
      <c r="AD25" s="17">
        <f>AD24*AD20</f>
        <v/>
      </c>
      <c r="AE25" s="17">
        <f>AE24*AE20</f>
        <v/>
      </c>
      <c r="AF25" s="17">
        <f>AF24*AF20</f>
        <v/>
      </c>
      <c r="AG25" s="17">
        <f>AG24*AG20</f>
        <v/>
      </c>
      <c r="AH25" s="17">
        <f>AH24*AH20</f>
        <v/>
      </c>
      <c r="AI25" s="17">
        <f>AI24*AI20</f>
        <v/>
      </c>
      <c r="AJ25" s="17">
        <f>AJ24*AJ20</f>
        <v/>
      </c>
      <c r="AK25" s="17">
        <f>AK24*AK20</f>
        <v/>
      </c>
      <c r="AL25" s="17">
        <f>AL24*AL20</f>
        <v/>
      </c>
    </row>
    <row r="26" outlineLevel="1" ht="12.75" customHeight="1">
      <c r="A26" s="13" t="n"/>
      <c r="B26" s="13" t="inlineStr">
        <is>
          <t>Количество новых покупок</t>
        </is>
      </c>
      <c r="C26" s="17">
        <f>ROUNDDOWN(C25*C21,0)</f>
        <v/>
      </c>
      <c r="D26" s="17">
        <f>ROUNDDOWN(D25*D21,0)</f>
        <v/>
      </c>
      <c r="E26" s="17">
        <f>ROUNDDOWN(E25*E21,0)</f>
        <v/>
      </c>
      <c r="F26" s="17">
        <f>ROUNDDOWN(F25*F21,0)</f>
        <v/>
      </c>
      <c r="G26" s="17">
        <f>ROUNDDOWN(G25*G21,0)</f>
        <v/>
      </c>
      <c r="H26" s="17">
        <f>ROUNDDOWN(H25*H21,0)</f>
        <v/>
      </c>
      <c r="I26" s="17">
        <f>ROUNDDOWN(I25*I21,0)</f>
        <v/>
      </c>
      <c r="J26" s="17">
        <f>ROUNDDOWN(J25*J21,0)</f>
        <v/>
      </c>
      <c r="K26" s="17">
        <f>ROUNDDOWN(K25*K21,0)</f>
        <v/>
      </c>
      <c r="L26" s="17">
        <f>ROUNDDOWN(L25*L21,0)</f>
        <v/>
      </c>
      <c r="M26" s="17">
        <f>ROUNDDOWN(M25*M21,0)</f>
        <v/>
      </c>
      <c r="N26" s="17">
        <f>ROUNDDOWN(N25*N21,0)</f>
        <v/>
      </c>
      <c r="O26" s="17">
        <f>ROUNDDOWN(O25*O21,0)</f>
        <v/>
      </c>
      <c r="P26" s="17">
        <f>ROUNDDOWN(P25*P21,0)</f>
        <v/>
      </c>
      <c r="Q26" s="17">
        <f>ROUNDDOWN(Q25*Q21,0)</f>
        <v/>
      </c>
      <c r="R26" s="17">
        <f>ROUNDDOWN(R25*R21,0)</f>
        <v/>
      </c>
      <c r="S26" s="17">
        <f>ROUNDDOWN(S25*S21,0)</f>
        <v/>
      </c>
      <c r="T26" s="17">
        <f>ROUNDDOWN(T25*T21,0)</f>
        <v/>
      </c>
      <c r="U26" s="17">
        <f>ROUNDDOWN(U25*U21,0)</f>
        <v/>
      </c>
      <c r="V26" s="17">
        <f>ROUNDDOWN(V25*V21,0)</f>
        <v/>
      </c>
      <c r="W26" s="17">
        <f>ROUNDDOWN(W25*W21,0)</f>
        <v/>
      </c>
      <c r="X26" s="17">
        <f>ROUNDDOWN(X25*X21,0)</f>
        <v/>
      </c>
      <c r="Y26" s="17">
        <f>ROUNDDOWN(Y25*Y21,0)</f>
        <v/>
      </c>
      <c r="Z26" s="17">
        <f>ROUNDDOWN(Z25*Z21,0)</f>
        <v/>
      </c>
      <c r="AA26" s="17">
        <f>ROUNDDOWN(AA25*AA21,0)</f>
        <v/>
      </c>
      <c r="AB26" s="17">
        <f>ROUNDDOWN(AB25*AB21,0)</f>
        <v/>
      </c>
      <c r="AC26" s="17">
        <f>ROUNDDOWN(AC25*AC21,0)</f>
        <v/>
      </c>
      <c r="AD26" s="17">
        <f>ROUNDDOWN(AD25*AD21,0)</f>
        <v/>
      </c>
      <c r="AE26" s="17">
        <f>ROUNDDOWN(AE25*AE21,0)</f>
        <v/>
      </c>
      <c r="AF26" s="17">
        <f>ROUNDDOWN(AF25*AF21,0)</f>
        <v/>
      </c>
      <c r="AG26" s="17">
        <f>ROUNDDOWN(AG25*AG21,0)</f>
        <v/>
      </c>
      <c r="AH26" s="17">
        <f>ROUNDDOWN(AH25*AH21,0)</f>
        <v/>
      </c>
      <c r="AI26" s="17">
        <f>ROUNDDOWN(AI25*AI21,0)</f>
        <v/>
      </c>
      <c r="AJ26" s="17">
        <f>ROUNDDOWN(AJ25*AJ21,0)</f>
        <v/>
      </c>
      <c r="AK26" s="17">
        <f>ROUNDDOWN(AK25*AK21,0)</f>
        <v/>
      </c>
      <c r="AL26" s="17">
        <f>ROUNDDOWN(AL25*AL21,0)</f>
        <v/>
      </c>
    </row>
    <row r="27" outlineLevel="1" ht="12.75" customHeight="1">
      <c r="A27" s="13" t="n"/>
      <c r="B27" s="13" t="inlineStr">
        <is>
          <t>Количество покупок</t>
        </is>
      </c>
      <c r="C27" s="17">
        <f>ROUNDDOWN(C26*C22,0)</f>
        <v/>
      </c>
      <c r="D27" s="17">
        <f>ROUNDDOWN(D26*D22,0)</f>
        <v/>
      </c>
      <c r="E27" s="17">
        <f>ROUNDDOWN(E26*E22,0)</f>
        <v/>
      </c>
      <c r="F27" s="17">
        <f>ROUNDDOWN(F26*F22,0)</f>
        <v/>
      </c>
      <c r="G27" s="17">
        <f>ROUNDDOWN(G26*G22,0)</f>
        <v/>
      </c>
      <c r="H27" s="17">
        <f>ROUNDDOWN(H26*H22,0)</f>
        <v/>
      </c>
      <c r="I27" s="17">
        <f>ROUNDDOWN(I26*I22,0)</f>
        <v/>
      </c>
      <c r="J27" s="17">
        <f>ROUNDDOWN(J26*J22,0)</f>
        <v/>
      </c>
      <c r="K27" s="17">
        <f>ROUNDDOWN(K26*K22,0)</f>
        <v/>
      </c>
      <c r="L27" s="17">
        <f>ROUNDDOWN(L26*L22,0)</f>
        <v/>
      </c>
      <c r="M27" s="17">
        <f>ROUNDDOWN(M26*M22,0)</f>
        <v/>
      </c>
      <c r="N27" s="17">
        <f>ROUNDDOWN(N26*N22,0)</f>
        <v/>
      </c>
      <c r="O27" s="17">
        <f>ROUNDDOWN(O26*O22,0)</f>
        <v/>
      </c>
      <c r="P27" s="17">
        <f>ROUNDDOWN(P26*P22,0)</f>
        <v/>
      </c>
      <c r="Q27" s="17">
        <f>ROUNDDOWN(Q26*Q22,0)</f>
        <v/>
      </c>
      <c r="R27" s="17">
        <f>ROUNDDOWN(R26*R22,0)</f>
        <v/>
      </c>
      <c r="S27" s="17">
        <f>ROUNDDOWN(S26*S22,0)</f>
        <v/>
      </c>
      <c r="T27" s="17">
        <f>ROUNDDOWN(T26*T22,0)</f>
        <v/>
      </c>
      <c r="U27" s="17">
        <f>ROUNDDOWN(U26*U22,0)</f>
        <v/>
      </c>
      <c r="V27" s="17">
        <f>ROUNDDOWN(V26*V22,0)</f>
        <v/>
      </c>
      <c r="W27" s="17">
        <f>ROUNDDOWN(W26*W22,0)</f>
        <v/>
      </c>
      <c r="X27" s="17">
        <f>ROUNDDOWN(X26*X22,0)</f>
        <v/>
      </c>
      <c r="Y27" s="17">
        <f>ROUNDDOWN(Y26*Y22,0)</f>
        <v/>
      </c>
      <c r="Z27" s="17">
        <f>ROUNDDOWN(Z26*Z22,0)</f>
        <v/>
      </c>
      <c r="AA27" s="17">
        <f>ROUNDDOWN(AA26*AA22,0)</f>
        <v/>
      </c>
      <c r="AB27" s="17">
        <f>ROUNDDOWN(AB26*AB22,0)</f>
        <v/>
      </c>
      <c r="AC27" s="17">
        <f>ROUNDDOWN(AC26*AC22,0)</f>
        <v/>
      </c>
      <c r="AD27" s="17">
        <f>ROUNDDOWN(AD26*AD22,0)</f>
        <v/>
      </c>
      <c r="AE27" s="17">
        <f>ROUNDDOWN(AE26*AE22,0)</f>
        <v/>
      </c>
      <c r="AF27" s="17">
        <f>ROUNDDOWN(AF26*AF22,0)</f>
        <v/>
      </c>
      <c r="AG27" s="17">
        <f>ROUNDDOWN(AG26*AG22,0)</f>
        <v/>
      </c>
      <c r="AH27" s="17">
        <f>ROUNDDOWN(AH26*AH22,0)</f>
        <v/>
      </c>
      <c r="AI27" s="17">
        <f>ROUNDDOWN(AI26*AI22,0)</f>
        <v/>
      </c>
      <c r="AJ27" s="17">
        <f>ROUNDDOWN(AJ26*AJ22,0)</f>
        <v/>
      </c>
      <c r="AK27" s="17">
        <f>ROUNDDOWN(AK26*AK22,0)</f>
        <v/>
      </c>
      <c r="AL27" s="17">
        <f>ROUNDDOWN(AL26*AL22,0)</f>
        <v/>
      </c>
    </row>
    <row r="28" outlineLevel="1" ht="12.75" customHeight="1">
      <c r="A28" s="13" t="n"/>
      <c r="B28" s="13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</row>
    <row r="29" outlineLevel="1" ht="12.75" customHeight="1">
      <c r="A29" s="13" t="n"/>
      <c r="B29" s="8" t="inlineStr">
        <is>
          <t>База учеников</t>
        </is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</row>
    <row r="30" outlineLevel="1" ht="12.75" customHeight="1">
      <c r="A30" s="13" t="n"/>
      <c r="B30" s="13" t="inlineStr">
        <is>
          <t>Количество учеников (начало)</t>
        </is>
      </c>
      <c r="C30" s="17" t="n">
        <v>0</v>
      </c>
      <c r="D30" s="17">
        <f>C33</f>
        <v/>
      </c>
      <c r="E30" s="17">
        <f>D33</f>
        <v/>
      </c>
      <c r="F30" s="17">
        <f>E33</f>
        <v/>
      </c>
      <c r="G30" s="17">
        <f>F33</f>
        <v/>
      </c>
      <c r="H30" s="17">
        <f>G33</f>
        <v/>
      </c>
      <c r="I30" s="17">
        <f>H33</f>
        <v/>
      </c>
      <c r="J30" s="17">
        <f>I33</f>
        <v/>
      </c>
      <c r="K30" s="17">
        <f>J33</f>
        <v/>
      </c>
      <c r="L30" s="17">
        <f>K33</f>
        <v/>
      </c>
      <c r="M30" s="17">
        <f>L33</f>
        <v/>
      </c>
      <c r="N30" s="17">
        <f>M33</f>
        <v/>
      </c>
      <c r="O30" s="17">
        <f>N33</f>
        <v/>
      </c>
      <c r="P30" s="17">
        <f>O33</f>
        <v/>
      </c>
      <c r="Q30" s="17">
        <f>P33</f>
        <v/>
      </c>
      <c r="R30" s="17">
        <f>Q33</f>
        <v/>
      </c>
      <c r="S30" s="17">
        <f>R33</f>
        <v/>
      </c>
      <c r="T30" s="17">
        <f>S33</f>
        <v/>
      </c>
      <c r="U30" s="17">
        <f>T33</f>
        <v/>
      </c>
      <c r="V30" s="17">
        <f>U33</f>
        <v/>
      </c>
      <c r="W30" s="17">
        <f>V33</f>
        <v/>
      </c>
      <c r="X30" s="17">
        <f>W33</f>
        <v/>
      </c>
      <c r="Y30" s="17">
        <f>X33</f>
        <v/>
      </c>
      <c r="Z30" s="17">
        <f>Y33</f>
        <v/>
      </c>
      <c r="AA30" s="17">
        <f>Z33</f>
        <v/>
      </c>
      <c r="AB30" s="17">
        <f>AA33</f>
        <v/>
      </c>
      <c r="AC30" s="17">
        <f>AB33</f>
        <v/>
      </c>
      <c r="AD30" s="17">
        <f>AC33</f>
        <v/>
      </c>
      <c r="AE30" s="17">
        <f>AD33</f>
        <v/>
      </c>
      <c r="AF30" s="17">
        <f>AE33</f>
        <v/>
      </c>
      <c r="AG30" s="17">
        <f>AF33</f>
        <v/>
      </c>
      <c r="AH30" s="17">
        <f>AG33</f>
        <v/>
      </c>
      <c r="AI30" s="17">
        <f>AH33</f>
        <v/>
      </c>
      <c r="AJ30" s="17">
        <f>AI33</f>
        <v/>
      </c>
      <c r="AK30" s="17">
        <f>AJ33</f>
        <v/>
      </c>
      <c r="AL30" s="17">
        <f>AK33</f>
        <v/>
      </c>
      <c r="AN30" t="inlineStr">
        <is>
          <t>не уверена как именно должен выглядеть рост посетителей, это пример</t>
        </is>
      </c>
    </row>
    <row r="31" outlineLevel="1" ht="12.75" customHeight="1">
      <c r="A31" s="13" t="n"/>
      <c r="B31" s="13" t="inlineStr">
        <is>
          <t>Новых</t>
        </is>
      </c>
      <c r="C31" s="17">
        <f>C27+C16</f>
        <v/>
      </c>
      <c r="D31" s="17">
        <f>D27+D16</f>
        <v/>
      </c>
      <c r="E31" s="17">
        <f>E27+E16</f>
        <v/>
      </c>
      <c r="F31" s="17">
        <f>F27+F16</f>
        <v/>
      </c>
      <c r="G31" s="17">
        <f>G27+G16</f>
        <v/>
      </c>
      <c r="H31" s="17">
        <f>H27+H16</f>
        <v/>
      </c>
      <c r="I31" s="17">
        <f>I27+I16</f>
        <v/>
      </c>
      <c r="J31" s="17">
        <f>J27+J16</f>
        <v/>
      </c>
      <c r="K31" s="17">
        <f>K27+K16</f>
        <v/>
      </c>
      <c r="L31" s="17">
        <f>L27+L16</f>
        <v/>
      </c>
      <c r="M31" s="17">
        <f>M27+M16</f>
        <v/>
      </c>
      <c r="N31" s="17">
        <f>N27+N16</f>
        <v/>
      </c>
      <c r="O31" s="17">
        <f>O27+O16</f>
        <v/>
      </c>
      <c r="P31" s="17">
        <f>P27+P16</f>
        <v/>
      </c>
      <c r="Q31" s="17">
        <f>Q27+Q16</f>
        <v/>
      </c>
      <c r="R31" s="17">
        <f>R27+R16</f>
        <v/>
      </c>
      <c r="S31" s="17">
        <f>S27+S16</f>
        <v/>
      </c>
      <c r="T31" s="17">
        <f>T27+T16</f>
        <v/>
      </c>
      <c r="U31" s="17">
        <f>U27+U16</f>
        <v/>
      </c>
      <c r="V31" s="17">
        <f>V27+V16</f>
        <v/>
      </c>
      <c r="W31" s="17">
        <f>W27+W16</f>
        <v/>
      </c>
      <c r="X31" s="17">
        <f>X27+X16</f>
        <v/>
      </c>
      <c r="Y31" s="17">
        <f>Y27+Y16</f>
        <v/>
      </c>
      <c r="Z31" s="17">
        <f>Z27+Z16</f>
        <v/>
      </c>
      <c r="AA31" s="17">
        <f>AA27+AA16</f>
        <v/>
      </c>
      <c r="AB31" s="17">
        <f>AB27+AB16</f>
        <v/>
      </c>
      <c r="AC31" s="17">
        <f>AC27+AC16</f>
        <v/>
      </c>
      <c r="AD31" s="17">
        <f>AD27+AD16</f>
        <v/>
      </c>
      <c r="AE31" s="17">
        <f>AE27+AE16</f>
        <v/>
      </c>
      <c r="AF31" s="17">
        <f>AF27+AF16</f>
        <v/>
      </c>
      <c r="AG31" s="17">
        <f>AG27+AG16</f>
        <v/>
      </c>
      <c r="AH31" s="17">
        <f>AH27+AH16</f>
        <v/>
      </c>
      <c r="AI31" s="17">
        <f>AI27+AI16</f>
        <v/>
      </c>
      <c r="AJ31" s="17">
        <f>AJ27+AJ16</f>
        <v/>
      </c>
      <c r="AK31" s="17">
        <f>AK27+AK16</f>
        <v/>
      </c>
      <c r="AL31" s="17">
        <f>AL27+AL16</f>
        <v/>
      </c>
    </row>
    <row r="32" outlineLevel="1" ht="12.75" customHeight="1">
      <c r="A32" s="20" t="n">
        <v>0.14</v>
      </c>
      <c r="B32" s="13" t="inlineStr">
        <is>
          <t>Отток</t>
        </is>
      </c>
      <c r="C32" s="17" t="n"/>
      <c r="D32" s="17">
        <f>-ROUND(C33*($A$32),0)</f>
        <v/>
      </c>
      <c r="E32" s="17">
        <f>-ROUND(D33*($A$32),0)</f>
        <v/>
      </c>
      <c r="F32" s="17">
        <f>-ROUND(E33*($A$32),0)</f>
        <v/>
      </c>
      <c r="G32" s="17">
        <f>-ROUND(F33*($A$32),0)</f>
        <v/>
      </c>
      <c r="H32" s="17">
        <f>-ROUND(G33*($A$32),0)</f>
        <v/>
      </c>
      <c r="I32" s="17">
        <f>-ROUND(H33*($A$32),0)</f>
        <v/>
      </c>
      <c r="J32" s="17">
        <f>-ROUND(I33*($A$32),0)</f>
        <v/>
      </c>
      <c r="K32" s="17">
        <f>-ROUND(J33*($A$32),0)</f>
        <v/>
      </c>
      <c r="L32" s="17">
        <f>-ROUND(K33*($A$32),0)</f>
        <v/>
      </c>
      <c r="M32" s="17">
        <f>-ROUND(L33*($A$32),0)</f>
        <v/>
      </c>
      <c r="N32" s="17">
        <f>-ROUND(M33*($A$32),0)</f>
        <v/>
      </c>
      <c r="O32" s="17">
        <f>-ROUND(N33*($A$32),0)</f>
        <v/>
      </c>
      <c r="P32" s="17">
        <f>-ROUND(O33*($A$32),0)</f>
        <v/>
      </c>
      <c r="Q32" s="17">
        <f>-ROUND(P33*($A$32),0)</f>
        <v/>
      </c>
      <c r="R32" s="17">
        <f>-ROUND(Q33*($A$32),0)</f>
        <v/>
      </c>
      <c r="S32" s="17">
        <f>-ROUND(R33*($A$32),0)</f>
        <v/>
      </c>
      <c r="T32" s="17">
        <f>-ROUND(S33*($A$32),0)</f>
        <v/>
      </c>
      <c r="U32" s="17">
        <f>-ROUND(T33*($A$32),0)</f>
        <v/>
      </c>
      <c r="V32" s="17">
        <f>-ROUND(U33*($A$32),0)</f>
        <v/>
      </c>
      <c r="W32" s="17">
        <f>-ROUND(V33*($A$32),0)</f>
        <v/>
      </c>
      <c r="X32" s="17">
        <f>-ROUND(W33*($A$32),0)</f>
        <v/>
      </c>
      <c r="Y32" s="17">
        <f>-ROUND(X33*($A$32),0)</f>
        <v/>
      </c>
      <c r="Z32" s="17">
        <f>-ROUND(Y33*($A$32),0)</f>
        <v/>
      </c>
      <c r="AA32" s="17">
        <f>-ROUND(Z33*($A$32),0)</f>
        <v/>
      </c>
      <c r="AB32" s="17">
        <f>-ROUND(AA33*($A$32),0)</f>
        <v/>
      </c>
      <c r="AC32" s="17">
        <f>-ROUND(AB33*($A$32),0)</f>
        <v/>
      </c>
      <c r="AD32" s="17">
        <f>-ROUND(AC33*($A$32),0)</f>
        <v/>
      </c>
      <c r="AE32" s="17">
        <f>-ROUND(AD33*($A$32),0)</f>
        <v/>
      </c>
      <c r="AF32" s="17">
        <f>-ROUND(AE33*($A$32),0)</f>
        <v/>
      </c>
      <c r="AG32" s="17">
        <f>-ROUND(AF33*($A$32),0)</f>
        <v/>
      </c>
      <c r="AH32" s="17">
        <f>-ROUND(AG33*($A$32),0)</f>
        <v/>
      </c>
      <c r="AI32" s="17">
        <f>-ROUND(AH33*($A$32),0)</f>
        <v/>
      </c>
      <c r="AJ32" s="17">
        <f>-ROUND(AI33*($A$32),0)</f>
        <v/>
      </c>
      <c r="AK32" s="17">
        <f>-ROUND(AJ33*($A$32),0)</f>
        <v/>
      </c>
      <c r="AL32" s="17">
        <f>-ROUND(AK33*($A$32),0)</f>
        <v/>
      </c>
    </row>
    <row r="33" outlineLevel="1" ht="12.75" customHeight="1">
      <c r="A33" s="8" t="n"/>
      <c r="B33" s="8" t="inlineStr">
        <is>
          <t>Итого учеников</t>
        </is>
      </c>
      <c r="C33" s="9">
        <f>SUM(C30:C32)</f>
        <v/>
      </c>
      <c r="D33" s="9">
        <f>SUM(D30:D32)</f>
        <v/>
      </c>
      <c r="E33" s="9">
        <f>SUM(E30:E32)</f>
        <v/>
      </c>
      <c r="F33" s="9">
        <f>SUM(F30:F32)</f>
        <v/>
      </c>
      <c r="G33" s="9">
        <f>SUM(G30:G32)</f>
        <v/>
      </c>
      <c r="H33" s="9">
        <f>SUM(H30:H32)</f>
        <v/>
      </c>
      <c r="I33" s="9">
        <f>SUM(I30:I32)</f>
        <v/>
      </c>
      <c r="J33" s="9">
        <f>SUM(J30:J32)</f>
        <v/>
      </c>
      <c r="K33" s="9">
        <f>SUM(K30:K32)</f>
        <v/>
      </c>
      <c r="L33" s="9">
        <f>SUM(L30:L32)</f>
        <v/>
      </c>
      <c r="M33" s="9">
        <f>SUM(M30:M32)</f>
        <v/>
      </c>
      <c r="N33" s="9">
        <f>SUM(N30:N32)</f>
        <v/>
      </c>
      <c r="O33" s="9">
        <f>SUM(O30:O32)</f>
        <v/>
      </c>
      <c r="P33" s="9">
        <f>SUM(P30:P32)</f>
        <v/>
      </c>
      <c r="Q33" s="9">
        <f>SUM(Q30:Q32)</f>
        <v/>
      </c>
      <c r="R33" s="9">
        <f>SUM(R30:R32)</f>
        <v/>
      </c>
      <c r="S33" s="9">
        <f>SUM(S30:S32)</f>
        <v/>
      </c>
      <c r="T33" s="9">
        <f>SUM(T30:T32)</f>
        <v/>
      </c>
      <c r="U33" s="9">
        <f>SUM(U30:U32)</f>
        <v/>
      </c>
      <c r="V33" s="9">
        <f>SUM(V30:V32)</f>
        <v/>
      </c>
      <c r="W33" s="9">
        <f>SUM(W30:W32)</f>
        <v/>
      </c>
      <c r="X33" s="9">
        <f>SUM(X30:X32)</f>
        <v/>
      </c>
      <c r="Y33" s="9">
        <f>SUM(Y30:Y32)</f>
        <v/>
      </c>
      <c r="Z33" s="9">
        <f>SUM(Z30:Z32)</f>
        <v/>
      </c>
      <c r="AA33" s="9">
        <f>SUM(AA30:AA32)</f>
        <v/>
      </c>
      <c r="AB33" s="9">
        <f>SUM(AB30:AB32)</f>
        <v/>
      </c>
      <c r="AC33" s="9">
        <f>SUM(AC30:AC32)</f>
        <v/>
      </c>
      <c r="AD33" s="9">
        <f>SUM(AD30:AD32)</f>
        <v/>
      </c>
      <c r="AE33" s="9">
        <f>SUM(AE30:AE32)</f>
        <v/>
      </c>
      <c r="AF33" s="9">
        <f>SUM(AF30:AF32)</f>
        <v/>
      </c>
      <c r="AG33" s="9">
        <f>SUM(AG30:AG32)</f>
        <v/>
      </c>
      <c r="AH33" s="9">
        <f>SUM(AH30:AH32)</f>
        <v/>
      </c>
      <c r="AI33" s="9">
        <f>SUM(AI30:AI32)</f>
        <v/>
      </c>
      <c r="AJ33" s="9">
        <f>SUM(AJ30:AJ32)</f>
        <v/>
      </c>
      <c r="AK33" s="9">
        <f>SUM(AK30:AK32)</f>
        <v/>
      </c>
      <c r="AL33" s="9">
        <f>SUM(AL30:AL32)</f>
        <v/>
      </c>
    </row>
    <row r="34" outlineLevel="1" ht="12.75" customHeight="1">
      <c r="A34" s="13" t="n"/>
      <c r="B34" s="13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</row>
    <row r="35" outlineLevel="1" ht="12.75" customHeight="1">
      <c r="A35" s="13" t="n"/>
      <c r="B35" s="13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</row>
    <row r="36" outlineLevel="1" ht="12.75" customHeight="1">
      <c r="A36" s="8" t="n"/>
      <c r="B36" s="8" t="inlineStr">
        <is>
          <t>Распределение выручки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</row>
    <row r="37" outlineLevel="1" ht="12.75" customHeight="1">
      <c r="A37" s="20" t="n">
        <v>0.7</v>
      </c>
      <c r="B37" s="13" t="inlineStr">
        <is>
          <t>Курс «Базовый»</t>
        </is>
      </c>
      <c r="C37" s="17">
        <f>ROUNDDOWN(C33*$A37,0)</f>
        <v/>
      </c>
      <c r="D37" s="17">
        <f>ROUNDDOWN(D33*$A37,0)</f>
        <v/>
      </c>
      <c r="E37" s="17">
        <f>ROUNDDOWN(E33*$A37,0)</f>
        <v/>
      </c>
      <c r="F37" s="17">
        <f>ROUNDDOWN(F33*$A37,0)</f>
        <v/>
      </c>
      <c r="G37" s="17">
        <f>ROUNDDOWN(G33*$A37,0)</f>
        <v/>
      </c>
      <c r="H37" s="17">
        <f>ROUNDDOWN(H33*$A37,0)</f>
        <v/>
      </c>
      <c r="I37" s="17">
        <f>ROUNDDOWN(I33*$A37,0)</f>
        <v/>
      </c>
      <c r="J37" s="17">
        <f>ROUNDDOWN(J33*$A37,0)</f>
        <v/>
      </c>
      <c r="K37" s="17">
        <f>ROUNDDOWN(K33*$A37,0)</f>
        <v/>
      </c>
      <c r="L37" s="17">
        <f>ROUNDDOWN(L33*$A37,0)</f>
        <v/>
      </c>
      <c r="M37" s="17">
        <f>ROUNDDOWN(M33*$A37,0)</f>
        <v/>
      </c>
      <c r="N37" s="17">
        <f>ROUNDDOWN(N33*$A37,0)</f>
        <v/>
      </c>
      <c r="O37" s="17">
        <f>ROUNDDOWN(O33*$A37,0)</f>
        <v/>
      </c>
      <c r="P37" s="17">
        <f>ROUNDDOWN(P33*$A37,0)</f>
        <v/>
      </c>
      <c r="Q37" s="17">
        <f>ROUNDDOWN(Q33*$A37,0)</f>
        <v/>
      </c>
      <c r="R37" s="17">
        <f>ROUNDDOWN(R33*$A37,0)</f>
        <v/>
      </c>
      <c r="S37" s="17">
        <f>ROUNDDOWN(S33*$A37,0)</f>
        <v/>
      </c>
      <c r="T37" s="17">
        <f>ROUNDDOWN(T33*$A37,0)</f>
        <v/>
      </c>
      <c r="U37" s="17">
        <f>ROUNDDOWN(U33*$A37,0)</f>
        <v/>
      </c>
      <c r="V37" s="17">
        <f>ROUNDDOWN(V33*$A37,0)</f>
        <v/>
      </c>
      <c r="W37" s="17">
        <f>ROUNDDOWN(W33*$A37,0)</f>
        <v/>
      </c>
      <c r="X37" s="17">
        <f>ROUNDDOWN(X33*$A37,0)</f>
        <v/>
      </c>
      <c r="Y37" s="17">
        <f>ROUNDDOWN(Y33*$A37,0)</f>
        <v/>
      </c>
      <c r="Z37" s="17">
        <f>ROUNDDOWN(Z33*$A37,0)</f>
        <v/>
      </c>
      <c r="AA37" s="17">
        <f>ROUNDDOWN(AA33*$A37,0)</f>
        <v/>
      </c>
      <c r="AB37" s="17">
        <f>ROUNDDOWN(AB33*$A37,0)</f>
        <v/>
      </c>
      <c r="AC37" s="17">
        <f>ROUNDDOWN(AC33*$A37,0)</f>
        <v/>
      </c>
      <c r="AD37" s="17">
        <f>ROUNDDOWN(AD33*$A37,0)</f>
        <v/>
      </c>
      <c r="AE37" s="17">
        <f>ROUNDDOWN(AE33*$A37,0)</f>
        <v/>
      </c>
      <c r="AF37" s="17">
        <f>ROUNDDOWN(AF33*$A37,0)</f>
        <v/>
      </c>
      <c r="AG37" s="17">
        <f>ROUNDDOWN(AG33*$A37,0)</f>
        <v/>
      </c>
      <c r="AH37" s="17">
        <f>ROUNDDOWN(AH33*$A37,0)</f>
        <v/>
      </c>
      <c r="AI37" s="17">
        <f>ROUNDDOWN(AI33*$A37,0)</f>
        <v/>
      </c>
      <c r="AJ37" s="17">
        <f>ROUNDDOWN(AJ33*$A37,0)</f>
        <v/>
      </c>
      <c r="AK37" s="17">
        <f>ROUNDDOWN(AK33*$A37,0)</f>
        <v/>
      </c>
      <c r="AL37" s="17">
        <f>ROUNDDOWN(AL33*$A37,0)</f>
        <v/>
      </c>
    </row>
    <row r="38" outlineLevel="1" ht="12.75" customHeight="1">
      <c r="A38" s="18">
        <f>100%-A37</f>
        <v/>
      </c>
      <c r="B38" s="13" t="inlineStr">
        <is>
          <t>Курс «Продвинутый»</t>
        </is>
      </c>
      <c r="C38" s="17">
        <f>C33-C37</f>
        <v/>
      </c>
      <c r="D38" s="17">
        <f>D33-D37</f>
        <v/>
      </c>
      <c r="E38" s="17">
        <f>E33-E37</f>
        <v/>
      </c>
      <c r="F38" s="17">
        <f>F33-F37</f>
        <v/>
      </c>
      <c r="G38" s="17">
        <f>G33-G37</f>
        <v/>
      </c>
      <c r="H38" s="17">
        <f>H33-H37</f>
        <v/>
      </c>
      <c r="I38" s="17">
        <f>I33-I37</f>
        <v/>
      </c>
      <c r="J38" s="17">
        <f>J33-J37</f>
        <v/>
      </c>
      <c r="K38" s="17">
        <f>K33-K37</f>
        <v/>
      </c>
      <c r="L38" s="17">
        <f>L33-L37</f>
        <v/>
      </c>
      <c r="M38" s="17">
        <f>M33-M37</f>
        <v/>
      </c>
      <c r="N38" s="17">
        <f>N33-N37</f>
        <v/>
      </c>
      <c r="O38" s="17">
        <f>O33-O37</f>
        <v/>
      </c>
      <c r="P38" s="17">
        <f>P33-P37</f>
        <v/>
      </c>
      <c r="Q38" s="17">
        <f>Q33-Q37</f>
        <v/>
      </c>
      <c r="R38" s="17">
        <f>R33-R37</f>
        <v/>
      </c>
      <c r="S38" s="17">
        <f>S33-S37</f>
        <v/>
      </c>
      <c r="T38" s="17">
        <f>T33-T37</f>
        <v/>
      </c>
      <c r="U38" s="17">
        <f>U33-U37</f>
        <v/>
      </c>
      <c r="V38" s="17">
        <f>V33-V37</f>
        <v/>
      </c>
      <c r="W38" s="17">
        <f>W33-W37</f>
        <v/>
      </c>
      <c r="X38" s="17">
        <f>X33-X37</f>
        <v/>
      </c>
      <c r="Y38" s="17">
        <f>Y33-Y37</f>
        <v/>
      </c>
      <c r="Z38" s="17">
        <f>Z33-Z37</f>
        <v/>
      </c>
      <c r="AA38" s="17">
        <f>AA33-AA37</f>
        <v/>
      </c>
      <c r="AB38" s="17">
        <f>AB33-AB37</f>
        <v/>
      </c>
      <c r="AC38" s="17">
        <f>AC33-AC37</f>
        <v/>
      </c>
      <c r="AD38" s="17">
        <f>AD33-AD37</f>
        <v/>
      </c>
      <c r="AE38" s="17">
        <f>AE33-AE37</f>
        <v/>
      </c>
      <c r="AF38" s="17">
        <f>AF33-AF37</f>
        <v/>
      </c>
      <c r="AG38" s="17">
        <f>AG33-AG37</f>
        <v/>
      </c>
      <c r="AH38" s="17">
        <f>AH33-AH37</f>
        <v/>
      </c>
      <c r="AI38" s="17">
        <f>AI33-AI37</f>
        <v/>
      </c>
      <c r="AJ38" s="17">
        <f>AJ33-AJ37</f>
        <v/>
      </c>
      <c r="AK38" s="17">
        <f>AK33-AK37</f>
        <v/>
      </c>
      <c r="AL38" s="17">
        <f>AL33-AL37</f>
        <v/>
      </c>
    </row>
    <row r="39" outlineLevel="1" ht="12.75" customHeight="1">
      <c r="A39" s="14">
        <f>SUM(A37:A38)</f>
        <v/>
      </c>
      <c r="B39" s="13" t="inlineStr">
        <is>
          <t>Количество покупок</t>
        </is>
      </c>
      <c r="C39" s="17">
        <f>SUM(C37:C38)</f>
        <v/>
      </c>
      <c r="D39" s="17">
        <f>SUM(D37:D38)</f>
        <v/>
      </c>
      <c r="E39" s="17">
        <f>SUM(E37:E38)</f>
        <v/>
      </c>
      <c r="F39" s="17">
        <f>SUM(F37:F38)</f>
        <v/>
      </c>
      <c r="G39" s="17">
        <f>SUM(G37:G38)</f>
        <v/>
      </c>
      <c r="H39" s="17">
        <f>SUM(H37:H38)</f>
        <v/>
      </c>
      <c r="I39" s="17">
        <f>SUM(I37:I38)</f>
        <v/>
      </c>
      <c r="J39" s="17">
        <f>SUM(J37:J38)</f>
        <v/>
      </c>
      <c r="K39" s="17">
        <f>SUM(K37:K38)</f>
        <v/>
      </c>
      <c r="L39" s="17">
        <f>SUM(L37:L38)</f>
        <v/>
      </c>
      <c r="M39" s="17">
        <f>SUM(M37:M38)</f>
        <v/>
      </c>
      <c r="N39" s="17">
        <f>SUM(N37:N38)</f>
        <v/>
      </c>
      <c r="O39" s="17">
        <f>SUM(O37:O38)</f>
        <v/>
      </c>
      <c r="P39" s="17">
        <f>SUM(P37:P38)</f>
        <v/>
      </c>
      <c r="Q39" s="17">
        <f>SUM(Q37:Q38)</f>
        <v/>
      </c>
      <c r="R39" s="17">
        <f>SUM(R37:R38)</f>
        <v/>
      </c>
      <c r="S39" s="17">
        <f>SUM(S37:S38)</f>
        <v/>
      </c>
      <c r="T39" s="17">
        <f>SUM(T37:T38)</f>
        <v/>
      </c>
      <c r="U39" s="17">
        <f>SUM(U37:U38)</f>
        <v/>
      </c>
      <c r="V39" s="17">
        <f>SUM(V37:V38)</f>
        <v/>
      </c>
      <c r="W39" s="17">
        <f>SUM(W37:W38)</f>
        <v/>
      </c>
      <c r="X39" s="17">
        <f>SUM(X37:X38)</f>
        <v/>
      </c>
      <c r="Y39" s="17">
        <f>SUM(Y37:Y38)</f>
        <v/>
      </c>
      <c r="Z39" s="17">
        <f>SUM(Z37:Z38)</f>
        <v/>
      </c>
      <c r="AA39" s="17">
        <f>SUM(AA37:AA38)</f>
        <v/>
      </c>
      <c r="AB39" s="17">
        <f>SUM(AB37:AB38)</f>
        <v/>
      </c>
      <c r="AC39" s="17">
        <f>SUM(AC37:AC38)</f>
        <v/>
      </c>
      <c r="AD39" s="17">
        <f>SUM(AD37:AD38)</f>
        <v/>
      </c>
      <c r="AE39" s="17">
        <f>SUM(AE37:AE38)</f>
        <v/>
      </c>
      <c r="AF39" s="17">
        <f>SUM(AF37:AF38)</f>
        <v/>
      </c>
      <c r="AG39" s="17">
        <f>SUM(AG37:AG38)</f>
        <v/>
      </c>
      <c r="AH39" s="17">
        <f>SUM(AH37:AH38)</f>
        <v/>
      </c>
      <c r="AI39" s="17">
        <f>SUM(AI37:AI38)</f>
        <v/>
      </c>
      <c r="AJ39" s="17">
        <f>SUM(AJ37:AJ38)</f>
        <v/>
      </c>
      <c r="AK39" s="17">
        <f>SUM(AK37:AK38)</f>
        <v/>
      </c>
      <c r="AL39" s="17">
        <f>SUM(AL37:AL38)</f>
        <v/>
      </c>
    </row>
    <row r="40" outlineLevel="1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</row>
    <row r="41" ht="12.75" customHeight="1">
      <c r="A41" s="8" t="n"/>
      <c r="B41" s="8" t="inlineStr">
        <is>
          <t>Выручка от продаж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</row>
    <row r="42" ht="12.75" customHeight="1">
      <c r="A42" s="19" t="n">
        <v>9900</v>
      </c>
      <c r="B42" s="13" t="inlineStr">
        <is>
          <t>Стоимость курса «Базовый»</t>
        </is>
      </c>
      <c r="C42" s="17">
        <f>$A$42*C43</f>
        <v/>
      </c>
      <c r="D42" s="17">
        <f>$A$42*D43</f>
        <v/>
      </c>
      <c r="E42" s="17">
        <f>$A$42*E43</f>
        <v/>
      </c>
      <c r="F42" s="17">
        <f>$A$42*F43</f>
        <v/>
      </c>
      <c r="G42" s="17">
        <f>$A$42*G43</f>
        <v/>
      </c>
      <c r="H42" s="17">
        <f>$A$42*H43</f>
        <v/>
      </c>
      <c r="I42" s="17">
        <f>$A$42*I43</f>
        <v/>
      </c>
      <c r="J42" s="17">
        <f>$A$42*J43</f>
        <v/>
      </c>
      <c r="K42" s="17">
        <f>$A$42*K43</f>
        <v/>
      </c>
      <c r="L42" s="17">
        <f>$A$42*L43</f>
        <v/>
      </c>
      <c r="M42" s="17">
        <f>$A$42*M43</f>
        <v/>
      </c>
      <c r="N42" s="17">
        <f>$A$42*N43</f>
        <v/>
      </c>
      <c r="O42" s="17">
        <f>$A$42*O43</f>
        <v/>
      </c>
      <c r="P42" s="17">
        <f>$A$42*P43</f>
        <v/>
      </c>
      <c r="Q42" s="17">
        <f>$A$42*Q43</f>
        <v/>
      </c>
      <c r="R42" s="17">
        <f>$A$42*R43</f>
        <v/>
      </c>
      <c r="S42" s="17">
        <f>$A$42*S43</f>
        <v/>
      </c>
      <c r="T42" s="17">
        <f>$A$42*T43</f>
        <v/>
      </c>
      <c r="U42" s="17">
        <f>$A$42*U43</f>
        <v/>
      </c>
      <c r="V42" s="17">
        <f>$A$42*V43</f>
        <v/>
      </c>
      <c r="W42" s="17">
        <f>$A$42*W43</f>
        <v/>
      </c>
      <c r="X42" s="17">
        <f>$A$42*X43</f>
        <v/>
      </c>
      <c r="Y42" s="17">
        <f>$A$42*Y43</f>
        <v/>
      </c>
      <c r="Z42" s="17">
        <f>$A$42*Z43</f>
        <v/>
      </c>
      <c r="AA42" s="17">
        <f>$A$42*AA43</f>
        <v/>
      </c>
      <c r="AB42" s="17">
        <f>$A$42*AB43</f>
        <v/>
      </c>
      <c r="AC42" s="17">
        <f>$A$42*AC43</f>
        <v/>
      </c>
      <c r="AD42" s="17">
        <f>$A$42*AD43</f>
        <v/>
      </c>
      <c r="AE42" s="17">
        <f>$A$42*AE43</f>
        <v/>
      </c>
      <c r="AF42" s="17">
        <f>$A$42*AF43</f>
        <v/>
      </c>
      <c r="AG42" s="17">
        <f>$A$42*AG43</f>
        <v/>
      </c>
      <c r="AH42" s="17">
        <f>$A$42*AH43</f>
        <v/>
      </c>
      <c r="AI42" s="17">
        <f>$A$42*AI43</f>
        <v/>
      </c>
      <c r="AJ42" s="17">
        <f>$A$42*AJ43</f>
        <v/>
      </c>
      <c r="AK42" s="17">
        <f>$A$42*AK43</f>
        <v/>
      </c>
      <c r="AL42" s="17">
        <f>$A$42*AL43</f>
        <v/>
      </c>
    </row>
    <row r="43" ht="12.75" customHeight="1">
      <c r="A43" s="13" t="n"/>
      <c r="B43" s="13" t="inlineStr">
        <is>
          <t>Количество учеников</t>
        </is>
      </c>
      <c r="C43" s="17">
        <f>C37</f>
        <v/>
      </c>
      <c r="D43" s="17">
        <f>D37</f>
        <v/>
      </c>
      <c r="E43" s="17">
        <f>E37</f>
        <v/>
      </c>
      <c r="F43" s="17">
        <f>F37</f>
        <v/>
      </c>
      <c r="G43" s="17">
        <f>G37</f>
        <v/>
      </c>
      <c r="H43" s="17">
        <f>H37</f>
        <v/>
      </c>
      <c r="I43" s="17">
        <f>I37</f>
        <v/>
      </c>
      <c r="J43" s="17">
        <f>J37</f>
        <v/>
      </c>
      <c r="K43" s="17">
        <f>K37</f>
        <v/>
      </c>
      <c r="L43" s="17">
        <f>L37</f>
        <v/>
      </c>
      <c r="M43" s="17">
        <f>M37</f>
        <v/>
      </c>
      <c r="N43" s="17">
        <f>N37</f>
        <v/>
      </c>
      <c r="O43" s="17">
        <f>O37</f>
        <v/>
      </c>
      <c r="P43" s="17">
        <f>P37</f>
        <v/>
      </c>
      <c r="Q43" s="17">
        <f>Q37</f>
        <v/>
      </c>
      <c r="R43" s="17">
        <f>R37</f>
        <v/>
      </c>
      <c r="S43" s="17">
        <f>S37</f>
        <v/>
      </c>
      <c r="T43" s="17">
        <f>T37</f>
        <v/>
      </c>
      <c r="U43" s="17">
        <f>U37</f>
        <v/>
      </c>
      <c r="V43" s="17">
        <f>V37</f>
        <v/>
      </c>
      <c r="W43" s="17">
        <f>W37</f>
        <v/>
      </c>
      <c r="X43" s="17">
        <f>X37</f>
        <v/>
      </c>
      <c r="Y43" s="17">
        <f>Y37</f>
        <v/>
      </c>
      <c r="Z43" s="17">
        <f>Z37</f>
        <v/>
      </c>
      <c r="AA43" s="17">
        <f>AA37</f>
        <v/>
      </c>
      <c r="AB43" s="17">
        <f>AB37</f>
        <v/>
      </c>
      <c r="AC43" s="17">
        <f>AC37</f>
        <v/>
      </c>
      <c r="AD43" s="17">
        <f>AD37</f>
        <v/>
      </c>
      <c r="AE43" s="17">
        <f>AE37</f>
        <v/>
      </c>
      <c r="AF43" s="17">
        <f>AF37</f>
        <v/>
      </c>
      <c r="AG43" s="17">
        <f>AG37</f>
        <v/>
      </c>
      <c r="AH43" s="17">
        <f>AH37</f>
        <v/>
      </c>
      <c r="AI43" s="17">
        <f>AI37</f>
        <v/>
      </c>
      <c r="AJ43" s="17">
        <f>AJ37</f>
        <v/>
      </c>
      <c r="AK43" s="17">
        <f>AK37</f>
        <v/>
      </c>
      <c r="AL43" s="17">
        <f>AL37</f>
        <v/>
      </c>
    </row>
    <row r="44" ht="12.75" customHeight="1">
      <c r="A44" s="19" t="n">
        <v>19900</v>
      </c>
      <c r="B44" s="13" t="inlineStr">
        <is>
          <t>Стоимость курса «Продвинутый»</t>
        </is>
      </c>
      <c r="C44" s="17">
        <f>$A$44*C45</f>
        <v/>
      </c>
      <c r="D44" s="17">
        <f>$A$44*D45</f>
        <v/>
      </c>
      <c r="E44" s="17">
        <f>$A$44*E45</f>
        <v/>
      </c>
      <c r="F44" s="17">
        <f>$A$44*F45</f>
        <v/>
      </c>
      <c r="G44" s="17">
        <f>$A$44*G45</f>
        <v/>
      </c>
      <c r="H44" s="17">
        <f>$A$44*H45</f>
        <v/>
      </c>
      <c r="I44" s="17">
        <f>$A$44*I45</f>
        <v/>
      </c>
      <c r="J44" s="17">
        <f>$A$44*J45</f>
        <v/>
      </c>
      <c r="K44" s="17">
        <f>$A$44*K45</f>
        <v/>
      </c>
      <c r="L44" s="17">
        <f>$A$44*L45</f>
        <v/>
      </c>
      <c r="M44" s="17">
        <f>$A$44*M45</f>
        <v/>
      </c>
      <c r="N44" s="17">
        <f>$A$44*N45</f>
        <v/>
      </c>
      <c r="O44" s="17">
        <f>$A$44*O45</f>
        <v/>
      </c>
      <c r="P44" s="17">
        <f>$A$44*P45</f>
        <v/>
      </c>
      <c r="Q44" s="17">
        <f>$A$44*Q45</f>
        <v/>
      </c>
      <c r="R44" s="17">
        <f>$A$44*R45</f>
        <v/>
      </c>
      <c r="S44" s="17">
        <f>$A$44*S45</f>
        <v/>
      </c>
      <c r="T44" s="17">
        <f>$A$44*T45</f>
        <v/>
      </c>
      <c r="U44" s="17">
        <f>$A$44*U45</f>
        <v/>
      </c>
      <c r="V44" s="17">
        <f>$A$44*V45</f>
        <v/>
      </c>
      <c r="W44" s="17">
        <f>$A$44*W45</f>
        <v/>
      </c>
      <c r="X44" s="17">
        <f>$A$44*X45</f>
        <v/>
      </c>
      <c r="Y44" s="17">
        <f>$A$44*Y45</f>
        <v/>
      </c>
      <c r="Z44" s="17">
        <f>$A$44*Z45</f>
        <v/>
      </c>
      <c r="AA44" s="17">
        <f>$A$44*AA45</f>
        <v/>
      </c>
      <c r="AB44" s="17">
        <f>$A$44*AB45</f>
        <v/>
      </c>
      <c r="AC44" s="17">
        <f>$A$44*AC45</f>
        <v/>
      </c>
      <c r="AD44" s="17">
        <f>$A$44*AD45</f>
        <v/>
      </c>
      <c r="AE44" s="17">
        <f>$A$44*AE45</f>
        <v/>
      </c>
      <c r="AF44" s="17">
        <f>$A$44*AF45</f>
        <v/>
      </c>
      <c r="AG44" s="17">
        <f>$A$44*AG45</f>
        <v/>
      </c>
      <c r="AH44" s="17">
        <f>$A$44*AH45</f>
        <v/>
      </c>
      <c r="AI44" s="17">
        <f>$A$44*AI45</f>
        <v/>
      </c>
      <c r="AJ44" s="17">
        <f>$A$44*AJ45</f>
        <v/>
      </c>
      <c r="AK44" s="17">
        <f>$A$44*AK45</f>
        <v/>
      </c>
      <c r="AL44" s="17">
        <f>$A$44*AL45</f>
        <v/>
      </c>
    </row>
    <row r="45" ht="12.75" customHeight="1">
      <c r="A45" s="13" t="n"/>
      <c r="B45" s="13" t="inlineStr">
        <is>
          <t>Количество учеников</t>
        </is>
      </c>
      <c r="C45" s="17">
        <f>C38</f>
        <v/>
      </c>
      <c r="D45" s="17">
        <f>D38</f>
        <v/>
      </c>
      <c r="E45" s="17">
        <f>E38</f>
        <v/>
      </c>
      <c r="F45" s="17">
        <f>F38</f>
        <v/>
      </c>
      <c r="G45" s="17">
        <f>G38</f>
        <v/>
      </c>
      <c r="H45" s="17">
        <f>H38</f>
        <v/>
      </c>
      <c r="I45" s="17">
        <f>I38</f>
        <v/>
      </c>
      <c r="J45" s="17">
        <f>J38</f>
        <v/>
      </c>
      <c r="K45" s="17">
        <f>K38</f>
        <v/>
      </c>
      <c r="L45" s="17">
        <f>L38</f>
        <v/>
      </c>
      <c r="M45" s="17">
        <f>M38</f>
        <v/>
      </c>
      <c r="N45" s="17">
        <f>N38</f>
        <v/>
      </c>
      <c r="O45" s="17">
        <f>O38</f>
        <v/>
      </c>
      <c r="P45" s="17">
        <f>P38</f>
        <v/>
      </c>
      <c r="Q45" s="17">
        <f>Q38</f>
        <v/>
      </c>
      <c r="R45" s="17">
        <f>R38</f>
        <v/>
      </c>
      <c r="S45" s="17">
        <f>S38</f>
        <v/>
      </c>
      <c r="T45" s="17">
        <f>T38</f>
        <v/>
      </c>
      <c r="U45" s="17">
        <f>U38</f>
        <v/>
      </c>
      <c r="V45" s="17">
        <f>V38</f>
        <v/>
      </c>
      <c r="W45" s="17">
        <f>W38</f>
        <v/>
      </c>
      <c r="X45" s="17">
        <f>X38</f>
        <v/>
      </c>
      <c r="Y45" s="17">
        <f>Y38</f>
        <v/>
      </c>
      <c r="Z45" s="17">
        <f>Z38</f>
        <v/>
      </c>
      <c r="AA45" s="17">
        <f>AA38</f>
        <v/>
      </c>
      <c r="AB45" s="17">
        <f>AB38</f>
        <v/>
      </c>
      <c r="AC45" s="17">
        <f>AC38</f>
        <v/>
      </c>
      <c r="AD45" s="17">
        <f>AD38</f>
        <v/>
      </c>
      <c r="AE45" s="17">
        <f>AE38</f>
        <v/>
      </c>
      <c r="AF45" s="17">
        <f>AF38</f>
        <v/>
      </c>
      <c r="AG45" s="17">
        <f>AG38</f>
        <v/>
      </c>
      <c r="AH45" s="17">
        <f>AH38</f>
        <v/>
      </c>
      <c r="AI45" s="17">
        <f>AI38</f>
        <v/>
      </c>
      <c r="AJ45" s="17">
        <f>AJ38</f>
        <v/>
      </c>
      <c r="AK45" s="17">
        <f>AK38</f>
        <v/>
      </c>
      <c r="AL45" s="17">
        <f>AL38</f>
        <v/>
      </c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</row>
    <row r="47" ht="12.75" customHeight="1">
      <c r="A47" s="13" t="n"/>
      <c r="B47" s="5" t="inlineStr">
        <is>
          <t>ПРЯМЫЕ ЗАТРАТЫ</t>
        </is>
      </c>
      <c r="C47" s="6">
        <f>SUM(C50:C57)</f>
        <v/>
      </c>
      <c r="D47" s="6">
        <f>SUM(D50:D57)</f>
        <v/>
      </c>
      <c r="E47" s="6">
        <f>SUM(E50:E57)</f>
        <v/>
      </c>
      <c r="F47" s="6">
        <f>SUM(F50:F57)</f>
        <v/>
      </c>
      <c r="G47" s="6">
        <f>SUM(G50:G57)</f>
        <v/>
      </c>
      <c r="H47" s="6">
        <f>SUM(H50:H57)</f>
        <v/>
      </c>
      <c r="I47" s="6">
        <f>SUM(I50:I57)</f>
        <v/>
      </c>
      <c r="J47" s="6">
        <f>SUM(J50:J57)</f>
        <v/>
      </c>
      <c r="K47" s="6">
        <f>SUM(K50:K57)</f>
        <v/>
      </c>
      <c r="L47" s="6">
        <f>SUM(L50:L57)</f>
        <v/>
      </c>
      <c r="M47" s="6">
        <f>SUM(M50:M57)</f>
        <v/>
      </c>
      <c r="N47" s="6">
        <f>SUM(N50:N57)</f>
        <v/>
      </c>
      <c r="O47" s="6">
        <f>SUM(O50:O57)</f>
        <v/>
      </c>
      <c r="P47" s="6">
        <f>SUM(P50:P57)</f>
        <v/>
      </c>
      <c r="Q47" s="6">
        <f>SUM(Q50:Q57)</f>
        <v/>
      </c>
      <c r="R47" s="6">
        <f>SUM(R50:R57)</f>
        <v/>
      </c>
      <c r="S47" s="6">
        <f>SUM(S50:S57)</f>
        <v/>
      </c>
      <c r="T47" s="6">
        <f>SUM(T50:T57)</f>
        <v/>
      </c>
      <c r="U47" s="6">
        <f>SUM(U50:U57)</f>
        <v/>
      </c>
      <c r="V47" s="6">
        <f>SUM(V50:V57)</f>
        <v/>
      </c>
      <c r="W47" s="6">
        <f>SUM(W50:W57)</f>
        <v/>
      </c>
      <c r="X47" s="6">
        <f>SUM(X50:X57)</f>
        <v/>
      </c>
      <c r="Y47" s="6">
        <f>SUM(Y50:Y57)</f>
        <v/>
      </c>
      <c r="Z47" s="6">
        <f>SUM(Z50:Z57)</f>
        <v/>
      </c>
      <c r="AA47" s="6">
        <f>SUM(AA50:AA57)</f>
        <v/>
      </c>
      <c r="AB47" s="6">
        <f>SUM(AB50:AB57)</f>
        <v/>
      </c>
      <c r="AC47" s="6">
        <f>SUM(AC50:AC57)</f>
        <v/>
      </c>
      <c r="AD47" s="6">
        <f>SUM(AD50:AD57)</f>
        <v/>
      </c>
      <c r="AE47" s="6">
        <f>SUM(AE50:AE57)</f>
        <v/>
      </c>
      <c r="AF47" s="6">
        <f>SUM(AF50:AF57)</f>
        <v/>
      </c>
      <c r="AG47" s="6">
        <f>SUM(AG50:AG57)</f>
        <v/>
      </c>
      <c r="AH47" s="6">
        <f>SUM(AH50:AH57)</f>
        <v/>
      </c>
      <c r="AI47" s="6">
        <f>SUM(AI50:AI57)</f>
        <v/>
      </c>
      <c r="AJ47" s="6">
        <f>SUM(AJ50:AJ57)</f>
        <v/>
      </c>
      <c r="AK47" s="6">
        <f>SUM(AK50:AK57)</f>
        <v/>
      </c>
      <c r="AL47" s="6">
        <f>SUM(AL50:AL57)</f>
        <v/>
      </c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</row>
    <row r="49" ht="12.75" customHeight="1">
      <c r="A49" s="19" t="n">
        <v>1</v>
      </c>
      <c r="B49" s="13" t="inlineStr">
        <is>
          <t>Количество преподавателей</t>
        </is>
      </c>
      <c r="C49" s="17">
        <f>ROUNDDOWN((C43/40) + 1, 0)</f>
        <v/>
      </c>
      <c r="D49" s="17">
        <f>ROUNDDOWN((D43/40) + 1, 0)</f>
        <v/>
      </c>
      <c r="E49" s="17">
        <f>ROUNDDOWN((E43/40) + 1, 0)</f>
        <v/>
      </c>
      <c r="F49" s="17">
        <f>ROUNDDOWN((F43/40) + 1, 0)</f>
        <v/>
      </c>
      <c r="G49" s="17">
        <f>ROUNDDOWN((G43/40) + 1, 0)</f>
        <v/>
      </c>
      <c r="H49" s="17">
        <f>ROUNDDOWN((H43/40) + 1, 0)</f>
        <v/>
      </c>
      <c r="I49" s="17">
        <f>ROUNDDOWN((I43/40) + 1, 0)</f>
        <v/>
      </c>
      <c r="J49" s="17">
        <f>ROUNDDOWN((J43/40) + 1, 0)</f>
        <v/>
      </c>
      <c r="K49" s="17">
        <f>ROUNDDOWN((K43/40) + 1, 0)</f>
        <v/>
      </c>
      <c r="L49" s="17">
        <f>ROUNDDOWN((L43/40) + 1, 0)</f>
        <v/>
      </c>
      <c r="M49" s="17">
        <f>ROUNDDOWN((M43/40) + 1, 0)</f>
        <v/>
      </c>
      <c r="N49" s="17">
        <f>ROUNDDOWN((N43/40) + 1, 0)</f>
        <v/>
      </c>
      <c r="O49" s="17">
        <f>ROUNDDOWN((O43/40) + 1, 0)</f>
        <v/>
      </c>
      <c r="P49" s="17">
        <f>ROUNDDOWN((P43/40) + 1, 0)</f>
        <v/>
      </c>
      <c r="Q49" s="17">
        <f>ROUNDDOWN((Q43/40) + 1, 0)</f>
        <v/>
      </c>
      <c r="R49" s="17">
        <f>ROUNDDOWN((R43/40) + 1, 0)</f>
        <v/>
      </c>
      <c r="S49" s="17">
        <f>ROUNDDOWN((S43/40) + 1, 0)</f>
        <v/>
      </c>
      <c r="T49" s="17">
        <f>ROUNDDOWN((T43/40) + 1, 0)</f>
        <v/>
      </c>
      <c r="U49" s="17">
        <f>ROUNDDOWN((U43/40) + 1, 0)</f>
        <v/>
      </c>
      <c r="V49" s="17">
        <f>ROUNDDOWN((V43/40) + 1, 0)</f>
        <v/>
      </c>
      <c r="W49" s="17">
        <f>ROUNDDOWN((W43/40) + 1, 0)</f>
        <v/>
      </c>
      <c r="X49" s="17">
        <f>ROUNDDOWN((X43/40) + 1, 0)</f>
        <v/>
      </c>
      <c r="Y49" s="17">
        <f>ROUNDDOWN((Y43/40) + 1, 0)</f>
        <v/>
      </c>
      <c r="Z49" s="17">
        <f>ROUNDDOWN((Z43/40) + 1, 0)</f>
        <v/>
      </c>
      <c r="AA49" s="17">
        <f>ROUNDDOWN((AA43/40) + 1, 0)</f>
        <v/>
      </c>
      <c r="AB49" s="17">
        <f>ROUNDDOWN((AB43/40) + 1, 0)</f>
        <v/>
      </c>
      <c r="AC49" s="17">
        <f>ROUNDDOWN((AC43/40) + 1, 0)</f>
        <v/>
      </c>
      <c r="AD49" s="17">
        <f>ROUNDDOWN((AD43/40) + 1, 0)</f>
        <v/>
      </c>
      <c r="AE49" s="17">
        <f>ROUNDDOWN((AE43/40) + 1, 0)</f>
        <v/>
      </c>
      <c r="AF49" s="17">
        <f>ROUNDDOWN((AF43/40) + 1, 0)</f>
        <v/>
      </c>
      <c r="AG49" s="17">
        <f>ROUNDDOWN((AG43/40) + 1, 0)</f>
        <v/>
      </c>
      <c r="AH49" s="17">
        <f>ROUNDDOWN((AH43/40) + 1, 0)</f>
        <v/>
      </c>
      <c r="AI49" s="17">
        <f>ROUNDDOWN((AI43/40) + 1, 0)</f>
        <v/>
      </c>
      <c r="AJ49" s="17">
        <f>ROUNDDOWN((AJ43/40) + 1, 0)</f>
        <v/>
      </c>
      <c r="AK49" s="17">
        <f>ROUNDDOWN((AK43/40) + 1, 0)</f>
        <v/>
      </c>
      <c r="AL49" s="17">
        <f>ROUNDDOWN((AL43/40) + 1, 0)</f>
        <v/>
      </c>
    </row>
    <row r="50" ht="12.75" customHeight="1">
      <c r="A50" s="19" t="n">
        <v>60000</v>
      </c>
      <c r="B50" s="13" t="inlineStr">
        <is>
          <t>Оплата труда преподавателя</t>
        </is>
      </c>
      <c r="C50" s="17">
        <f>$A$50*C49</f>
        <v/>
      </c>
      <c r="D50" s="17">
        <f>$A$50*D49</f>
        <v/>
      </c>
      <c r="E50" s="17">
        <f>$A$50*E49</f>
        <v/>
      </c>
      <c r="F50" s="17">
        <f>$A$50*F49</f>
        <v/>
      </c>
      <c r="G50" s="17">
        <f>$A$50*G49</f>
        <v/>
      </c>
      <c r="H50" s="17">
        <f>$A$50*H49</f>
        <v/>
      </c>
      <c r="I50" s="17">
        <f>$A$50*I49</f>
        <v/>
      </c>
      <c r="J50" s="17">
        <f>$A$50*J49</f>
        <v/>
      </c>
      <c r="K50" s="17">
        <f>$A$50*K49</f>
        <v/>
      </c>
      <c r="L50" s="17">
        <f>$A$50*L49</f>
        <v/>
      </c>
      <c r="M50" s="17">
        <f>$A$50*M49</f>
        <v/>
      </c>
      <c r="N50" s="17">
        <f>$A$50*N49</f>
        <v/>
      </c>
      <c r="O50" s="17">
        <f>$A$50*O49</f>
        <v/>
      </c>
      <c r="P50" s="17">
        <f>$A$50*P49</f>
        <v/>
      </c>
      <c r="Q50" s="17">
        <f>$A$50*Q49</f>
        <v/>
      </c>
      <c r="R50" s="17">
        <f>$A$50*R49</f>
        <v/>
      </c>
      <c r="S50" s="17">
        <f>$A$50*S49</f>
        <v/>
      </c>
      <c r="T50" s="17">
        <f>$A$50*T49</f>
        <v/>
      </c>
      <c r="U50" s="17">
        <f>$A$50*U49</f>
        <v/>
      </c>
      <c r="V50" s="17">
        <f>$A$50*V49</f>
        <v/>
      </c>
      <c r="W50" s="17">
        <f>$A$50*W49</f>
        <v/>
      </c>
      <c r="X50" s="17">
        <f>$A$50*X49</f>
        <v/>
      </c>
      <c r="Y50" s="17">
        <f>$A$50*Y49</f>
        <v/>
      </c>
      <c r="Z50" s="17">
        <f>$A$50*Z49</f>
        <v/>
      </c>
      <c r="AA50" s="17">
        <f>$A$50*AA49</f>
        <v/>
      </c>
      <c r="AB50" s="17">
        <f>$A$50*AB49</f>
        <v/>
      </c>
      <c r="AC50" s="17">
        <f>$A$50*AC49</f>
        <v/>
      </c>
      <c r="AD50" s="17">
        <f>$A$50*AD49</f>
        <v/>
      </c>
      <c r="AE50" s="17">
        <f>$A$50*AE49</f>
        <v/>
      </c>
      <c r="AF50" s="17">
        <f>$A$50*AF49</f>
        <v/>
      </c>
      <c r="AG50" s="17">
        <f>$A$50*AG49</f>
        <v/>
      </c>
      <c r="AH50" s="17">
        <f>$A$50*AH49</f>
        <v/>
      </c>
      <c r="AI50" s="17">
        <f>$A$50*AI49</f>
        <v/>
      </c>
      <c r="AJ50" s="17">
        <f>$A$50*AJ49</f>
        <v/>
      </c>
      <c r="AK50" s="17">
        <f>$A$50*AK49</f>
        <v/>
      </c>
      <c r="AL50" s="17">
        <f>$A$50*AL49</f>
        <v/>
      </c>
    </row>
    <row r="51" ht="12.75" customHeight="1">
      <c r="A51" s="20" t="n">
        <v>0.13</v>
      </c>
      <c r="B51" s="13" t="inlineStr">
        <is>
          <t>НДФЛ</t>
        </is>
      </c>
      <c r="C51" s="17">
        <f>C50*$A$51</f>
        <v/>
      </c>
      <c r="D51" s="17">
        <f>D50*$A$51</f>
        <v/>
      </c>
      <c r="E51" s="17">
        <f>E50*$A$51</f>
        <v/>
      </c>
      <c r="F51" s="17">
        <f>F50*$A$51</f>
        <v/>
      </c>
      <c r="G51" s="17">
        <f>G50*$A$51</f>
        <v/>
      </c>
      <c r="H51" s="17">
        <f>H50*$A$51</f>
        <v/>
      </c>
      <c r="I51" s="17">
        <f>I50*$A$51</f>
        <v/>
      </c>
      <c r="J51" s="17">
        <f>J50*$A$51</f>
        <v/>
      </c>
      <c r="K51" s="17">
        <f>K50*$A$51</f>
        <v/>
      </c>
      <c r="L51" s="17">
        <f>L50*$A$51</f>
        <v/>
      </c>
      <c r="M51" s="17">
        <f>M50*$A$51</f>
        <v/>
      </c>
      <c r="N51" s="17">
        <f>N50*$A$51</f>
        <v/>
      </c>
      <c r="O51" s="17">
        <f>O50*$A$51</f>
        <v/>
      </c>
      <c r="P51" s="17">
        <f>P50*$A$51</f>
        <v/>
      </c>
      <c r="Q51" s="17">
        <f>Q50*$A$51</f>
        <v/>
      </c>
      <c r="R51" s="17">
        <f>R50*$A$51</f>
        <v/>
      </c>
      <c r="S51" s="17">
        <f>S50*$A$51</f>
        <v/>
      </c>
      <c r="T51" s="17">
        <f>T50*$A$51</f>
        <v/>
      </c>
      <c r="U51" s="17">
        <f>U50*$A$51</f>
        <v/>
      </c>
      <c r="V51" s="17">
        <f>V50*$A$51</f>
        <v/>
      </c>
      <c r="W51" s="17">
        <f>W50*$A$51</f>
        <v/>
      </c>
      <c r="X51" s="17">
        <f>X50*$A$51</f>
        <v/>
      </c>
      <c r="Y51" s="17">
        <f>Y50*$A$51</f>
        <v/>
      </c>
      <c r="Z51" s="17">
        <f>Z50*$A$51</f>
        <v/>
      </c>
      <c r="AA51" s="17">
        <f>AA50*$A$51</f>
        <v/>
      </c>
      <c r="AB51" s="17">
        <f>AB50*$A$51</f>
        <v/>
      </c>
      <c r="AC51" s="17">
        <f>AC50*$A$51</f>
        <v/>
      </c>
      <c r="AD51" s="17">
        <f>AD50*$A$51</f>
        <v/>
      </c>
      <c r="AE51" s="17">
        <f>AE50*$A$51</f>
        <v/>
      </c>
      <c r="AF51" s="17">
        <f>AF50*$A$51</f>
        <v/>
      </c>
      <c r="AG51" s="17">
        <f>AG50*$A$51</f>
        <v/>
      </c>
      <c r="AH51" s="17">
        <f>AH50*$A$51</f>
        <v/>
      </c>
      <c r="AI51" s="17">
        <f>AI50*$A$51</f>
        <v/>
      </c>
      <c r="AJ51" s="17">
        <f>AJ50*$A$51</f>
        <v/>
      </c>
      <c r="AK51" s="17">
        <f>AK50*$A$51</f>
        <v/>
      </c>
      <c r="AL51" s="17">
        <f>AL50*$A$51</f>
        <v/>
      </c>
    </row>
    <row r="52" ht="12.75" customHeight="1">
      <c r="A52" s="20" t="n">
        <v>0.3</v>
      </c>
      <c r="B52" s="13" t="inlineStr">
        <is>
          <t>Страховые взносы</t>
        </is>
      </c>
      <c r="C52" s="17">
        <f>C50*$A$52</f>
        <v/>
      </c>
      <c r="D52" s="17">
        <f>D50*$A$52</f>
        <v/>
      </c>
      <c r="E52" s="17">
        <f>E50*$A$52</f>
        <v/>
      </c>
      <c r="F52" s="17">
        <f>F50*$A$52</f>
        <v/>
      </c>
      <c r="G52" s="17">
        <f>G50*$A$52</f>
        <v/>
      </c>
      <c r="H52" s="17">
        <f>H50*$A$52</f>
        <v/>
      </c>
      <c r="I52" s="17">
        <f>I50*$A$52</f>
        <v/>
      </c>
      <c r="J52" s="17">
        <f>J50*$A$52</f>
        <v/>
      </c>
      <c r="K52" s="17">
        <f>K50*$A$52</f>
        <v/>
      </c>
      <c r="L52" s="17">
        <f>L50*$A$52</f>
        <v/>
      </c>
      <c r="M52" s="17">
        <f>M50*$A$52</f>
        <v/>
      </c>
      <c r="N52" s="17">
        <f>N50*$A$52</f>
        <v/>
      </c>
      <c r="O52" s="17">
        <f>O50*$A$52</f>
        <v/>
      </c>
      <c r="P52" s="17">
        <f>P50*$A$52</f>
        <v/>
      </c>
      <c r="Q52" s="17">
        <f>Q50*$A$52</f>
        <v/>
      </c>
      <c r="R52" s="17">
        <f>R50*$A$52</f>
        <v/>
      </c>
      <c r="S52" s="17">
        <f>S50*$A$52</f>
        <v/>
      </c>
      <c r="T52" s="17">
        <f>T50*$A$52</f>
        <v/>
      </c>
      <c r="U52" s="17">
        <f>U50*$A$52</f>
        <v/>
      </c>
      <c r="V52" s="17">
        <f>V50*$A$52</f>
        <v/>
      </c>
      <c r="W52" s="17">
        <f>W50*$A$52</f>
        <v/>
      </c>
      <c r="X52" s="17">
        <f>X50*$A$52</f>
        <v/>
      </c>
      <c r="Y52" s="17">
        <f>Y50*$A$52</f>
        <v/>
      </c>
      <c r="Z52" s="17">
        <f>Z50*$A$52</f>
        <v/>
      </c>
      <c r="AA52" s="17">
        <f>AA50*$A$52</f>
        <v/>
      </c>
      <c r="AB52" s="17">
        <f>AB50*$A$52</f>
        <v/>
      </c>
      <c r="AC52" s="17">
        <f>AC50*$A$52</f>
        <v/>
      </c>
      <c r="AD52" s="17">
        <f>AD50*$A$52</f>
        <v/>
      </c>
      <c r="AE52" s="17">
        <f>AE50*$A$52</f>
        <v/>
      </c>
      <c r="AF52" s="17">
        <f>AF50*$A$52</f>
        <v/>
      </c>
      <c r="AG52" s="17">
        <f>AG50*$A$52</f>
        <v/>
      </c>
      <c r="AH52" s="17">
        <f>AH50*$A$52</f>
        <v/>
      </c>
      <c r="AI52" s="17">
        <f>AI50*$A$52</f>
        <v/>
      </c>
      <c r="AJ52" s="17">
        <f>AJ50*$A$52</f>
        <v/>
      </c>
      <c r="AK52" s="17">
        <f>AK50*$A$52</f>
        <v/>
      </c>
      <c r="AL52" s="17">
        <f>AL50*$A$52</f>
        <v/>
      </c>
    </row>
    <row r="53" ht="12.75" customHeight="1">
      <c r="A53" s="19" t="n">
        <v>25000</v>
      </c>
      <c r="B53" s="13" t="inlineStr">
        <is>
          <t>Аренда класса на 40 учеников в месяц</t>
        </is>
      </c>
      <c r="C53" s="17">
        <f>ROUNDDOWN(((C43/40)+1),0)*$A$53</f>
        <v/>
      </c>
      <c r="D53" s="17">
        <f>ROUNDDOWN(((D43/40)+1),0)*$A$53</f>
        <v/>
      </c>
      <c r="E53" s="17">
        <f>ROUNDDOWN(((E43/40)+1),0)*$A$53</f>
        <v/>
      </c>
      <c r="F53" s="17">
        <f>ROUNDDOWN(((F43/40)+1),0)*$A$53</f>
        <v/>
      </c>
      <c r="G53" s="17">
        <f>ROUNDDOWN(((G43/40)+1),0)*$A$53</f>
        <v/>
      </c>
      <c r="H53" s="17">
        <f>ROUNDDOWN(((H43/40)+1),0)*$A$53</f>
        <v/>
      </c>
      <c r="I53" s="17">
        <f>ROUNDDOWN(((I43/40)+1),0)*$A$53</f>
        <v/>
      </c>
      <c r="J53" s="17">
        <f>ROUNDDOWN(((J43/40)+1),0)*$A$53</f>
        <v/>
      </c>
      <c r="K53" s="17">
        <f>ROUNDDOWN(((K43/40)+1),0)*$A$53</f>
        <v/>
      </c>
      <c r="L53" s="17">
        <f>ROUNDDOWN(((L43/40)+1),0)*$A$53</f>
        <v/>
      </c>
      <c r="M53" s="17">
        <f>ROUNDDOWN(((M43/40)+1),0)*$A$53</f>
        <v/>
      </c>
      <c r="N53" s="17">
        <f>ROUNDDOWN(((N43/40)+1),0)*$A$53</f>
        <v/>
      </c>
      <c r="O53" s="17">
        <f>ROUNDDOWN(((O43/40)+1),0)*$A$53</f>
        <v/>
      </c>
      <c r="P53" s="17">
        <f>ROUNDDOWN(((P43/40)+1),0)*$A$53</f>
        <v/>
      </c>
      <c r="Q53" s="17">
        <f>ROUNDDOWN(((Q43/40)+1),0)*$A$53</f>
        <v/>
      </c>
      <c r="R53" s="17">
        <f>ROUNDDOWN(((R43/40)+1),0)*$A$53</f>
        <v/>
      </c>
      <c r="S53" s="17">
        <f>ROUNDDOWN(((S43/40)+1),0)*$A$53</f>
        <v/>
      </c>
      <c r="T53" s="17">
        <f>ROUNDDOWN(((T43/40)+1),0)*$A$53</f>
        <v/>
      </c>
      <c r="U53" s="17">
        <f>ROUNDDOWN(((U43/40)+1),0)*$A$53</f>
        <v/>
      </c>
      <c r="V53" s="17">
        <f>ROUNDDOWN(((V43/40)+1),0)*$A$53</f>
        <v/>
      </c>
      <c r="W53" s="17">
        <f>ROUNDDOWN(((W43/40)+1),0)*$A$53</f>
        <v/>
      </c>
      <c r="X53" s="17">
        <f>ROUNDDOWN(((X43/40)+1),0)*$A$53</f>
        <v/>
      </c>
      <c r="Y53" s="17">
        <f>ROUNDDOWN(((Y43/40)+1),0)*$A$53</f>
        <v/>
      </c>
      <c r="Z53" s="17">
        <f>ROUNDDOWN(((Z43/40)+1),0)*$A$53</f>
        <v/>
      </c>
      <c r="AA53" s="17">
        <f>ROUNDDOWN(((AA43/40)+1),0)*$A$53</f>
        <v/>
      </c>
      <c r="AB53" s="17">
        <f>ROUNDDOWN(((AB43/40)+1),0)*$A$53</f>
        <v/>
      </c>
      <c r="AC53" s="17">
        <f>ROUNDDOWN(((AC43/40)+1),0)*$A$53</f>
        <v/>
      </c>
      <c r="AD53" s="17">
        <f>ROUNDDOWN(((AD43/40)+1),0)*$A$53</f>
        <v/>
      </c>
      <c r="AE53" s="17">
        <f>ROUNDDOWN(((AE43/40)+1),0)*$A$53</f>
        <v/>
      </c>
      <c r="AF53" s="17">
        <f>ROUNDDOWN(((AF43/40)+1),0)*$A$53</f>
        <v/>
      </c>
      <c r="AG53" s="17">
        <f>ROUNDDOWN(((AG43/40)+1),0)*$A$53</f>
        <v/>
      </c>
      <c r="AH53" s="17">
        <f>ROUNDDOWN(((AH43/40)+1),0)*$A$53</f>
        <v/>
      </c>
      <c r="AI53" s="17">
        <f>ROUNDDOWN(((AI43/40)+1),0)*$A$53</f>
        <v/>
      </c>
      <c r="AJ53" s="17">
        <f>ROUNDDOWN(((AJ43/40)+1),0)*$A$53</f>
        <v/>
      </c>
      <c r="AK53" s="17">
        <f>ROUNDDOWN(((AK43/40)+1),0)*$A$53</f>
        <v/>
      </c>
      <c r="AL53" s="17">
        <f>ROUNDDOWN(((AL43/40)+1),0)*$A$53</f>
        <v/>
      </c>
    </row>
    <row r="54" ht="12.75" customHeight="1">
      <c r="A54" s="13" t="n"/>
      <c r="B54" s="13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</row>
    <row r="55" ht="12.75" customHeight="1">
      <c r="A55" s="19" t="n">
        <v>990</v>
      </c>
      <c r="B55" s="13" t="inlineStr">
        <is>
          <t>Стоимость ИТ-сервисов на одного ученика</t>
        </is>
      </c>
      <c r="C55" s="17">
        <f>$A$55*C33</f>
        <v/>
      </c>
      <c r="D55" s="17">
        <f>$A$55*D33</f>
        <v/>
      </c>
      <c r="E55" s="17">
        <f>$A$55*E33</f>
        <v/>
      </c>
      <c r="F55" s="17">
        <f>$A$55*F33</f>
        <v/>
      </c>
      <c r="G55" s="17">
        <f>$A$55*G33</f>
        <v/>
      </c>
      <c r="H55" s="17">
        <f>$A$55*H33</f>
        <v/>
      </c>
      <c r="I55" s="17">
        <f>$A$55*I33</f>
        <v/>
      </c>
      <c r="J55" s="17">
        <f>$A$55*J33</f>
        <v/>
      </c>
      <c r="K55" s="17">
        <f>$A$55*K33</f>
        <v/>
      </c>
      <c r="L55" s="17">
        <f>$A$55*L33</f>
        <v/>
      </c>
      <c r="M55" s="17">
        <f>$A$55*M33</f>
        <v/>
      </c>
      <c r="N55" s="17">
        <f>$A$55*N33</f>
        <v/>
      </c>
      <c r="O55" s="17">
        <f>$A$55*O33</f>
        <v/>
      </c>
      <c r="P55" s="17">
        <f>$A$55*P33</f>
        <v/>
      </c>
      <c r="Q55" s="17">
        <f>$A$55*Q33</f>
        <v/>
      </c>
      <c r="R55" s="17">
        <f>$A$55*R33</f>
        <v/>
      </c>
      <c r="S55" s="17">
        <f>$A$55*S33</f>
        <v/>
      </c>
      <c r="T55" s="17">
        <f>$A$55*T33</f>
        <v/>
      </c>
      <c r="U55" s="17">
        <f>$A$55*U33</f>
        <v/>
      </c>
      <c r="V55" s="17">
        <f>$A$55*V33</f>
        <v/>
      </c>
      <c r="W55" s="17">
        <f>$A$55*W33</f>
        <v/>
      </c>
      <c r="X55" s="17">
        <f>$A$55*X33</f>
        <v/>
      </c>
      <c r="Y55" s="17">
        <f>$A$55*Y33</f>
        <v/>
      </c>
      <c r="Z55" s="17">
        <f>$A$55*Z33</f>
        <v/>
      </c>
      <c r="AA55" s="17">
        <f>$A$55*AA33</f>
        <v/>
      </c>
      <c r="AB55" s="17">
        <f>$A$55*AB33</f>
        <v/>
      </c>
      <c r="AC55" s="17">
        <f>$A$55*AC33</f>
        <v/>
      </c>
      <c r="AD55" s="17">
        <f>$A$55*AD33</f>
        <v/>
      </c>
      <c r="AE55" s="17">
        <f>$A$55*AE33</f>
        <v/>
      </c>
      <c r="AF55" s="17">
        <f>$A$55*AF33</f>
        <v/>
      </c>
      <c r="AG55" s="17">
        <f>$A$55*AG33</f>
        <v/>
      </c>
      <c r="AH55" s="17">
        <f>$A$55*AH33</f>
        <v/>
      </c>
      <c r="AI55" s="17">
        <f>$A$55*AI33</f>
        <v/>
      </c>
      <c r="AJ55" s="17">
        <f>$A$55*AJ33</f>
        <v/>
      </c>
      <c r="AK55" s="17">
        <f>$A$55*AK33</f>
        <v/>
      </c>
      <c r="AL55" s="17">
        <f>$A$55*AL33</f>
        <v/>
      </c>
    </row>
    <row r="56" ht="12.75" customHeight="1">
      <c r="A56" s="13" t="n"/>
      <c r="B56" s="13" t="inlineStr">
        <is>
          <t>Реклама в интернете, социальных сетях</t>
        </is>
      </c>
      <c r="C56" s="17">
        <f>C7+C18</f>
        <v/>
      </c>
      <c r="D56" s="17">
        <f>D7+D18</f>
        <v/>
      </c>
      <c r="E56" s="17">
        <f>E7+E18</f>
        <v/>
      </c>
      <c r="F56" s="17">
        <f>F7+F18</f>
        <v/>
      </c>
      <c r="G56" s="17">
        <f>G7+G18</f>
        <v/>
      </c>
      <c r="H56" s="17">
        <f>H7+H18</f>
        <v/>
      </c>
      <c r="I56" s="17">
        <f>I7+I18</f>
        <v/>
      </c>
      <c r="J56" s="17">
        <f>J7+J18</f>
        <v/>
      </c>
      <c r="K56" s="17">
        <f>K7+K18</f>
        <v/>
      </c>
      <c r="L56" s="17">
        <f>L7+L18</f>
        <v/>
      </c>
      <c r="M56" s="17">
        <f>M7+M18</f>
        <v/>
      </c>
      <c r="N56" s="17">
        <f>N7+N18</f>
        <v/>
      </c>
      <c r="O56" s="17">
        <f>O7+O18</f>
        <v/>
      </c>
      <c r="P56" s="17">
        <f>P7+P18</f>
        <v/>
      </c>
      <c r="Q56" s="17">
        <f>Q7+Q18</f>
        <v/>
      </c>
      <c r="R56" s="17">
        <f>R7+R18</f>
        <v/>
      </c>
      <c r="S56" s="17">
        <f>S7+S18</f>
        <v/>
      </c>
      <c r="T56" s="17">
        <f>T7+T18</f>
        <v/>
      </c>
      <c r="U56" s="17">
        <f>U7+U18</f>
        <v/>
      </c>
      <c r="V56" s="17">
        <f>V7+V18</f>
        <v/>
      </c>
      <c r="W56" s="17">
        <f>W7+W18</f>
        <v/>
      </c>
      <c r="X56" s="17">
        <f>X7+X18</f>
        <v/>
      </c>
      <c r="Y56" s="17">
        <f>Y7+Y18</f>
        <v/>
      </c>
      <c r="Z56" s="17">
        <f>Z7+Z18</f>
        <v/>
      </c>
      <c r="AA56" s="17">
        <f>AA7+AA18</f>
        <v/>
      </c>
      <c r="AB56" s="17">
        <f>AB7+AB18</f>
        <v/>
      </c>
      <c r="AC56" s="17">
        <f>AC7+AC18</f>
        <v/>
      </c>
      <c r="AD56" s="17">
        <f>AD7+AD18</f>
        <v/>
      </c>
      <c r="AE56" s="17">
        <f>AE7+AE18</f>
        <v/>
      </c>
      <c r="AF56" s="17">
        <f>AF7+AF18</f>
        <v/>
      </c>
      <c r="AG56" s="17">
        <f>AG7+AG18</f>
        <v/>
      </c>
      <c r="AH56" s="17">
        <f>AH7+AH18</f>
        <v/>
      </c>
      <c r="AI56" s="17">
        <f>AI7+AI18</f>
        <v/>
      </c>
      <c r="AJ56" s="17">
        <f>AJ7+AJ18</f>
        <v/>
      </c>
      <c r="AK56" s="17">
        <f>AK7+AK18</f>
        <v/>
      </c>
      <c r="AL56" s="17">
        <f>AL7+AL18</f>
        <v/>
      </c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</row>
    <row r="58" ht="12.75" customHeight="1">
      <c r="A58" s="13" t="n"/>
      <c r="B58" s="5" t="inlineStr">
        <is>
          <t>ВАЛОВАЯ ПРИБЫЛЬ</t>
        </is>
      </c>
      <c r="C58" s="6">
        <f>C5-C47</f>
        <v/>
      </c>
      <c r="D58" s="6">
        <f>D5-D47</f>
        <v/>
      </c>
      <c r="E58" s="6">
        <f>E5-E47</f>
        <v/>
      </c>
      <c r="F58" s="6">
        <f>F5-F47</f>
        <v/>
      </c>
      <c r="G58" s="6">
        <f>G5-G47</f>
        <v/>
      </c>
      <c r="H58" s="6">
        <f>H5-H47</f>
        <v/>
      </c>
      <c r="I58" s="6">
        <f>I5-I47</f>
        <v/>
      </c>
      <c r="J58" s="6">
        <f>J5-J47</f>
        <v/>
      </c>
      <c r="K58" s="6">
        <f>K5-K47</f>
        <v/>
      </c>
      <c r="L58" s="6">
        <f>L5-L47</f>
        <v/>
      </c>
      <c r="M58" s="6">
        <f>M5-M47</f>
        <v/>
      </c>
      <c r="N58" s="6">
        <f>N5-N47</f>
        <v/>
      </c>
      <c r="O58" s="6">
        <f>O5-O47</f>
        <v/>
      </c>
      <c r="P58" s="6">
        <f>P5-P47</f>
        <v/>
      </c>
      <c r="Q58" s="6">
        <f>Q5-Q47</f>
        <v/>
      </c>
      <c r="R58" s="6">
        <f>R5-R47</f>
        <v/>
      </c>
      <c r="S58" s="6">
        <f>S5-S47</f>
        <v/>
      </c>
      <c r="T58" s="6">
        <f>T5-T47</f>
        <v/>
      </c>
      <c r="U58" s="6">
        <f>U5-U47</f>
        <v/>
      </c>
      <c r="V58" s="6">
        <f>V5-V47</f>
        <v/>
      </c>
      <c r="W58" s="6">
        <f>W5-W47</f>
        <v/>
      </c>
      <c r="X58" s="6">
        <f>X5-X47</f>
        <v/>
      </c>
      <c r="Y58" s="6">
        <f>Y5-Y47</f>
        <v/>
      </c>
      <c r="Z58" s="6">
        <f>Z5-Z47</f>
        <v/>
      </c>
      <c r="AA58" s="6">
        <f>AA5-AA47</f>
        <v/>
      </c>
      <c r="AB58" s="6">
        <f>AB5-AB47</f>
        <v/>
      </c>
      <c r="AC58" s="6">
        <f>AC5-AC47</f>
        <v/>
      </c>
      <c r="AD58" s="6">
        <f>AD5-AD47</f>
        <v/>
      </c>
      <c r="AE58" s="6">
        <f>AE5-AE47</f>
        <v/>
      </c>
      <c r="AF58" s="6">
        <f>AF5-AF47</f>
        <v/>
      </c>
      <c r="AG58" s="6">
        <f>AG5-AG47</f>
        <v/>
      </c>
      <c r="AH58" s="6">
        <f>AH5-AH47</f>
        <v/>
      </c>
      <c r="AI58" s="6">
        <f>AI5-AI47</f>
        <v/>
      </c>
      <c r="AJ58" s="6">
        <f>AJ5-AJ47</f>
        <v/>
      </c>
      <c r="AK58" s="6">
        <f>AK5-AK47</f>
        <v/>
      </c>
      <c r="AL58" s="6">
        <f>AL5-AL47</f>
        <v/>
      </c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</row>
    <row r="60" ht="12.75" customHeight="1">
      <c r="A60" s="13" t="n"/>
      <c r="B60" s="5" t="inlineStr">
        <is>
          <t>ПОСТОЯННЫЕ РАСХОДЫ</t>
        </is>
      </c>
      <c r="C60" s="6">
        <f>SUM(C62:C73)</f>
        <v/>
      </c>
      <c r="D60" s="6">
        <f>SUM(D62:D73)</f>
        <v/>
      </c>
      <c r="E60" s="6">
        <f>SUM(E62:E73)</f>
        <v/>
      </c>
      <c r="F60" s="6">
        <f>SUM(F62:F73)</f>
        <v/>
      </c>
      <c r="G60" s="6">
        <f>SUM(G62:G73)</f>
        <v/>
      </c>
      <c r="H60" s="6">
        <f>SUM(H62:H73)</f>
        <v/>
      </c>
      <c r="I60" s="6">
        <f>SUM(I62:I73)</f>
        <v/>
      </c>
      <c r="J60" s="6">
        <f>SUM(J62:J73)</f>
        <v/>
      </c>
      <c r="K60" s="6">
        <f>SUM(K62:K73)</f>
        <v/>
      </c>
      <c r="L60" s="6">
        <f>SUM(L62:L73)</f>
        <v/>
      </c>
      <c r="M60" s="6">
        <f>SUM(M62:M73)</f>
        <v/>
      </c>
      <c r="N60" s="6">
        <f>SUM(N62:N73)</f>
        <v/>
      </c>
      <c r="O60" s="6">
        <f>SUM(O62:O73)</f>
        <v/>
      </c>
      <c r="P60" s="6">
        <f>SUM(P62:P73)</f>
        <v/>
      </c>
      <c r="Q60" s="6">
        <f>SUM(Q62:Q73)</f>
        <v/>
      </c>
      <c r="R60" s="6">
        <f>SUM(R62:R73)</f>
        <v/>
      </c>
      <c r="S60" s="6">
        <f>SUM(S62:S73)</f>
        <v/>
      </c>
      <c r="T60" s="6">
        <f>SUM(T62:T73)</f>
        <v/>
      </c>
      <c r="U60" s="6">
        <f>SUM(U62:U73)</f>
        <v/>
      </c>
      <c r="V60" s="6">
        <f>SUM(V62:V73)</f>
        <v/>
      </c>
      <c r="W60" s="6">
        <f>SUM(W62:W73)</f>
        <v/>
      </c>
      <c r="X60" s="6">
        <f>SUM(X62:X73)</f>
        <v/>
      </c>
      <c r="Y60" s="6">
        <f>SUM(Y62:Y73)</f>
        <v/>
      </c>
      <c r="Z60" s="6">
        <f>SUM(Z62:Z73)</f>
        <v/>
      </c>
      <c r="AA60" s="6">
        <f>SUM(AA62:AA73)</f>
        <v/>
      </c>
      <c r="AB60" s="6">
        <f>SUM(AB62:AB73)</f>
        <v/>
      </c>
      <c r="AC60" s="6">
        <f>SUM(AC62:AC73)</f>
        <v/>
      </c>
      <c r="AD60" s="6">
        <f>SUM(AD62:AD73)</f>
        <v/>
      </c>
      <c r="AE60" s="6">
        <f>SUM(AE62:AE73)</f>
        <v/>
      </c>
      <c r="AF60" s="6">
        <f>SUM(AF62:AF73)</f>
        <v/>
      </c>
      <c r="AG60" s="6">
        <f>SUM(AG62:AG73)</f>
        <v/>
      </c>
      <c r="AH60" s="6">
        <f>SUM(AH62:AH73)</f>
        <v/>
      </c>
      <c r="AI60" s="6">
        <f>SUM(AI62:AI73)</f>
        <v/>
      </c>
      <c r="AJ60" s="6">
        <f>SUM(AJ62:AJ73)</f>
        <v/>
      </c>
      <c r="AK60" s="6">
        <f>SUM(AK62:AK73)</f>
        <v/>
      </c>
      <c r="AL60" s="6">
        <f>SUM(AL62:AL73)</f>
        <v/>
      </c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</row>
    <row r="62" ht="12.75" customHeight="1">
      <c r="A62" s="20" t="n">
        <v>0.1</v>
      </c>
      <c r="B62" s="13" t="inlineStr">
        <is>
          <t>Коммунальные расходы</t>
        </is>
      </c>
      <c r="C62" s="17">
        <f>C53*$A$62</f>
        <v/>
      </c>
      <c r="D62" s="17">
        <f>D53*$A$62</f>
        <v/>
      </c>
      <c r="E62" s="17">
        <f>E53*$A$62</f>
        <v/>
      </c>
      <c r="F62" s="17">
        <f>F53*$A$62</f>
        <v/>
      </c>
      <c r="G62" s="17">
        <f>G53*$A$62</f>
        <v/>
      </c>
      <c r="H62" s="17">
        <f>H53*$A$62</f>
        <v/>
      </c>
      <c r="I62" s="17">
        <f>I53*$A$62</f>
        <v/>
      </c>
      <c r="J62" s="17">
        <f>J53*$A$62</f>
        <v/>
      </c>
      <c r="K62" s="17">
        <f>K53*$A$62</f>
        <v/>
      </c>
      <c r="L62" s="17">
        <f>L53*$A$62</f>
        <v/>
      </c>
      <c r="M62" s="17">
        <f>M53*$A$62</f>
        <v/>
      </c>
      <c r="N62" s="17">
        <f>N53*$A$62</f>
        <v/>
      </c>
      <c r="O62" s="17">
        <f>O53*$A$62</f>
        <v/>
      </c>
      <c r="P62" s="17">
        <f>P53*$A$62</f>
        <v/>
      </c>
      <c r="Q62" s="17">
        <f>Q53*$A$62</f>
        <v/>
      </c>
      <c r="R62" s="17">
        <f>R53*$A$62</f>
        <v/>
      </c>
      <c r="S62" s="17">
        <f>S53*$A$62</f>
        <v/>
      </c>
      <c r="T62" s="17">
        <f>T53*$A$62</f>
        <v/>
      </c>
      <c r="U62" s="17">
        <f>U53*$A$62</f>
        <v/>
      </c>
      <c r="V62" s="17">
        <f>V53*$A$62</f>
        <v/>
      </c>
      <c r="W62" s="17">
        <f>W53*$A$62</f>
        <v/>
      </c>
      <c r="X62" s="17">
        <f>X53*$A$62</f>
        <v/>
      </c>
      <c r="Y62" s="17">
        <f>Y53*$A$62</f>
        <v/>
      </c>
      <c r="Z62" s="17">
        <f>Z53*$A$62</f>
        <v/>
      </c>
      <c r="AA62" s="17">
        <f>AA53*$A$62</f>
        <v/>
      </c>
      <c r="AB62" s="17">
        <f>AB53*$A$62</f>
        <v/>
      </c>
      <c r="AC62" s="17">
        <f>AC53*$A$62</f>
        <v/>
      </c>
      <c r="AD62" s="17">
        <f>AD53*$A$62</f>
        <v/>
      </c>
      <c r="AE62" s="17">
        <f>AE53*$A$62</f>
        <v/>
      </c>
      <c r="AF62" s="17">
        <f>AF53*$A$62</f>
        <v/>
      </c>
      <c r="AG62" s="17">
        <f>AG53*$A$62</f>
        <v/>
      </c>
      <c r="AH62" s="17">
        <f>AH53*$A$62</f>
        <v/>
      </c>
      <c r="AI62" s="17">
        <f>AI53*$A$62</f>
        <v/>
      </c>
      <c r="AJ62" s="17">
        <f>AJ53*$A$62</f>
        <v/>
      </c>
      <c r="AK62" s="17">
        <f>AK53*$A$62</f>
        <v/>
      </c>
      <c r="AL62" s="17">
        <f>AL53*$A$62</f>
        <v/>
      </c>
    </row>
    <row r="63" ht="12.75" customHeight="1">
      <c r="A63" s="19" t="n">
        <v>8500</v>
      </c>
      <c r="B63" s="13" t="inlineStr">
        <is>
          <t>Уборка на 1 класс в месяц</t>
        </is>
      </c>
      <c r="C63" s="17">
        <f>$A$63</f>
        <v/>
      </c>
      <c r="D63" s="17">
        <f>$A$63</f>
        <v/>
      </c>
      <c r="E63" s="17">
        <f>$A$63</f>
        <v/>
      </c>
      <c r="F63" s="17">
        <f>$A$63</f>
        <v/>
      </c>
      <c r="G63" s="17">
        <f>$A$63</f>
        <v/>
      </c>
      <c r="H63" s="17">
        <f>$A$63</f>
        <v/>
      </c>
      <c r="I63" s="17">
        <f>$A$63</f>
        <v/>
      </c>
      <c r="J63" s="17">
        <f>$A$63</f>
        <v/>
      </c>
      <c r="K63" s="17">
        <f>$A$63</f>
        <v/>
      </c>
      <c r="L63" s="17">
        <f>$A$63</f>
        <v/>
      </c>
      <c r="M63" s="17">
        <f>$A$63</f>
        <v/>
      </c>
      <c r="N63" s="17">
        <f>$A$63</f>
        <v/>
      </c>
      <c r="O63" s="17">
        <f>$A$63</f>
        <v/>
      </c>
      <c r="P63" s="17">
        <f>$A$63</f>
        <v/>
      </c>
      <c r="Q63" s="17">
        <f>$A$63</f>
        <v/>
      </c>
      <c r="R63" s="17">
        <f>$A$63</f>
        <v/>
      </c>
      <c r="S63" s="17">
        <f>$A$63</f>
        <v/>
      </c>
      <c r="T63" s="17">
        <f>$A$63</f>
        <v/>
      </c>
      <c r="U63" s="17">
        <f>$A$63</f>
        <v/>
      </c>
      <c r="V63" s="17">
        <f>$A$63</f>
        <v/>
      </c>
      <c r="W63" s="17">
        <f>$A$63</f>
        <v/>
      </c>
      <c r="X63" s="17">
        <f>$A$63</f>
        <v/>
      </c>
      <c r="Y63" s="17">
        <f>$A$63</f>
        <v/>
      </c>
      <c r="Z63" s="17">
        <f>$A$63</f>
        <v/>
      </c>
      <c r="AA63" s="17">
        <f>$A$63</f>
        <v/>
      </c>
      <c r="AB63" s="17">
        <f>$A$63</f>
        <v/>
      </c>
      <c r="AC63" s="17">
        <f>$A$63</f>
        <v/>
      </c>
      <c r="AD63" s="17">
        <f>$A$63</f>
        <v/>
      </c>
      <c r="AE63" s="17">
        <f>$A$63</f>
        <v/>
      </c>
      <c r="AF63" s="17">
        <f>$A$63</f>
        <v/>
      </c>
      <c r="AG63" s="17">
        <f>$A$63</f>
        <v/>
      </c>
      <c r="AH63" s="17">
        <f>$A$63</f>
        <v/>
      </c>
      <c r="AI63" s="17">
        <f>$A$63</f>
        <v/>
      </c>
      <c r="AJ63" s="17">
        <f>$A$63</f>
        <v/>
      </c>
      <c r="AK63" s="17">
        <f>$A$63</f>
        <v/>
      </c>
      <c r="AL63" s="17">
        <f>$A$63</f>
        <v/>
      </c>
    </row>
    <row r="64" ht="12.75" customHeight="1">
      <c r="A64" s="13" t="n"/>
      <c r="B64" s="8" t="inlineStr">
        <is>
          <t>ИТ, связь и интернет</t>
        </is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</row>
    <row r="65" ht="12.75" customHeight="1">
      <c r="A65" s="19" t="n">
        <v>30000</v>
      </c>
      <c r="B65" s="21" t="inlineStr">
        <is>
          <t>Менеджер отдела продаж</t>
        </is>
      </c>
      <c r="C65" s="17">
        <f>ROUNDDOWN(((C13/1000)+1),0)*$A$65</f>
        <v/>
      </c>
      <c r="D65" s="17">
        <f>ROUNDDOWN(((D13/1000)+1),0)*$A$65</f>
        <v/>
      </c>
      <c r="E65" s="17">
        <f>ROUNDDOWN(((E13/1000)+1),0)*$A$65</f>
        <v/>
      </c>
      <c r="F65" s="17">
        <f>ROUNDDOWN(((F13/1000)+1),0)*$A$65</f>
        <v/>
      </c>
      <c r="G65" s="17">
        <f>ROUNDDOWN(((G13/1000)+1),0)*$A$65</f>
        <v/>
      </c>
      <c r="H65" s="17">
        <f>ROUNDDOWN(((H13/1000)+1),0)*$A$65</f>
        <v/>
      </c>
      <c r="I65" s="17">
        <f>ROUNDDOWN(((I13/1000)+1),0)*$A$65</f>
        <v/>
      </c>
      <c r="J65" s="17">
        <f>ROUNDDOWN(((J13/1000)+1),0)*$A$65</f>
        <v/>
      </c>
      <c r="K65" s="17">
        <f>ROUNDDOWN(((K13/1000)+1),0)*$A$65</f>
        <v/>
      </c>
      <c r="L65" s="17">
        <f>ROUNDDOWN(((L13/1000)+1),0)*$A$65</f>
        <v/>
      </c>
      <c r="M65" s="17">
        <f>ROUNDDOWN(((M13/1000)+1),0)*$A$65</f>
        <v/>
      </c>
      <c r="N65" s="17">
        <f>ROUNDDOWN(((N13/1000)+1),0)*$A$65</f>
        <v/>
      </c>
      <c r="O65" s="17">
        <f>ROUNDDOWN(((O13/1000)+1),0)*$A$65</f>
        <v/>
      </c>
      <c r="P65" s="17">
        <f>ROUNDDOWN(((P13/1000)+1),0)*$A$65</f>
        <v/>
      </c>
      <c r="Q65" s="17">
        <f>ROUNDDOWN(((Q13/1000)+1),0)*$A$65</f>
        <v/>
      </c>
      <c r="R65" s="17">
        <f>ROUNDDOWN(((R13/1000)+1),0)*$A$65</f>
        <v/>
      </c>
      <c r="S65" s="17">
        <f>ROUNDDOWN(((S13/1000)+1),0)*$A$65</f>
        <v/>
      </c>
      <c r="T65" s="17">
        <f>ROUNDDOWN(((T13/1000)+1),0)*$A$65</f>
        <v/>
      </c>
      <c r="U65" s="17">
        <f>ROUNDDOWN(((U13/1000)+1),0)*$A$65</f>
        <v/>
      </c>
      <c r="V65" s="17">
        <f>ROUNDDOWN(((V13/1000)+1),0)*$A$65</f>
        <v/>
      </c>
      <c r="W65" s="17">
        <f>ROUNDDOWN(((W13/1000)+1),0)*$A$65</f>
        <v/>
      </c>
      <c r="X65" s="17">
        <f>ROUNDDOWN(((X13/1000)+1),0)*$A$65</f>
        <v/>
      </c>
      <c r="Y65" s="17">
        <f>ROUNDDOWN(((Y13/1000)+1),0)*$A$65</f>
        <v/>
      </c>
      <c r="Z65" s="17">
        <f>ROUNDDOWN(((Z13/1000)+1),0)*$A$65</f>
        <v/>
      </c>
      <c r="AA65" s="17">
        <f>ROUNDDOWN(((AA13/1000)+1),0)*$A$65</f>
        <v/>
      </c>
      <c r="AB65" s="17">
        <f>ROUNDDOWN(((AB13/1000)+1),0)*$A$65</f>
        <v/>
      </c>
      <c r="AC65" s="17">
        <f>ROUNDDOWN(((AC13/1000)+1),0)*$A$65</f>
        <v/>
      </c>
      <c r="AD65" s="17">
        <f>ROUNDDOWN(((AD13/1000)+1),0)*$A$65</f>
        <v/>
      </c>
      <c r="AE65" s="17">
        <f>ROUNDDOWN(((AE13/1000)+1),0)*$A$65</f>
        <v/>
      </c>
      <c r="AF65" s="17">
        <f>ROUNDDOWN(((AF13/1000)+1),0)*$A$65</f>
        <v/>
      </c>
      <c r="AG65" s="17">
        <f>ROUNDDOWN(((AG13/1000)+1),0)*$A$65</f>
        <v/>
      </c>
      <c r="AH65" s="17">
        <f>ROUNDDOWN(((AH13/1000)+1),0)*$A$65</f>
        <v/>
      </c>
      <c r="AI65" s="17">
        <f>ROUNDDOWN(((AI13/1000)+1),0)*$A$65</f>
        <v/>
      </c>
      <c r="AJ65" s="17">
        <f>ROUNDDOWN(((AJ13/1000)+1),0)*$A$65</f>
        <v/>
      </c>
      <c r="AK65" s="17">
        <f>ROUNDDOWN(((AK13/1000)+1),0)*$A$65</f>
        <v/>
      </c>
      <c r="AL65" s="17">
        <f>ROUNDDOWN(((AL13/1000)+1),0)*$A$65</f>
        <v/>
      </c>
    </row>
    <row r="66" ht="12.75" customHeight="1">
      <c r="A66" s="19" t="n">
        <v>60000</v>
      </c>
      <c r="B66" s="29" t="inlineStr">
        <is>
          <t>Услуги юриста, бухгалтера</t>
        </is>
      </c>
      <c r="C66" s="17" t="n">
        <v>60000</v>
      </c>
      <c r="D66" s="17" t="n">
        <v>60000</v>
      </c>
      <c r="E66" s="17" t="n">
        <v>60000</v>
      </c>
      <c r="F66" s="17" t="n">
        <v>60000</v>
      </c>
      <c r="G66" s="17" t="n">
        <v>60000</v>
      </c>
      <c r="H66" s="17" t="n">
        <v>60000</v>
      </c>
      <c r="I66" s="17" t="n">
        <v>60000</v>
      </c>
      <c r="J66" s="17" t="n">
        <v>60000</v>
      </c>
      <c r="K66" s="17" t="n">
        <v>60000</v>
      </c>
      <c r="L66" s="17" t="n">
        <v>60000</v>
      </c>
      <c r="M66" s="17" t="n">
        <v>60000</v>
      </c>
      <c r="N66" s="17" t="n">
        <v>60000</v>
      </c>
      <c r="O66" s="17" t="n">
        <v>60000</v>
      </c>
      <c r="P66" s="17" t="n">
        <v>60000</v>
      </c>
      <c r="Q66" s="17" t="n">
        <v>60000</v>
      </c>
      <c r="R66" s="17" t="n">
        <v>60000</v>
      </c>
      <c r="S66" s="17" t="n">
        <v>60000</v>
      </c>
      <c r="T66" s="17" t="n">
        <v>60000</v>
      </c>
      <c r="U66" s="17" t="n">
        <v>60000</v>
      </c>
      <c r="V66" s="17" t="n">
        <v>60000</v>
      </c>
      <c r="W66" s="17" t="n">
        <v>60000</v>
      </c>
      <c r="X66" s="17" t="n">
        <v>60000</v>
      </c>
      <c r="Y66" s="17" t="n">
        <v>60000</v>
      </c>
      <c r="Z66" s="17" t="n">
        <v>60000</v>
      </c>
      <c r="AA66" s="17" t="n">
        <v>60000</v>
      </c>
      <c r="AB66" s="17" t="n">
        <v>60000</v>
      </c>
      <c r="AC66" s="17" t="n">
        <v>60000</v>
      </c>
      <c r="AD66" s="17" t="n">
        <v>60000</v>
      </c>
      <c r="AE66" s="17" t="n">
        <v>60000</v>
      </c>
      <c r="AF66" s="17" t="n">
        <v>60000</v>
      </c>
      <c r="AG66" s="17" t="n">
        <v>60000</v>
      </c>
      <c r="AH66" s="17" t="n">
        <v>60000</v>
      </c>
      <c r="AI66" s="17" t="n">
        <v>60000</v>
      </c>
      <c r="AJ66" s="17" t="n">
        <v>60000</v>
      </c>
      <c r="AK66" s="17" t="n">
        <v>60000</v>
      </c>
      <c r="AL66" s="17" t="n">
        <v>60000</v>
      </c>
    </row>
    <row r="67" ht="12.75" customHeight="1">
      <c r="A67" s="19" t="n">
        <v>3500</v>
      </c>
      <c r="B67" s="21" t="inlineStr">
        <is>
          <t>Интернет</t>
        </is>
      </c>
      <c r="C67" s="17">
        <f>$A$67</f>
        <v/>
      </c>
      <c r="D67" s="17">
        <f>$A$67</f>
        <v/>
      </c>
      <c r="E67" s="17">
        <f>$A$67</f>
        <v/>
      </c>
      <c r="F67" s="17">
        <f>$A$67</f>
        <v/>
      </c>
      <c r="G67" s="17">
        <f>$A$67</f>
        <v/>
      </c>
      <c r="H67" s="17">
        <f>$A$67</f>
        <v/>
      </c>
      <c r="I67" s="17">
        <f>$A$67</f>
        <v/>
      </c>
      <c r="J67" s="17">
        <f>$A$67</f>
        <v/>
      </c>
      <c r="K67" s="17">
        <f>$A$67</f>
        <v/>
      </c>
      <c r="L67" s="17">
        <f>$A$67</f>
        <v/>
      </c>
      <c r="M67" s="17">
        <f>$A$67</f>
        <v/>
      </c>
      <c r="N67" s="17">
        <f>$A$67</f>
        <v/>
      </c>
      <c r="O67" s="17">
        <f>$A$67</f>
        <v/>
      </c>
      <c r="P67" s="17">
        <f>$A$67</f>
        <v/>
      </c>
      <c r="Q67" s="17">
        <f>$A$67</f>
        <v/>
      </c>
      <c r="R67" s="17">
        <f>$A$67</f>
        <v/>
      </c>
      <c r="S67" s="17">
        <f>$A$67</f>
        <v/>
      </c>
      <c r="T67" s="17">
        <f>$A$67</f>
        <v/>
      </c>
      <c r="U67" s="17">
        <f>$A$67</f>
        <v/>
      </c>
      <c r="V67" s="17">
        <f>$A$67</f>
        <v/>
      </c>
      <c r="W67" s="17">
        <f>$A$67</f>
        <v/>
      </c>
      <c r="X67" s="17">
        <f>$A$67</f>
        <v/>
      </c>
      <c r="Y67" s="17">
        <f>$A$67</f>
        <v/>
      </c>
      <c r="Z67" s="17">
        <f>$A$67</f>
        <v/>
      </c>
      <c r="AA67" s="17">
        <f>$A$67</f>
        <v/>
      </c>
      <c r="AB67" s="17">
        <f>$A$67</f>
        <v/>
      </c>
      <c r="AC67" s="17">
        <f>$A$67</f>
        <v/>
      </c>
      <c r="AD67" s="17">
        <f>$A$67</f>
        <v/>
      </c>
      <c r="AE67" s="17">
        <f>$A$67</f>
        <v/>
      </c>
      <c r="AF67" s="17">
        <f>$A$67</f>
        <v/>
      </c>
      <c r="AG67" s="17">
        <f>$A$67</f>
        <v/>
      </c>
      <c r="AH67" s="17">
        <f>$A$67</f>
        <v/>
      </c>
      <c r="AI67" s="17">
        <f>$A$67</f>
        <v/>
      </c>
      <c r="AJ67" s="17">
        <f>$A$67</f>
        <v/>
      </c>
      <c r="AK67" s="17">
        <f>$A$67</f>
        <v/>
      </c>
      <c r="AL67" s="17">
        <f>$A$67</f>
        <v/>
      </c>
    </row>
    <row r="68" ht="12.75" customHeight="1">
      <c r="A68" s="19" t="n">
        <v>1600</v>
      </c>
      <c r="B68" s="21" t="inlineStr">
        <is>
          <t>Сотовая связь</t>
        </is>
      </c>
      <c r="C68" s="17">
        <f>$A$68</f>
        <v/>
      </c>
      <c r="D68" s="17">
        <f>$A$68</f>
        <v/>
      </c>
      <c r="E68" s="17">
        <f>$A$68</f>
        <v/>
      </c>
      <c r="F68" s="17">
        <f>$A$68</f>
        <v/>
      </c>
      <c r="G68" s="17">
        <f>$A$68</f>
        <v/>
      </c>
      <c r="H68" s="17">
        <f>$A$68</f>
        <v/>
      </c>
      <c r="I68" s="17">
        <f>$A$68</f>
        <v/>
      </c>
      <c r="J68" s="17">
        <f>$A$68</f>
        <v/>
      </c>
      <c r="K68" s="17">
        <f>$A$68</f>
        <v/>
      </c>
      <c r="L68" s="17">
        <f>$A$68</f>
        <v/>
      </c>
      <c r="M68" s="17">
        <f>$A$68</f>
        <v/>
      </c>
      <c r="N68" s="17">
        <f>$A$68</f>
        <v/>
      </c>
      <c r="O68" s="17">
        <f>$A$68</f>
        <v/>
      </c>
      <c r="P68" s="17">
        <f>$A$68</f>
        <v/>
      </c>
      <c r="Q68" s="17">
        <f>$A$68</f>
        <v/>
      </c>
      <c r="R68" s="17">
        <f>$A$68</f>
        <v/>
      </c>
      <c r="S68" s="17">
        <f>$A$68</f>
        <v/>
      </c>
      <c r="T68" s="17">
        <f>$A$68</f>
        <v/>
      </c>
      <c r="U68" s="17">
        <f>$A$68</f>
        <v/>
      </c>
      <c r="V68" s="17">
        <f>$A$68</f>
        <v/>
      </c>
      <c r="W68" s="17">
        <f>$A$68</f>
        <v/>
      </c>
      <c r="X68" s="17">
        <f>$A$68</f>
        <v/>
      </c>
      <c r="Y68" s="17">
        <f>$A$68</f>
        <v/>
      </c>
      <c r="Z68" s="17">
        <f>$A$68</f>
        <v/>
      </c>
      <c r="AA68" s="17">
        <f>$A$68</f>
        <v/>
      </c>
      <c r="AB68" s="17">
        <f>$A$68</f>
        <v/>
      </c>
      <c r="AC68" s="17">
        <f>$A$68</f>
        <v/>
      </c>
      <c r="AD68" s="17">
        <f>$A$68</f>
        <v/>
      </c>
      <c r="AE68" s="17">
        <f>$A$68</f>
        <v/>
      </c>
      <c r="AF68" s="17">
        <f>$A$68</f>
        <v/>
      </c>
      <c r="AG68" s="17">
        <f>$A$68</f>
        <v/>
      </c>
      <c r="AH68" s="17">
        <f>$A$68</f>
        <v/>
      </c>
      <c r="AI68" s="17">
        <f>$A$68</f>
        <v/>
      </c>
      <c r="AJ68" s="17">
        <f>$A$68</f>
        <v/>
      </c>
      <c r="AK68" s="17">
        <f>$A$68</f>
        <v/>
      </c>
      <c r="AL68" s="17">
        <f>$A$68</f>
        <v/>
      </c>
    </row>
    <row r="69" ht="12.75" customHeight="1">
      <c r="A69" s="19" t="n">
        <v>10000</v>
      </c>
      <c r="B69" s="21" t="inlineStr">
        <is>
          <t>Техническая поддержка сайта</t>
        </is>
      </c>
      <c r="C69" s="17">
        <f>$A$69</f>
        <v/>
      </c>
      <c r="D69" s="17">
        <f>$A$69</f>
        <v/>
      </c>
      <c r="E69" s="17">
        <f>$A$69</f>
        <v/>
      </c>
      <c r="F69" s="17">
        <f>$A$69</f>
        <v/>
      </c>
      <c r="G69" s="17">
        <f>$A$69</f>
        <v/>
      </c>
      <c r="H69" s="17">
        <f>$A$69</f>
        <v/>
      </c>
      <c r="I69" s="17">
        <f>$A$69</f>
        <v/>
      </c>
      <c r="J69" s="17">
        <f>$A$69</f>
        <v/>
      </c>
      <c r="K69" s="17">
        <f>$A$69</f>
        <v/>
      </c>
      <c r="L69" s="17">
        <f>$A$69</f>
        <v/>
      </c>
      <c r="M69" s="17">
        <f>$A$69</f>
        <v/>
      </c>
      <c r="N69" s="17">
        <f>$A$69</f>
        <v/>
      </c>
      <c r="O69" s="17">
        <f>$A$69</f>
        <v/>
      </c>
      <c r="P69" s="17">
        <f>$A$69</f>
        <v/>
      </c>
      <c r="Q69" s="17">
        <f>$A$69</f>
        <v/>
      </c>
      <c r="R69" s="17">
        <f>$A$69</f>
        <v/>
      </c>
      <c r="S69" s="17">
        <f>$A$69</f>
        <v/>
      </c>
      <c r="T69" s="17">
        <f>$A$69</f>
        <v/>
      </c>
      <c r="U69" s="17">
        <f>$A$69</f>
        <v/>
      </c>
      <c r="V69" s="17">
        <f>$A$69</f>
        <v/>
      </c>
      <c r="W69" s="17">
        <f>$A$69</f>
        <v/>
      </c>
      <c r="X69" s="17">
        <f>$A$69</f>
        <v/>
      </c>
      <c r="Y69" s="17">
        <f>$A$69</f>
        <v/>
      </c>
      <c r="Z69" s="17">
        <f>$A$69</f>
        <v/>
      </c>
      <c r="AA69" s="17">
        <f>$A$69</f>
        <v/>
      </c>
      <c r="AB69" s="17">
        <f>$A$69</f>
        <v/>
      </c>
      <c r="AC69" s="17">
        <f>$A$69</f>
        <v/>
      </c>
      <c r="AD69" s="17">
        <f>$A$69</f>
        <v/>
      </c>
      <c r="AE69" s="17">
        <f>$A$69</f>
        <v/>
      </c>
      <c r="AF69" s="17">
        <f>$A$69</f>
        <v/>
      </c>
      <c r="AG69" s="17">
        <f>$A$69</f>
        <v/>
      </c>
      <c r="AH69" s="17">
        <f>$A$69</f>
        <v/>
      </c>
      <c r="AI69" s="17">
        <f>$A$69</f>
        <v/>
      </c>
      <c r="AJ69" s="17">
        <f>$A$69</f>
        <v/>
      </c>
      <c r="AK69" s="17">
        <f>$A$69</f>
        <v/>
      </c>
      <c r="AL69" s="17">
        <f>$A$69</f>
        <v/>
      </c>
    </row>
    <row r="70" ht="12.75" customHeight="1">
      <c r="A70" s="19" t="n">
        <v>3000</v>
      </c>
      <c r="B70" s="21" t="inlineStr">
        <is>
          <t>Аренда веб-хостинга</t>
        </is>
      </c>
      <c r="C70" s="17">
        <f>$A$70</f>
        <v/>
      </c>
      <c r="D70" s="17">
        <f>$A$70</f>
        <v/>
      </c>
      <c r="E70" s="17">
        <f>$A$70</f>
        <v/>
      </c>
      <c r="F70" s="17">
        <f>$A$70</f>
        <v/>
      </c>
      <c r="G70" s="17">
        <f>$A$70</f>
        <v/>
      </c>
      <c r="H70" s="17">
        <f>$A$70</f>
        <v/>
      </c>
      <c r="I70" s="17">
        <f>$A$70</f>
        <v/>
      </c>
      <c r="J70" s="17">
        <f>$A$70</f>
        <v/>
      </c>
      <c r="K70" s="17">
        <f>$A$70</f>
        <v/>
      </c>
      <c r="L70" s="17">
        <f>$A$70</f>
        <v/>
      </c>
      <c r="M70" s="17">
        <f>$A$70</f>
        <v/>
      </c>
      <c r="N70" s="17">
        <f>$A$70</f>
        <v/>
      </c>
      <c r="O70" s="17">
        <f>$A$70</f>
        <v/>
      </c>
      <c r="P70" s="17">
        <f>$A$70</f>
        <v/>
      </c>
      <c r="Q70" s="17">
        <f>$A$70</f>
        <v/>
      </c>
      <c r="R70" s="17">
        <f>$A$70</f>
        <v/>
      </c>
      <c r="S70" s="17">
        <f>$A$70</f>
        <v/>
      </c>
      <c r="T70" s="17">
        <f>$A$70</f>
        <v/>
      </c>
      <c r="U70" s="17">
        <f>$A$70</f>
        <v/>
      </c>
      <c r="V70" s="17">
        <f>$A$70</f>
        <v/>
      </c>
      <c r="W70" s="17">
        <f>$A$70</f>
        <v/>
      </c>
      <c r="X70" s="17">
        <f>$A$70</f>
        <v/>
      </c>
      <c r="Y70" s="17">
        <f>$A$70</f>
        <v/>
      </c>
      <c r="Z70" s="17">
        <f>$A$70</f>
        <v/>
      </c>
      <c r="AA70" s="17">
        <f>$A$70</f>
        <v/>
      </c>
      <c r="AB70" s="17">
        <f>$A$70</f>
        <v/>
      </c>
      <c r="AC70" s="17">
        <f>$A$70</f>
        <v/>
      </c>
      <c r="AD70" s="17">
        <f>$A$70</f>
        <v/>
      </c>
      <c r="AE70" s="17">
        <f>$A$70</f>
        <v/>
      </c>
      <c r="AF70" s="17">
        <f>$A$70</f>
        <v/>
      </c>
      <c r="AG70" s="17">
        <f>$A$70</f>
        <v/>
      </c>
      <c r="AH70" s="17">
        <f>$A$70</f>
        <v/>
      </c>
      <c r="AI70" s="17">
        <f>$A$70</f>
        <v/>
      </c>
      <c r="AJ70" s="17">
        <f>$A$70</f>
        <v/>
      </c>
      <c r="AK70" s="17">
        <f>$A$70</f>
        <v/>
      </c>
      <c r="AL70" s="17">
        <f>$A$70</f>
        <v/>
      </c>
    </row>
    <row r="71" ht="12.75" customHeight="1">
      <c r="A71" s="19" t="n">
        <v>55000</v>
      </c>
      <c r="B71" s="13" t="inlineStr">
        <is>
          <t>SMM</t>
        </is>
      </c>
      <c r="C71" s="17">
        <f>$A$71</f>
        <v/>
      </c>
      <c r="D71" s="17">
        <f>$A$71</f>
        <v/>
      </c>
      <c r="E71" s="17">
        <f>$A$71</f>
        <v/>
      </c>
      <c r="F71" s="17">
        <f>$A$71</f>
        <v/>
      </c>
      <c r="G71" s="17">
        <f>$A$71</f>
        <v/>
      </c>
      <c r="H71" s="17">
        <f>$A$71</f>
        <v/>
      </c>
      <c r="I71" s="17">
        <f>$A$71</f>
        <v/>
      </c>
      <c r="J71" s="17">
        <f>$A$71</f>
        <v/>
      </c>
      <c r="K71" s="17">
        <f>$A$71</f>
        <v/>
      </c>
      <c r="L71" s="17">
        <f>$A$71</f>
        <v/>
      </c>
      <c r="M71" s="17">
        <f>$A$71</f>
        <v/>
      </c>
      <c r="N71" s="17">
        <f>$A$71</f>
        <v/>
      </c>
      <c r="O71" s="17">
        <f>$A$71</f>
        <v/>
      </c>
      <c r="P71" s="17">
        <f>$A$71</f>
        <v/>
      </c>
      <c r="Q71" s="17">
        <f>$A$71</f>
        <v/>
      </c>
      <c r="R71" s="17">
        <f>$A$71</f>
        <v/>
      </c>
      <c r="S71" s="17">
        <f>$A$71</f>
        <v/>
      </c>
      <c r="T71" s="17">
        <f>$A$71</f>
        <v/>
      </c>
      <c r="U71" s="17">
        <f>$A$71</f>
        <v/>
      </c>
      <c r="V71" s="17">
        <f>$A$71</f>
        <v/>
      </c>
      <c r="W71" s="17">
        <f>$A$71</f>
        <v/>
      </c>
      <c r="X71" s="17">
        <f>$A$71</f>
        <v/>
      </c>
      <c r="Y71" s="17">
        <f>$A$71</f>
        <v/>
      </c>
      <c r="Z71" s="17">
        <f>$A$71</f>
        <v/>
      </c>
      <c r="AA71" s="17">
        <f>$A$71</f>
        <v/>
      </c>
      <c r="AB71" s="17">
        <f>$A$71</f>
        <v/>
      </c>
      <c r="AC71" s="17">
        <f>$A$71</f>
        <v/>
      </c>
      <c r="AD71" s="17">
        <f>$A$71</f>
        <v/>
      </c>
      <c r="AE71" s="17">
        <f>$A$71</f>
        <v/>
      </c>
      <c r="AF71" s="17">
        <f>$A$71</f>
        <v/>
      </c>
      <c r="AG71" s="17">
        <f>$A$71</f>
        <v/>
      </c>
      <c r="AH71" s="17">
        <f>$A$71</f>
        <v/>
      </c>
      <c r="AI71" s="17">
        <f>$A$71</f>
        <v/>
      </c>
      <c r="AJ71" s="17">
        <f>$A$71</f>
        <v/>
      </c>
      <c r="AK71" s="17">
        <f>$A$71</f>
        <v/>
      </c>
      <c r="AL71" s="17">
        <f>$A$71</f>
        <v/>
      </c>
    </row>
    <row r="72" ht="12.75" customHeight="1">
      <c r="A72" s="20" t="n">
        <v>0.05</v>
      </c>
      <c r="B72" s="13" t="inlineStr">
        <is>
          <t>Прочее</t>
        </is>
      </c>
      <c r="C72" s="17">
        <f>C5*$A$72</f>
        <v/>
      </c>
      <c r="D72" s="17">
        <f>D5*$A$72</f>
        <v/>
      </c>
      <c r="E72" s="17">
        <f>E5*$A$72</f>
        <v/>
      </c>
      <c r="F72" s="17">
        <f>F5*$A$72</f>
        <v/>
      </c>
      <c r="G72" s="17">
        <f>G5*$A$72</f>
        <v/>
      </c>
      <c r="H72" s="17">
        <f>H5*$A$72</f>
        <v/>
      </c>
      <c r="I72" s="17">
        <f>I5*$A$72</f>
        <v/>
      </c>
      <c r="J72" s="17">
        <f>J5*$A$72</f>
        <v/>
      </c>
      <c r="K72" s="17">
        <f>K5*$A$72</f>
        <v/>
      </c>
      <c r="L72" s="17">
        <f>L5*$A$72</f>
        <v/>
      </c>
      <c r="M72" s="17">
        <f>M5*$A$72</f>
        <v/>
      </c>
      <c r="N72" s="17">
        <f>N5*$A$72</f>
        <v/>
      </c>
      <c r="O72" s="17">
        <f>O5*$A$72</f>
        <v/>
      </c>
      <c r="P72" s="17">
        <f>P5*$A$72</f>
        <v/>
      </c>
      <c r="Q72" s="17">
        <f>Q5*$A$72</f>
        <v/>
      </c>
      <c r="R72" s="17">
        <f>R5*$A$72</f>
        <v/>
      </c>
      <c r="S72" s="17">
        <f>S5*$A$72</f>
        <v/>
      </c>
      <c r="T72" s="17">
        <f>T5*$A$72</f>
        <v/>
      </c>
      <c r="U72" s="17">
        <f>U5*$A$72</f>
        <v/>
      </c>
      <c r="V72" s="17">
        <f>V5*$A$72</f>
        <v/>
      </c>
      <c r="W72" s="17">
        <f>W5*$A$72</f>
        <v/>
      </c>
      <c r="X72" s="17">
        <f>X5*$A$72</f>
        <v/>
      </c>
      <c r="Y72" s="17">
        <f>Y5*$A$72</f>
        <v/>
      </c>
      <c r="Z72" s="17">
        <f>Z5*$A$72</f>
        <v/>
      </c>
      <c r="AA72" s="17">
        <f>AA5*$A$72</f>
        <v/>
      </c>
      <c r="AB72" s="17">
        <f>AB5*$A$72</f>
        <v/>
      </c>
      <c r="AC72" s="17">
        <f>AC5*$A$72</f>
        <v/>
      </c>
      <c r="AD72" s="17">
        <f>AD5*$A$72</f>
        <v/>
      </c>
      <c r="AE72" s="17">
        <f>AE5*$A$72</f>
        <v/>
      </c>
      <c r="AF72" s="17">
        <f>AF5*$A$72</f>
        <v/>
      </c>
      <c r="AG72" s="17">
        <f>AG5*$A$72</f>
        <v/>
      </c>
      <c r="AH72" s="17">
        <f>AH5*$A$72</f>
        <v/>
      </c>
      <c r="AI72" s="17">
        <f>AI5*$A$72</f>
        <v/>
      </c>
      <c r="AJ72" s="17">
        <f>AJ5*$A$72</f>
        <v/>
      </c>
      <c r="AK72" s="17">
        <f>AK5*$A$72</f>
        <v/>
      </c>
      <c r="AL72" s="17">
        <f>AL5*$A$72</f>
        <v/>
      </c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</row>
    <row r="74" ht="12.75" customHeight="1">
      <c r="A74" s="13" t="n"/>
      <c r="B74" s="5" t="inlineStr">
        <is>
          <t>ПРИБЫЛЬ (EBITDA)</t>
        </is>
      </c>
      <c r="C74" s="22">
        <f>C58-C60</f>
        <v/>
      </c>
      <c r="D74" s="22">
        <f>D58-D60</f>
        <v/>
      </c>
      <c r="E74" s="22">
        <f>E58-E60</f>
        <v/>
      </c>
      <c r="F74" s="22">
        <f>F58-F60</f>
        <v/>
      </c>
      <c r="G74" s="22">
        <f>G58-G60</f>
        <v/>
      </c>
      <c r="H74" s="22">
        <f>H58-H60</f>
        <v/>
      </c>
      <c r="I74" s="22">
        <f>I58-I60</f>
        <v/>
      </c>
      <c r="J74" s="22">
        <f>J58-J60</f>
        <v/>
      </c>
      <c r="K74" s="22">
        <f>K58-K60</f>
        <v/>
      </c>
      <c r="L74" s="22">
        <f>L58-L60</f>
        <v/>
      </c>
      <c r="M74" s="22">
        <f>M58-M60</f>
        <v/>
      </c>
      <c r="N74" s="22">
        <f>N58-N60</f>
        <v/>
      </c>
      <c r="O74" s="22">
        <f>O58-O60</f>
        <v/>
      </c>
      <c r="P74" s="22">
        <f>P58-P60</f>
        <v/>
      </c>
      <c r="Q74" s="22">
        <f>Q58-Q60</f>
        <v/>
      </c>
      <c r="R74" s="22">
        <f>R58-R60</f>
        <v/>
      </c>
      <c r="S74" s="22">
        <f>S58-S60</f>
        <v/>
      </c>
      <c r="T74" s="22">
        <f>T58-T60</f>
        <v/>
      </c>
      <c r="U74" s="22">
        <f>U58-U60</f>
        <v/>
      </c>
      <c r="V74" s="22">
        <f>V58-V60</f>
        <v/>
      </c>
      <c r="W74" s="22">
        <f>W58-W60</f>
        <v/>
      </c>
      <c r="X74" s="22">
        <f>X58-X60</f>
        <v/>
      </c>
      <c r="Y74" s="22">
        <f>Y58-Y60</f>
        <v/>
      </c>
      <c r="Z74" s="22">
        <f>Z58-Z60</f>
        <v/>
      </c>
      <c r="AA74" s="22">
        <f>AA58-AA60</f>
        <v/>
      </c>
      <c r="AB74" s="22">
        <f>AB58-AB60</f>
        <v/>
      </c>
      <c r="AC74" s="22">
        <f>AC58-AC60</f>
        <v/>
      </c>
      <c r="AD74" s="22">
        <f>AD58-AD60</f>
        <v/>
      </c>
      <c r="AE74" s="22">
        <f>AE58-AE60</f>
        <v/>
      </c>
      <c r="AF74" s="22">
        <f>AF58-AF60</f>
        <v/>
      </c>
      <c r="AG74" s="22">
        <f>AG58-AG60</f>
        <v/>
      </c>
      <c r="AH74" s="22">
        <f>AH58-AH60</f>
        <v/>
      </c>
      <c r="AI74" s="22">
        <f>AI58-AI60</f>
        <v/>
      </c>
      <c r="AJ74" s="22">
        <f>AJ58-AJ60</f>
        <v/>
      </c>
      <c r="AK74" s="22">
        <f>AK58-AK60</f>
        <v/>
      </c>
      <c r="AL74" s="22">
        <f>AL58-AL60</f>
        <v/>
      </c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</row>
    <row r="76" ht="12.75" customHeight="1">
      <c r="A76" s="20" t="n">
        <v>0.07000000000000001</v>
      </c>
      <c r="B76" s="13" t="inlineStr">
        <is>
          <t>Налоги (УСН)</t>
        </is>
      </c>
      <c r="C76" s="17">
        <f>$A$76*C$5</f>
        <v/>
      </c>
      <c r="D76" s="17">
        <f>$A$76*D$5</f>
        <v/>
      </c>
      <c r="E76" s="17">
        <f>$A$76*E$5</f>
        <v/>
      </c>
      <c r="F76" s="17">
        <f>$A$76*F$5</f>
        <v/>
      </c>
      <c r="G76" s="17">
        <f>$A$76*G$5</f>
        <v/>
      </c>
      <c r="H76" s="17">
        <f>$A$76*H$5</f>
        <v/>
      </c>
      <c r="I76" s="17">
        <f>$A$76*I$5</f>
        <v/>
      </c>
      <c r="J76" s="17">
        <f>$A$76*J$5</f>
        <v/>
      </c>
      <c r="K76" s="17">
        <f>$A$76*K$5</f>
        <v/>
      </c>
      <c r="L76" s="17">
        <f>$A$76*L$5</f>
        <v/>
      </c>
      <c r="M76" s="17">
        <f>$A$76*M$5</f>
        <v/>
      </c>
      <c r="N76" s="17">
        <f>$A$76*N$5</f>
        <v/>
      </c>
      <c r="O76" s="17">
        <f>$A$76*O$5</f>
        <v/>
      </c>
      <c r="P76" s="17">
        <f>$A$76*P$5</f>
        <v/>
      </c>
      <c r="Q76" s="17">
        <f>$A$76*Q$5</f>
        <v/>
      </c>
      <c r="R76" s="17">
        <f>$A$76*R$5</f>
        <v/>
      </c>
      <c r="S76" s="17">
        <f>$A$76*S$5</f>
        <v/>
      </c>
      <c r="T76" s="17">
        <f>$A$76*T$5</f>
        <v/>
      </c>
      <c r="U76" s="17">
        <f>$A$76*U$5</f>
        <v/>
      </c>
      <c r="V76" s="17">
        <f>$A$76*V$5</f>
        <v/>
      </c>
      <c r="W76" s="17">
        <f>$A$76*W$5</f>
        <v/>
      </c>
      <c r="X76" s="17">
        <f>$A$76*X$5</f>
        <v/>
      </c>
      <c r="Y76" s="17">
        <f>$A$76*Y$5</f>
        <v/>
      </c>
      <c r="Z76" s="17">
        <f>$A$76*Z$5</f>
        <v/>
      </c>
      <c r="AA76" s="17">
        <f>$A$76*AA$5</f>
        <v/>
      </c>
      <c r="AB76" s="17">
        <f>$A$76*AB$5</f>
        <v/>
      </c>
      <c r="AC76" s="17">
        <f>$A$76*AC$5</f>
        <v/>
      </c>
      <c r="AD76" s="17">
        <f>$A$76*AD$5</f>
        <v/>
      </c>
      <c r="AE76" s="17">
        <f>$A$76*AE$5</f>
        <v/>
      </c>
      <c r="AF76" s="17">
        <f>$A$76*AF$5</f>
        <v/>
      </c>
      <c r="AG76" s="17">
        <f>$A$76*AG$5</f>
        <v/>
      </c>
      <c r="AH76" s="17">
        <f>$A$76*AH$5</f>
        <v/>
      </c>
      <c r="AI76" s="17">
        <f>$A$76*AI$5</f>
        <v/>
      </c>
      <c r="AJ76" s="17">
        <f>$A$76*AJ$5</f>
        <v/>
      </c>
      <c r="AK76" s="17">
        <f>$A$76*AK$5</f>
        <v/>
      </c>
      <c r="AL76" s="17">
        <f>$A$76*AL$5</f>
        <v/>
      </c>
    </row>
    <row r="77" ht="12.75" customHeight="1">
      <c r="A77" s="13" t="n"/>
      <c r="B77" s="13" t="inlineStr">
        <is>
          <t>Амортизация</t>
        </is>
      </c>
      <c r="C77" s="17">
        <f>$A$84/24</f>
        <v/>
      </c>
      <c r="D77" s="17">
        <f>$A$84/24</f>
        <v/>
      </c>
      <c r="E77" s="17">
        <f>$A$84/24</f>
        <v/>
      </c>
      <c r="F77" s="17">
        <f>$A$84/24</f>
        <v/>
      </c>
      <c r="G77" s="17">
        <f>$A$84/24</f>
        <v/>
      </c>
      <c r="H77" s="17">
        <f>$A$84/24</f>
        <v/>
      </c>
      <c r="I77" s="17">
        <f>$A$84/24</f>
        <v/>
      </c>
      <c r="J77" s="17">
        <f>$A$84/24</f>
        <v/>
      </c>
      <c r="K77" s="17">
        <f>$A$84/24</f>
        <v/>
      </c>
      <c r="L77" s="17">
        <f>$A$84/24</f>
        <v/>
      </c>
      <c r="M77" s="17">
        <f>$A$84/24</f>
        <v/>
      </c>
      <c r="N77" s="17">
        <f>$A$84/24</f>
        <v/>
      </c>
      <c r="O77" s="17">
        <f>$A$84/24</f>
        <v/>
      </c>
      <c r="P77" s="17">
        <f>$A$84/24</f>
        <v/>
      </c>
      <c r="Q77" s="17">
        <f>$A$84/24</f>
        <v/>
      </c>
      <c r="R77" s="17">
        <f>$A$84/24</f>
        <v/>
      </c>
      <c r="S77" s="17">
        <f>$A$84/24</f>
        <v/>
      </c>
      <c r="T77" s="17">
        <f>$A$84/24</f>
        <v/>
      </c>
      <c r="U77" s="17">
        <f>$A$84/24</f>
        <v/>
      </c>
      <c r="V77" s="17">
        <f>$A$84/24</f>
        <v/>
      </c>
      <c r="W77" s="17">
        <f>$A$84/24</f>
        <v/>
      </c>
      <c r="X77" s="17">
        <f>$A$84/24</f>
        <v/>
      </c>
      <c r="Y77" s="17">
        <f>$A$84/24</f>
        <v/>
      </c>
      <c r="Z77" s="17">
        <f>$A$84/24</f>
        <v/>
      </c>
      <c r="AA77" s="17">
        <f>$A$84/24</f>
        <v/>
      </c>
      <c r="AB77" s="17">
        <f>$A$84/24</f>
        <v/>
      </c>
      <c r="AC77" s="17">
        <f>$A$84/24</f>
        <v/>
      </c>
      <c r="AD77" s="17">
        <f>$A$84/24</f>
        <v/>
      </c>
      <c r="AE77" s="17">
        <f>$A$84/24</f>
        <v/>
      </c>
      <c r="AF77" s="17">
        <f>$A$84/24</f>
        <v/>
      </c>
      <c r="AG77" s="17">
        <f>$A$84/24</f>
        <v/>
      </c>
      <c r="AH77" s="17">
        <f>$A$84/24</f>
        <v/>
      </c>
      <c r="AI77" s="17">
        <f>$A$84/24</f>
        <v/>
      </c>
      <c r="AJ77" s="17">
        <f>$A$84/24</f>
        <v/>
      </c>
      <c r="AK77" s="17">
        <f>$A$84/24</f>
        <v/>
      </c>
      <c r="AL77" s="17">
        <f>$A$84/24</f>
        <v/>
      </c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</row>
    <row r="79" ht="12.75" customHeight="1">
      <c r="A79" s="8" t="n"/>
      <c r="B79" s="8" t="inlineStr">
        <is>
          <t>ЧИСТАЯ ПРИБЫЛЬ (УБЫТОК)</t>
        </is>
      </c>
      <c r="C79" s="9">
        <f>C74-SUM(C76:C78)</f>
        <v/>
      </c>
      <c r="D79" s="9">
        <f>D74-SUM(D76:D78)</f>
        <v/>
      </c>
      <c r="E79" s="9">
        <f>E74-SUM(E76:E78)</f>
        <v/>
      </c>
      <c r="F79" s="9">
        <f>F74-SUM(F76:F78)</f>
        <v/>
      </c>
      <c r="G79" s="9">
        <f>G74-SUM(G76:G78)</f>
        <v/>
      </c>
      <c r="H79" s="9">
        <f>H74-SUM(H76:H78)</f>
        <v/>
      </c>
      <c r="I79" s="9">
        <f>I74-SUM(I76:I78)</f>
        <v/>
      </c>
      <c r="J79" s="9">
        <f>J74-SUM(J76:J78)</f>
        <v/>
      </c>
      <c r="K79" s="9">
        <f>K74-SUM(K76:K78)</f>
        <v/>
      </c>
      <c r="L79" s="9">
        <f>L74-SUM(L76:L78)</f>
        <v/>
      </c>
      <c r="M79" s="9">
        <f>M74-SUM(M76:M78)</f>
        <v/>
      </c>
      <c r="N79" s="9">
        <f>N74-SUM(N76:N78)</f>
        <v/>
      </c>
      <c r="O79" s="9">
        <f>O74-SUM(O76:O78)</f>
        <v/>
      </c>
      <c r="P79" s="9">
        <f>P74-SUM(P76:P78)</f>
        <v/>
      </c>
      <c r="Q79" s="9">
        <f>Q74-SUM(Q76:Q78)</f>
        <v/>
      </c>
      <c r="R79" s="9">
        <f>R74-SUM(R76:R78)</f>
        <v/>
      </c>
      <c r="S79" s="9">
        <f>S74-SUM(S76:S78)</f>
        <v/>
      </c>
      <c r="T79" s="9">
        <f>T74-SUM(T76:T78)</f>
        <v/>
      </c>
      <c r="U79" s="9">
        <f>U74-SUM(U76:U78)</f>
        <v/>
      </c>
      <c r="V79" s="9">
        <f>V74-SUM(V76:V78)</f>
        <v/>
      </c>
      <c r="W79" s="9">
        <f>W74-SUM(W76:W78)</f>
        <v/>
      </c>
      <c r="X79" s="9">
        <f>X74-SUM(X76:X78)</f>
        <v/>
      </c>
      <c r="Y79" s="9">
        <f>Y74-SUM(Y76:Y78)</f>
        <v/>
      </c>
      <c r="Z79" s="9">
        <f>Z74-SUM(Z76:Z78)</f>
        <v/>
      </c>
      <c r="AA79" s="9">
        <f>AA74-SUM(AA76:AA78)</f>
        <v/>
      </c>
      <c r="AB79" s="9">
        <f>AB74-SUM(AB76:AB78)</f>
        <v/>
      </c>
      <c r="AC79" s="9">
        <f>AC74-SUM(AC76:AC78)</f>
        <v/>
      </c>
      <c r="AD79" s="9">
        <f>AD74-SUM(AD76:AD78)</f>
        <v/>
      </c>
      <c r="AE79" s="9">
        <f>AE74-SUM(AE76:AE78)</f>
        <v/>
      </c>
      <c r="AF79" s="9">
        <f>AF74-SUM(AF76:AF78)</f>
        <v/>
      </c>
      <c r="AG79" s="9">
        <f>AG74-SUM(AG76:AG78)</f>
        <v/>
      </c>
      <c r="AH79" s="9">
        <f>AH74-SUM(AH76:AH78)</f>
        <v/>
      </c>
      <c r="AI79" s="9">
        <f>AI74-SUM(AI76:AI78)</f>
        <v/>
      </c>
      <c r="AJ79" s="9">
        <f>AJ74-SUM(AJ76:AJ78)</f>
        <v/>
      </c>
      <c r="AK79" s="9">
        <f>AK74-SUM(AK76:AK78)</f>
        <v/>
      </c>
      <c r="AL79" s="9">
        <f>AL74-SUM(AL76:AL78)</f>
        <v/>
      </c>
    </row>
    <row r="80" ht="12.75" customHeight="1">
      <c r="A80" s="23" t="n"/>
      <c r="B80" s="23" t="inlineStr">
        <is>
          <t>Рентабельность чистой прибыли</t>
        </is>
      </c>
      <c r="C80" s="24">
        <f>C79/C5</f>
        <v/>
      </c>
      <c r="D80" s="24">
        <f>D79/D5</f>
        <v/>
      </c>
      <c r="E80" s="24">
        <f>E79/E5</f>
        <v/>
      </c>
      <c r="F80" s="24">
        <f>F79/F5</f>
        <v/>
      </c>
      <c r="G80" s="24">
        <f>G79/G5</f>
        <v/>
      </c>
      <c r="H80" s="24">
        <f>H79/H5</f>
        <v/>
      </c>
      <c r="I80" s="24">
        <f>I79/I5</f>
        <v/>
      </c>
      <c r="J80" s="24">
        <f>J79/J5</f>
        <v/>
      </c>
      <c r="K80" s="24">
        <f>K79/K5</f>
        <v/>
      </c>
      <c r="L80" s="24">
        <f>L79/L5</f>
        <v/>
      </c>
      <c r="M80" s="24">
        <f>M79/M5</f>
        <v/>
      </c>
      <c r="N80" s="24">
        <f>N79/N5</f>
        <v/>
      </c>
      <c r="O80" s="24">
        <f>O79/O5</f>
        <v/>
      </c>
      <c r="P80" s="24">
        <f>P79/P5</f>
        <v/>
      </c>
      <c r="Q80" s="24">
        <f>Q79/Q5</f>
        <v/>
      </c>
      <c r="R80" s="24">
        <f>R79/R5</f>
        <v/>
      </c>
      <c r="S80" s="24">
        <f>S79/S5</f>
        <v/>
      </c>
      <c r="T80" s="24">
        <f>T79/T5</f>
        <v/>
      </c>
      <c r="U80" s="24">
        <f>U79/U5</f>
        <v/>
      </c>
      <c r="V80" s="24">
        <f>V79/V5</f>
        <v/>
      </c>
      <c r="W80" s="24">
        <f>W79/W5</f>
        <v/>
      </c>
      <c r="X80" s="24">
        <f>X79/X5</f>
        <v/>
      </c>
      <c r="Y80" s="24">
        <f>Y79/Y5</f>
        <v/>
      </c>
      <c r="Z80" s="24">
        <f>Z79/Z5</f>
        <v/>
      </c>
      <c r="AA80" s="24">
        <f>AA79/AA5</f>
        <v/>
      </c>
      <c r="AB80" s="24">
        <f>AB79/AB5</f>
        <v/>
      </c>
      <c r="AC80" s="24">
        <f>AC79/AC5</f>
        <v/>
      </c>
      <c r="AD80" s="24">
        <f>AD79/AD5</f>
        <v/>
      </c>
      <c r="AE80" s="24">
        <f>AE79/AE5</f>
        <v/>
      </c>
      <c r="AF80" s="24">
        <f>AF79/AF5</f>
        <v/>
      </c>
      <c r="AG80" s="24">
        <f>AG79/AG5</f>
        <v/>
      </c>
      <c r="AH80" s="24">
        <f>AH79/AH5</f>
        <v/>
      </c>
      <c r="AI80" s="24">
        <f>AI79/AI5</f>
        <v/>
      </c>
      <c r="AJ80" s="24">
        <f>AJ79/AJ5</f>
        <v/>
      </c>
      <c r="AK80" s="24">
        <f>AK79/AK5</f>
        <v/>
      </c>
      <c r="AL80" s="24">
        <f>AL79/AL5</f>
        <v/>
      </c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</row>
    <row r="83" ht="12.75" customHeight="1">
      <c r="A83" s="13" t="n"/>
      <c r="B83" s="13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  <c r="AD83" s="25" t="n"/>
      <c r="AE83" s="25" t="n"/>
      <c r="AF83" s="25" t="n"/>
      <c r="AG83" s="25" t="n"/>
      <c r="AH83" s="25" t="n"/>
      <c r="AI83" s="25" t="n"/>
      <c r="AJ83" s="25" t="n"/>
      <c r="AK83" s="25" t="n"/>
      <c r="AL83" s="25" t="n"/>
    </row>
    <row r="84" ht="12.75" customHeight="1">
      <c r="A84" s="13" t="n"/>
      <c r="B84" s="13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</row>
    <row r="85" ht="12.75" customHeight="1">
      <c r="A85" s="13" t="n"/>
      <c r="B85" s="13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N85" s="31" t="inlineStr">
        <is>
          <t>это уже чуть реалистичнее… в зависимости от конверсии и количества посетителей этот график может пойти вниз в середине, поэтому нужно учитывать еще большое количество параметров. мне не хватает опыта для их расчетов.</t>
        </is>
      </c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  <c r="AL88" s="13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  <c r="AL109" s="13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  <c r="AL116" s="13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  <c r="AL123" s="13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  <c r="AL135" s="13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  <c r="AL136" s="13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  <c r="AL137" s="13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  <c r="AL139" s="13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  <c r="AL140" s="13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  <c r="AL141" s="13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  <c r="AL142" s="13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  <c r="AL143" s="13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  <c r="AF144" s="13" t="n"/>
      <c r="AG144" s="13" t="n"/>
      <c r="AH144" s="13" t="n"/>
      <c r="AI144" s="13" t="n"/>
      <c r="AJ144" s="13" t="n"/>
      <c r="AK144" s="13" t="n"/>
      <c r="AL144" s="13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  <c r="AL145" s="13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  <c r="AL146" s="13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  <c r="AL147" s="13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  <c r="AL148" s="13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  <c r="AL149" s="13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13" t="n"/>
      <c r="AH150" s="13" t="n"/>
      <c r="AI150" s="13" t="n"/>
      <c r="AJ150" s="13" t="n"/>
      <c r="AK150" s="13" t="n"/>
      <c r="AL150" s="13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  <c r="AL151" s="13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  <c r="AL152" s="13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  <c r="AL155" s="13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  <c r="AL156" s="13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  <c r="AL157" s="13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  <c r="AL158" s="13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  <c r="AF159" s="13" t="n"/>
      <c r="AG159" s="13" t="n"/>
      <c r="AH159" s="13" t="n"/>
      <c r="AI159" s="13" t="n"/>
      <c r="AJ159" s="13" t="n"/>
      <c r="AK159" s="13" t="n"/>
      <c r="AL159" s="13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  <c r="AL160" s="13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  <c r="AL161" s="13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  <c r="AL163" s="13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  <c r="AL164" s="13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  <c r="AL165" s="13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  <c r="AL167" s="13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  <c r="AL169" s="13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  <c r="AL170" s="13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  <c r="AL171" s="13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  <c r="AL175" s="13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  <c r="AL179" s="13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  <c r="AL180" s="13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  <c r="AL181" s="13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  <c r="AL182" s="13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  <c r="AL183" s="13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  <c r="AL184" s="13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  <c r="AL185" s="13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  <c r="AL186" s="13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  <c r="AL189" s="13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  <c r="AL190" s="13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  <c r="AL191" s="13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  <c r="AL193" s="13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  <c r="AL195" s="13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  <c r="AL196" s="13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13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  <c r="AL199" s="13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  <c r="AL200" s="13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  <c r="AL202" s="13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  <c r="AL203" s="13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  <c r="AL204" s="13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  <c r="AL205" s="13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  <c r="AL206" s="13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  <c r="AL207" s="13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  <c r="AL208" s="13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  <c r="AL209" s="13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  <c r="AL212" s="13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  <c r="AL213" s="13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  <c r="AL214" s="13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  <c r="AL215" s="13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  <c r="AL218" s="13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  <c r="AL220" s="13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  <c r="AL221" s="13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  <c r="AL222" s="13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  <c r="AL225" s="13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  <c r="AL226" s="13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  <c r="AL227" s="13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  <c r="AL228" s="13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  <c r="AL229" s="13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  <c r="AL230" s="13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  <c r="AL231" s="13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  <c r="AL232" s="13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  <c r="AL233" s="13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  <c r="AL234" s="13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  <c r="AL235" s="13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  <c r="AL236" s="13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  <c r="AL237" s="13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  <c r="AL238" s="13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  <c r="AL239" s="13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  <c r="AL240" s="13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  <c r="AL241" s="13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  <c r="AL242" s="13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  <c r="AL243" s="13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  <c r="AL244" s="13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  <c r="AL245" s="13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  <c r="AL246" s="13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  <c r="AL247" s="13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  <c r="AL248" s="13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  <c r="AL249" s="13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  <c r="AL250" s="13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  <c r="AL251" s="13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  <c r="AL252" s="13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  <c r="AL253" s="13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  <c r="AL254" s="13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  <c r="AL255" s="13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  <c r="AL256" s="13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  <c r="AL257" s="13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  <c r="AL258" s="13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  <c r="AL259" s="13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  <c r="AL260" s="13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  <c r="AL261" s="13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  <c r="AL262" s="13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  <c r="AL263" s="13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  <c r="AL264" s="13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  <c r="AL265" s="13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  <c r="AL266" s="13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  <c r="AL267" s="13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  <c r="AL268" s="13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  <c r="AL269" s="13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  <c r="AL270" s="13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  <c r="AL271" s="13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  <c r="AL272" s="13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  <c r="AL273" s="13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  <c r="AL274" s="13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  <c r="AL275" s="13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  <c r="AL276" s="13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  <c r="AL277" s="13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  <c r="AL278" s="13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  <c r="AL279" s="13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  <c r="AL280" s="13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  <c r="AL281" s="13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  <c r="AL282" s="13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  <c r="AL283" s="13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  <c r="AL284" s="13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  <c r="AL285" s="13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  <c r="AL286" s="13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  <c r="AL287" s="13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  <c r="AL288" s="13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  <c r="AL289" s="13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  <c r="AL290" s="13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  <c r="AL291" s="13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  <c r="AL292" s="13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  <c r="AL293" s="13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  <c r="AL294" s="13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  <c r="AL295" s="13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  <c r="AL296" s="13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  <c r="AL297" s="13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  <c r="AL298" s="13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  <c r="AL299" s="13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  <c r="AL300" s="13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  <c r="AL301" s="13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  <c r="AL302" s="13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  <c r="AL303" s="13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  <c r="AL304" s="13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  <c r="AL305" s="13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  <c r="AL306" s="13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  <c r="AL307" s="13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  <c r="AL308" s="13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  <c r="AL309" s="13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  <c r="AL310" s="13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  <c r="AL311" s="13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  <c r="AL312" s="13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  <c r="AL313" s="13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  <c r="AL314" s="13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  <c r="AL315" s="13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  <c r="AL316" s="13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  <c r="AL317" s="13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  <c r="AL318" s="13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  <c r="AL319" s="13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  <c r="AL320" s="13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  <c r="AL321" s="13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  <c r="AL322" s="13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  <c r="AL323" s="13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  <c r="AL324" s="13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  <c r="AL325" s="13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  <c r="AL326" s="13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  <c r="AL327" s="13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  <c r="AL328" s="13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  <c r="AL329" s="13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  <c r="AL330" s="13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  <c r="AL331" s="13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  <c r="AL332" s="13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  <c r="AL333" s="13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  <c r="AL334" s="13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  <c r="AL335" s="13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  <c r="AL336" s="13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  <c r="AL337" s="13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  <c r="AL338" s="13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  <c r="AL339" s="13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  <c r="AL340" s="13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  <c r="AL341" s="13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  <c r="AL342" s="13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  <c r="AL343" s="13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  <c r="AL344" s="13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  <c r="AL345" s="13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  <c r="AL346" s="13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  <c r="AL347" s="13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  <c r="AL348" s="13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  <c r="AL349" s="13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  <c r="AL350" s="13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  <c r="AL351" s="13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  <c r="AL352" s="13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  <c r="AL353" s="13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  <c r="AL354" s="13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  <c r="AL355" s="13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  <c r="AL356" s="13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  <c r="AL357" s="13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  <c r="AL358" s="13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  <c r="AL359" s="13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  <c r="AL360" s="13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  <c r="AL361" s="13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  <c r="AL362" s="13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  <c r="AL363" s="13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  <c r="AL364" s="13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  <c r="AL365" s="13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  <c r="AL366" s="13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  <c r="AL367" s="13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  <c r="AL368" s="13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  <c r="AL369" s="13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  <c r="AL370" s="13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  <c r="AL371" s="13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  <c r="AL372" s="13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  <c r="AL373" s="13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  <c r="AL374" s="13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  <c r="AL375" s="13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  <c r="AL376" s="13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  <c r="AL377" s="13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  <c r="AL378" s="13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  <c r="AL379" s="13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  <c r="AL380" s="13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  <c r="AL381" s="13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  <c r="AL382" s="13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  <c r="AL383" s="13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  <c r="AL384" s="13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  <c r="AL385" s="13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  <c r="AL386" s="13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  <c r="AL387" s="13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  <c r="AL388" s="13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  <c r="AL389" s="13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  <c r="AL390" s="13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  <c r="AL391" s="13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  <c r="AL392" s="13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  <c r="AL393" s="13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  <c r="AL394" s="13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  <c r="AL395" s="13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  <c r="AL396" s="13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  <c r="AL397" s="13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  <c r="AL398" s="13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  <c r="AL399" s="13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  <c r="AL400" s="13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  <c r="AF401" s="13" t="n"/>
      <c r="AG401" s="13" t="n"/>
      <c r="AH401" s="13" t="n"/>
      <c r="AI401" s="13" t="n"/>
      <c r="AJ401" s="13" t="n"/>
      <c r="AK401" s="13" t="n"/>
      <c r="AL401" s="13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  <c r="AF402" s="13" t="n"/>
      <c r="AG402" s="13" t="n"/>
      <c r="AH402" s="13" t="n"/>
      <c r="AI402" s="13" t="n"/>
      <c r="AJ402" s="13" t="n"/>
      <c r="AK402" s="13" t="n"/>
      <c r="AL402" s="13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  <c r="AL403" s="13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n"/>
      <c r="AI404" s="13" t="n"/>
      <c r="AJ404" s="13" t="n"/>
      <c r="AK404" s="13" t="n"/>
      <c r="AL404" s="13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  <c r="AF405" s="13" t="n"/>
      <c r="AG405" s="13" t="n"/>
      <c r="AH405" s="13" t="n"/>
      <c r="AI405" s="13" t="n"/>
      <c r="AJ405" s="13" t="n"/>
      <c r="AK405" s="13" t="n"/>
      <c r="AL405" s="13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  <c r="AF406" s="13" t="n"/>
      <c r="AG406" s="13" t="n"/>
      <c r="AH406" s="13" t="n"/>
      <c r="AI406" s="13" t="n"/>
      <c r="AJ406" s="13" t="n"/>
      <c r="AK406" s="13" t="n"/>
      <c r="AL406" s="13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  <c r="AL407" s="13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  <c r="AF408" s="13" t="n"/>
      <c r="AG408" s="13" t="n"/>
      <c r="AH408" s="13" t="n"/>
      <c r="AI408" s="13" t="n"/>
      <c r="AJ408" s="13" t="n"/>
      <c r="AK408" s="13" t="n"/>
      <c r="AL408" s="13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  <c r="AF409" s="13" t="n"/>
      <c r="AG409" s="13" t="n"/>
      <c r="AH409" s="13" t="n"/>
      <c r="AI409" s="13" t="n"/>
      <c r="AJ409" s="13" t="n"/>
      <c r="AK409" s="13" t="n"/>
      <c r="AL409" s="13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  <c r="AF410" s="13" t="n"/>
      <c r="AG410" s="13" t="n"/>
      <c r="AH410" s="13" t="n"/>
      <c r="AI410" s="13" t="n"/>
      <c r="AJ410" s="13" t="n"/>
      <c r="AK410" s="13" t="n"/>
      <c r="AL410" s="13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  <c r="AL411" s="13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  <c r="AF412" s="13" t="n"/>
      <c r="AG412" s="13" t="n"/>
      <c r="AH412" s="13" t="n"/>
      <c r="AI412" s="13" t="n"/>
      <c r="AJ412" s="13" t="n"/>
      <c r="AK412" s="13" t="n"/>
      <c r="AL412" s="13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  <c r="AF413" s="13" t="n"/>
      <c r="AG413" s="13" t="n"/>
      <c r="AH413" s="13" t="n"/>
      <c r="AI413" s="13" t="n"/>
      <c r="AJ413" s="13" t="n"/>
      <c r="AK413" s="13" t="n"/>
      <c r="AL413" s="13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  <c r="AF414" s="13" t="n"/>
      <c r="AG414" s="13" t="n"/>
      <c r="AH414" s="13" t="n"/>
      <c r="AI414" s="13" t="n"/>
      <c r="AJ414" s="13" t="n"/>
      <c r="AK414" s="13" t="n"/>
      <c r="AL414" s="13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  <c r="AF415" s="13" t="n"/>
      <c r="AG415" s="13" t="n"/>
      <c r="AH415" s="13" t="n"/>
      <c r="AI415" s="13" t="n"/>
      <c r="AJ415" s="13" t="n"/>
      <c r="AK415" s="13" t="n"/>
      <c r="AL415" s="13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  <c r="AL416" s="13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  <c r="AL417" s="13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  <c r="AF418" s="13" t="n"/>
      <c r="AG418" s="13" t="n"/>
      <c r="AH418" s="13" t="n"/>
      <c r="AI418" s="13" t="n"/>
      <c r="AJ418" s="13" t="n"/>
      <c r="AK418" s="13" t="n"/>
      <c r="AL418" s="13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  <c r="AF419" s="13" t="n"/>
      <c r="AG419" s="13" t="n"/>
      <c r="AH419" s="13" t="n"/>
      <c r="AI419" s="13" t="n"/>
      <c r="AJ419" s="13" t="n"/>
      <c r="AK419" s="13" t="n"/>
      <c r="AL419" s="13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  <c r="AF420" s="13" t="n"/>
      <c r="AG420" s="13" t="n"/>
      <c r="AH420" s="13" t="n"/>
      <c r="AI420" s="13" t="n"/>
      <c r="AJ420" s="13" t="n"/>
      <c r="AK420" s="13" t="n"/>
      <c r="AL420" s="13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  <c r="AL421" s="13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  <c r="AF422" s="13" t="n"/>
      <c r="AG422" s="13" t="n"/>
      <c r="AH422" s="13" t="n"/>
      <c r="AI422" s="13" t="n"/>
      <c r="AJ422" s="13" t="n"/>
      <c r="AK422" s="13" t="n"/>
      <c r="AL422" s="13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  <c r="AF423" s="13" t="n"/>
      <c r="AG423" s="13" t="n"/>
      <c r="AH423" s="13" t="n"/>
      <c r="AI423" s="13" t="n"/>
      <c r="AJ423" s="13" t="n"/>
      <c r="AK423" s="13" t="n"/>
      <c r="AL423" s="13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  <c r="AF424" s="13" t="n"/>
      <c r="AG424" s="13" t="n"/>
      <c r="AH424" s="13" t="n"/>
      <c r="AI424" s="13" t="n"/>
      <c r="AJ424" s="13" t="n"/>
      <c r="AK424" s="13" t="n"/>
      <c r="AL424" s="13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  <c r="AL425" s="13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  <c r="AF426" s="13" t="n"/>
      <c r="AG426" s="13" t="n"/>
      <c r="AH426" s="13" t="n"/>
      <c r="AI426" s="13" t="n"/>
      <c r="AJ426" s="13" t="n"/>
      <c r="AK426" s="13" t="n"/>
      <c r="AL426" s="13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  <c r="AF427" s="13" t="n"/>
      <c r="AG427" s="13" t="n"/>
      <c r="AH427" s="13" t="n"/>
      <c r="AI427" s="13" t="n"/>
      <c r="AJ427" s="13" t="n"/>
      <c r="AK427" s="13" t="n"/>
      <c r="AL427" s="13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  <c r="AF428" s="13" t="n"/>
      <c r="AG428" s="13" t="n"/>
      <c r="AH428" s="13" t="n"/>
      <c r="AI428" s="13" t="n"/>
      <c r="AJ428" s="13" t="n"/>
      <c r="AK428" s="13" t="n"/>
      <c r="AL428" s="13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  <c r="AL429" s="13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  <c r="AF430" s="13" t="n"/>
      <c r="AG430" s="13" t="n"/>
      <c r="AH430" s="13" t="n"/>
      <c r="AI430" s="13" t="n"/>
      <c r="AJ430" s="13" t="n"/>
      <c r="AK430" s="13" t="n"/>
      <c r="AL430" s="13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  <c r="AF431" s="13" t="n"/>
      <c r="AG431" s="13" t="n"/>
      <c r="AH431" s="13" t="n"/>
      <c r="AI431" s="13" t="n"/>
      <c r="AJ431" s="13" t="n"/>
      <c r="AK431" s="13" t="n"/>
      <c r="AL431" s="13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  <c r="AF432" s="13" t="n"/>
      <c r="AG432" s="13" t="n"/>
      <c r="AH432" s="13" t="n"/>
      <c r="AI432" s="13" t="n"/>
      <c r="AJ432" s="13" t="n"/>
      <c r="AK432" s="13" t="n"/>
      <c r="AL432" s="13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  <c r="AL433" s="13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  <c r="AF434" s="13" t="n"/>
      <c r="AG434" s="13" t="n"/>
      <c r="AH434" s="13" t="n"/>
      <c r="AI434" s="13" t="n"/>
      <c r="AJ434" s="13" t="n"/>
      <c r="AK434" s="13" t="n"/>
      <c r="AL434" s="13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  <c r="AF435" s="13" t="n"/>
      <c r="AG435" s="13" t="n"/>
      <c r="AH435" s="13" t="n"/>
      <c r="AI435" s="13" t="n"/>
      <c r="AJ435" s="13" t="n"/>
      <c r="AK435" s="13" t="n"/>
      <c r="AL435" s="13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  <c r="AL436" s="13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  <c r="AL437" s="13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  <c r="AF438" s="13" t="n"/>
      <c r="AG438" s="13" t="n"/>
      <c r="AH438" s="13" t="n"/>
      <c r="AI438" s="13" t="n"/>
      <c r="AJ438" s="13" t="n"/>
      <c r="AK438" s="13" t="n"/>
      <c r="AL438" s="13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  <c r="AF439" s="13" t="n"/>
      <c r="AG439" s="13" t="n"/>
      <c r="AH439" s="13" t="n"/>
      <c r="AI439" s="13" t="n"/>
      <c r="AJ439" s="13" t="n"/>
      <c r="AK439" s="13" t="n"/>
      <c r="AL439" s="13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  <c r="AF440" s="13" t="n"/>
      <c r="AG440" s="13" t="n"/>
      <c r="AH440" s="13" t="n"/>
      <c r="AI440" s="13" t="n"/>
      <c r="AJ440" s="13" t="n"/>
      <c r="AK440" s="13" t="n"/>
      <c r="AL440" s="13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  <c r="AL441" s="13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  <c r="AF442" s="13" t="n"/>
      <c r="AG442" s="13" t="n"/>
      <c r="AH442" s="13" t="n"/>
      <c r="AI442" s="13" t="n"/>
      <c r="AJ442" s="13" t="n"/>
      <c r="AK442" s="13" t="n"/>
      <c r="AL442" s="13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  <c r="AF443" s="13" t="n"/>
      <c r="AG443" s="13" t="n"/>
      <c r="AH443" s="13" t="n"/>
      <c r="AI443" s="13" t="n"/>
      <c r="AJ443" s="13" t="n"/>
      <c r="AK443" s="13" t="n"/>
      <c r="AL443" s="13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  <c r="AF444" s="13" t="n"/>
      <c r="AG444" s="13" t="n"/>
      <c r="AH444" s="13" t="n"/>
      <c r="AI444" s="13" t="n"/>
      <c r="AJ444" s="13" t="n"/>
      <c r="AK444" s="13" t="n"/>
      <c r="AL444" s="13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  <c r="AL445" s="13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  <c r="AF446" s="13" t="n"/>
      <c r="AG446" s="13" t="n"/>
      <c r="AH446" s="13" t="n"/>
      <c r="AI446" s="13" t="n"/>
      <c r="AJ446" s="13" t="n"/>
      <c r="AK446" s="13" t="n"/>
      <c r="AL446" s="13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  <c r="AF447" s="13" t="n"/>
      <c r="AG447" s="13" t="n"/>
      <c r="AH447" s="13" t="n"/>
      <c r="AI447" s="13" t="n"/>
      <c r="AJ447" s="13" t="n"/>
      <c r="AK447" s="13" t="n"/>
      <c r="AL447" s="13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  <c r="AF448" s="13" t="n"/>
      <c r="AG448" s="13" t="n"/>
      <c r="AH448" s="13" t="n"/>
      <c r="AI448" s="13" t="n"/>
      <c r="AJ448" s="13" t="n"/>
      <c r="AK448" s="13" t="n"/>
      <c r="AL448" s="13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  <c r="AL449" s="13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  <c r="AF450" s="13" t="n"/>
      <c r="AG450" s="13" t="n"/>
      <c r="AH450" s="13" t="n"/>
      <c r="AI450" s="13" t="n"/>
      <c r="AJ450" s="13" t="n"/>
      <c r="AK450" s="13" t="n"/>
      <c r="AL450" s="13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  <c r="AF451" s="13" t="n"/>
      <c r="AG451" s="13" t="n"/>
      <c r="AH451" s="13" t="n"/>
      <c r="AI451" s="13" t="n"/>
      <c r="AJ451" s="13" t="n"/>
      <c r="AK451" s="13" t="n"/>
      <c r="AL451" s="13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  <c r="AF452" s="13" t="n"/>
      <c r="AG452" s="13" t="n"/>
      <c r="AH452" s="13" t="n"/>
      <c r="AI452" s="13" t="n"/>
      <c r="AJ452" s="13" t="n"/>
      <c r="AK452" s="13" t="n"/>
      <c r="AL452" s="13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  <c r="AL453" s="13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  <c r="AF454" s="13" t="n"/>
      <c r="AG454" s="13" t="n"/>
      <c r="AH454" s="13" t="n"/>
      <c r="AI454" s="13" t="n"/>
      <c r="AJ454" s="13" t="n"/>
      <c r="AK454" s="13" t="n"/>
      <c r="AL454" s="13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  <c r="AF455" s="13" t="n"/>
      <c r="AG455" s="13" t="n"/>
      <c r="AH455" s="13" t="n"/>
      <c r="AI455" s="13" t="n"/>
      <c r="AJ455" s="13" t="n"/>
      <c r="AK455" s="13" t="n"/>
      <c r="AL455" s="13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  <c r="AL456" s="13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  <c r="AL457" s="13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  <c r="AF458" s="13" t="n"/>
      <c r="AG458" s="13" t="n"/>
      <c r="AH458" s="13" t="n"/>
      <c r="AI458" s="13" t="n"/>
      <c r="AJ458" s="13" t="n"/>
      <c r="AK458" s="13" t="n"/>
      <c r="AL458" s="13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  <c r="AF459" s="13" t="n"/>
      <c r="AG459" s="13" t="n"/>
      <c r="AH459" s="13" t="n"/>
      <c r="AI459" s="13" t="n"/>
      <c r="AJ459" s="13" t="n"/>
      <c r="AK459" s="13" t="n"/>
      <c r="AL459" s="13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n"/>
      <c r="AI460" s="13" t="n"/>
      <c r="AJ460" s="13" t="n"/>
      <c r="AK460" s="13" t="n"/>
      <c r="AL460" s="13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n"/>
      <c r="AI461" s="13" t="n"/>
      <c r="AJ461" s="13" t="n"/>
      <c r="AK461" s="13" t="n"/>
      <c r="AL461" s="13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  <c r="AF462" s="13" t="n"/>
      <c r="AG462" s="13" t="n"/>
      <c r="AH462" s="13" t="n"/>
      <c r="AI462" s="13" t="n"/>
      <c r="AJ462" s="13" t="n"/>
      <c r="AK462" s="13" t="n"/>
      <c r="AL462" s="13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n"/>
      <c r="AI463" s="13" t="n"/>
      <c r="AJ463" s="13" t="n"/>
      <c r="AK463" s="13" t="n"/>
      <c r="AL463" s="13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  <c r="AF464" s="13" t="n"/>
      <c r="AG464" s="13" t="n"/>
      <c r="AH464" s="13" t="n"/>
      <c r="AI464" s="13" t="n"/>
      <c r="AJ464" s="13" t="n"/>
      <c r="AK464" s="13" t="n"/>
      <c r="AL464" s="13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n"/>
      <c r="AI465" s="13" t="n"/>
      <c r="AJ465" s="13" t="n"/>
      <c r="AK465" s="13" t="n"/>
      <c r="AL465" s="13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n"/>
      <c r="AI466" s="13" t="n"/>
      <c r="AJ466" s="13" t="n"/>
      <c r="AK466" s="13" t="n"/>
      <c r="AL466" s="13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  <c r="AL467" s="13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  <c r="AF468" s="13" t="n"/>
      <c r="AG468" s="13" t="n"/>
      <c r="AH468" s="13" t="n"/>
      <c r="AI468" s="13" t="n"/>
      <c r="AJ468" s="13" t="n"/>
      <c r="AK468" s="13" t="n"/>
      <c r="AL468" s="13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  <c r="AF469" s="13" t="n"/>
      <c r="AG469" s="13" t="n"/>
      <c r="AH469" s="13" t="n"/>
      <c r="AI469" s="13" t="n"/>
      <c r="AJ469" s="13" t="n"/>
      <c r="AK469" s="13" t="n"/>
      <c r="AL469" s="13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  <c r="AF470" s="13" t="n"/>
      <c r="AG470" s="13" t="n"/>
      <c r="AH470" s="13" t="n"/>
      <c r="AI470" s="13" t="n"/>
      <c r="AJ470" s="13" t="n"/>
      <c r="AK470" s="13" t="n"/>
      <c r="AL470" s="13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  <c r="AL471" s="13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  <c r="AF472" s="13" t="n"/>
      <c r="AG472" s="13" t="n"/>
      <c r="AH472" s="13" t="n"/>
      <c r="AI472" s="13" t="n"/>
      <c r="AJ472" s="13" t="n"/>
      <c r="AK472" s="13" t="n"/>
      <c r="AL472" s="13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  <c r="AF473" s="13" t="n"/>
      <c r="AG473" s="13" t="n"/>
      <c r="AH473" s="13" t="n"/>
      <c r="AI473" s="13" t="n"/>
      <c r="AJ473" s="13" t="n"/>
      <c r="AK473" s="13" t="n"/>
      <c r="AL473" s="13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  <c r="AF474" s="13" t="n"/>
      <c r="AG474" s="13" t="n"/>
      <c r="AH474" s="13" t="n"/>
      <c r="AI474" s="13" t="n"/>
      <c r="AJ474" s="13" t="n"/>
      <c r="AK474" s="13" t="n"/>
      <c r="AL474" s="13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  <c r="AL475" s="13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  <c r="AL476" s="13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  <c r="AL477" s="13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  <c r="AL478" s="13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  <c r="AL479" s="13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n"/>
      <c r="AI480" s="13" t="n"/>
      <c r="AJ480" s="13" t="n"/>
      <c r="AK480" s="13" t="n"/>
      <c r="AL480" s="13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  <c r="AF481" s="13" t="n"/>
      <c r="AG481" s="13" t="n"/>
      <c r="AH481" s="13" t="n"/>
      <c r="AI481" s="13" t="n"/>
      <c r="AJ481" s="13" t="n"/>
      <c r="AK481" s="13" t="n"/>
      <c r="AL481" s="13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n"/>
      <c r="AI482" s="13" t="n"/>
      <c r="AJ482" s="13" t="n"/>
      <c r="AK482" s="13" t="n"/>
      <c r="AL482" s="13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  <c r="AL483" s="13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  <c r="AF484" s="13" t="n"/>
      <c r="AG484" s="13" t="n"/>
      <c r="AH484" s="13" t="n"/>
      <c r="AI484" s="13" t="n"/>
      <c r="AJ484" s="13" t="n"/>
      <c r="AK484" s="13" t="n"/>
      <c r="AL484" s="13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n"/>
      <c r="AI485" s="13" t="n"/>
      <c r="AJ485" s="13" t="n"/>
      <c r="AK485" s="13" t="n"/>
      <c r="AL485" s="13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  <c r="AF486" s="13" t="n"/>
      <c r="AG486" s="13" t="n"/>
      <c r="AH486" s="13" t="n"/>
      <c r="AI486" s="13" t="n"/>
      <c r="AJ486" s="13" t="n"/>
      <c r="AK486" s="13" t="n"/>
      <c r="AL486" s="13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  <c r="AL487" s="13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  <c r="AF488" s="13" t="n"/>
      <c r="AG488" s="13" t="n"/>
      <c r="AH488" s="13" t="n"/>
      <c r="AI488" s="13" t="n"/>
      <c r="AJ488" s="13" t="n"/>
      <c r="AK488" s="13" t="n"/>
      <c r="AL488" s="13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  <c r="AF489" s="13" t="n"/>
      <c r="AG489" s="13" t="n"/>
      <c r="AH489" s="13" t="n"/>
      <c r="AI489" s="13" t="n"/>
      <c r="AJ489" s="13" t="n"/>
      <c r="AK489" s="13" t="n"/>
      <c r="AL489" s="13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  <c r="AF490" s="13" t="n"/>
      <c r="AG490" s="13" t="n"/>
      <c r="AH490" s="13" t="n"/>
      <c r="AI490" s="13" t="n"/>
      <c r="AJ490" s="13" t="n"/>
      <c r="AK490" s="13" t="n"/>
      <c r="AL490" s="13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  <c r="AL491" s="13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  <c r="AF492" s="13" t="n"/>
      <c r="AG492" s="13" t="n"/>
      <c r="AH492" s="13" t="n"/>
      <c r="AI492" s="13" t="n"/>
      <c r="AJ492" s="13" t="n"/>
      <c r="AK492" s="13" t="n"/>
      <c r="AL492" s="13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  <c r="AF493" s="13" t="n"/>
      <c r="AG493" s="13" t="n"/>
      <c r="AH493" s="13" t="n"/>
      <c r="AI493" s="13" t="n"/>
      <c r="AJ493" s="13" t="n"/>
      <c r="AK493" s="13" t="n"/>
      <c r="AL493" s="13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  <c r="AF494" s="13" t="n"/>
      <c r="AG494" s="13" t="n"/>
      <c r="AH494" s="13" t="n"/>
      <c r="AI494" s="13" t="n"/>
      <c r="AJ494" s="13" t="n"/>
      <c r="AK494" s="13" t="n"/>
      <c r="AL494" s="13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  <c r="AL495" s="13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  <c r="AL496" s="13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  <c r="AL497" s="13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  <c r="AF498" s="13" t="n"/>
      <c r="AG498" s="13" t="n"/>
      <c r="AH498" s="13" t="n"/>
      <c r="AI498" s="13" t="n"/>
      <c r="AJ498" s="13" t="n"/>
      <c r="AK498" s="13" t="n"/>
      <c r="AL498" s="13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  <c r="AL499" s="13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  <c r="AF500" s="13" t="n"/>
      <c r="AG500" s="13" t="n"/>
      <c r="AH500" s="13" t="n"/>
      <c r="AI500" s="13" t="n"/>
      <c r="AJ500" s="13" t="n"/>
      <c r="AK500" s="13" t="n"/>
      <c r="AL500" s="13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  <c r="AF501" s="13" t="n"/>
      <c r="AG501" s="13" t="n"/>
      <c r="AH501" s="13" t="n"/>
      <c r="AI501" s="13" t="n"/>
      <c r="AJ501" s="13" t="n"/>
      <c r="AK501" s="13" t="n"/>
      <c r="AL501" s="13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  <c r="AF502" s="13" t="n"/>
      <c r="AG502" s="13" t="n"/>
      <c r="AH502" s="13" t="n"/>
      <c r="AI502" s="13" t="n"/>
      <c r="AJ502" s="13" t="n"/>
      <c r="AK502" s="13" t="n"/>
      <c r="AL502" s="13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  <c r="AL503" s="13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  <c r="AF504" s="13" t="n"/>
      <c r="AG504" s="13" t="n"/>
      <c r="AH504" s="13" t="n"/>
      <c r="AI504" s="13" t="n"/>
      <c r="AJ504" s="13" t="n"/>
      <c r="AK504" s="13" t="n"/>
      <c r="AL504" s="13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  <c r="AF505" s="13" t="n"/>
      <c r="AG505" s="13" t="n"/>
      <c r="AH505" s="13" t="n"/>
      <c r="AI505" s="13" t="n"/>
      <c r="AJ505" s="13" t="n"/>
      <c r="AK505" s="13" t="n"/>
      <c r="AL505" s="13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  <c r="AF506" s="13" t="n"/>
      <c r="AG506" s="13" t="n"/>
      <c r="AH506" s="13" t="n"/>
      <c r="AI506" s="13" t="n"/>
      <c r="AJ506" s="13" t="n"/>
      <c r="AK506" s="13" t="n"/>
      <c r="AL506" s="13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  <c r="AF507" s="13" t="n"/>
      <c r="AG507" s="13" t="n"/>
      <c r="AH507" s="13" t="n"/>
      <c r="AI507" s="13" t="n"/>
      <c r="AJ507" s="13" t="n"/>
      <c r="AK507" s="13" t="n"/>
      <c r="AL507" s="13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  <c r="AF508" s="13" t="n"/>
      <c r="AG508" s="13" t="n"/>
      <c r="AH508" s="13" t="n"/>
      <c r="AI508" s="13" t="n"/>
      <c r="AJ508" s="13" t="n"/>
      <c r="AK508" s="13" t="n"/>
      <c r="AL508" s="13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  <c r="AF509" s="13" t="n"/>
      <c r="AG509" s="13" t="n"/>
      <c r="AH509" s="13" t="n"/>
      <c r="AI509" s="13" t="n"/>
      <c r="AJ509" s="13" t="n"/>
      <c r="AK509" s="13" t="n"/>
      <c r="AL509" s="13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  <c r="AF510" s="13" t="n"/>
      <c r="AG510" s="13" t="n"/>
      <c r="AH510" s="13" t="n"/>
      <c r="AI510" s="13" t="n"/>
      <c r="AJ510" s="13" t="n"/>
      <c r="AK510" s="13" t="n"/>
      <c r="AL510" s="13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  <c r="AF511" s="13" t="n"/>
      <c r="AG511" s="13" t="n"/>
      <c r="AH511" s="13" t="n"/>
      <c r="AI511" s="13" t="n"/>
      <c r="AJ511" s="13" t="n"/>
      <c r="AK511" s="13" t="n"/>
      <c r="AL511" s="13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  <c r="AF512" s="13" t="n"/>
      <c r="AG512" s="13" t="n"/>
      <c r="AH512" s="13" t="n"/>
      <c r="AI512" s="13" t="n"/>
      <c r="AJ512" s="13" t="n"/>
      <c r="AK512" s="13" t="n"/>
      <c r="AL512" s="13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  <c r="AL513" s="13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  <c r="AF514" s="13" t="n"/>
      <c r="AG514" s="13" t="n"/>
      <c r="AH514" s="13" t="n"/>
      <c r="AI514" s="13" t="n"/>
      <c r="AJ514" s="13" t="n"/>
      <c r="AK514" s="13" t="n"/>
      <c r="AL514" s="13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  <c r="AF515" s="13" t="n"/>
      <c r="AG515" s="13" t="n"/>
      <c r="AH515" s="13" t="n"/>
      <c r="AI515" s="13" t="n"/>
      <c r="AJ515" s="13" t="n"/>
      <c r="AK515" s="13" t="n"/>
      <c r="AL515" s="13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  <c r="AL516" s="13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  <c r="AL517" s="13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  <c r="AF518" s="13" t="n"/>
      <c r="AG518" s="13" t="n"/>
      <c r="AH518" s="13" t="n"/>
      <c r="AI518" s="13" t="n"/>
      <c r="AJ518" s="13" t="n"/>
      <c r="AK518" s="13" t="n"/>
      <c r="AL518" s="13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  <c r="AF519" s="13" t="n"/>
      <c r="AG519" s="13" t="n"/>
      <c r="AH519" s="13" t="n"/>
      <c r="AI519" s="13" t="n"/>
      <c r="AJ519" s="13" t="n"/>
      <c r="AK519" s="13" t="n"/>
      <c r="AL519" s="13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  <c r="AF520" s="13" t="n"/>
      <c r="AG520" s="13" t="n"/>
      <c r="AH520" s="13" t="n"/>
      <c r="AI520" s="13" t="n"/>
      <c r="AJ520" s="13" t="n"/>
      <c r="AK520" s="13" t="n"/>
      <c r="AL520" s="13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  <c r="AL521" s="13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  <c r="AF522" s="13" t="n"/>
      <c r="AG522" s="13" t="n"/>
      <c r="AH522" s="13" t="n"/>
      <c r="AI522" s="13" t="n"/>
      <c r="AJ522" s="13" t="n"/>
      <c r="AK522" s="13" t="n"/>
      <c r="AL522" s="13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  <c r="AF523" s="13" t="n"/>
      <c r="AG523" s="13" t="n"/>
      <c r="AH523" s="13" t="n"/>
      <c r="AI523" s="13" t="n"/>
      <c r="AJ523" s="13" t="n"/>
      <c r="AK523" s="13" t="n"/>
      <c r="AL523" s="13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  <c r="AF524" s="13" t="n"/>
      <c r="AG524" s="13" t="n"/>
      <c r="AH524" s="13" t="n"/>
      <c r="AI524" s="13" t="n"/>
      <c r="AJ524" s="13" t="n"/>
      <c r="AK524" s="13" t="n"/>
      <c r="AL524" s="13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  <c r="AL525" s="13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  <c r="AF526" s="13" t="n"/>
      <c r="AG526" s="13" t="n"/>
      <c r="AH526" s="13" t="n"/>
      <c r="AI526" s="13" t="n"/>
      <c r="AJ526" s="13" t="n"/>
      <c r="AK526" s="13" t="n"/>
      <c r="AL526" s="13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  <c r="AF527" s="13" t="n"/>
      <c r="AG527" s="13" t="n"/>
      <c r="AH527" s="13" t="n"/>
      <c r="AI527" s="13" t="n"/>
      <c r="AJ527" s="13" t="n"/>
      <c r="AK527" s="13" t="n"/>
      <c r="AL527" s="13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  <c r="AF528" s="13" t="n"/>
      <c r="AG528" s="13" t="n"/>
      <c r="AH528" s="13" t="n"/>
      <c r="AI528" s="13" t="n"/>
      <c r="AJ528" s="13" t="n"/>
      <c r="AK528" s="13" t="n"/>
      <c r="AL528" s="13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  <c r="AL529" s="13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  <c r="AF530" s="13" t="n"/>
      <c r="AG530" s="13" t="n"/>
      <c r="AH530" s="13" t="n"/>
      <c r="AI530" s="13" t="n"/>
      <c r="AJ530" s="13" t="n"/>
      <c r="AK530" s="13" t="n"/>
      <c r="AL530" s="13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  <c r="AF531" s="13" t="n"/>
      <c r="AG531" s="13" t="n"/>
      <c r="AH531" s="13" t="n"/>
      <c r="AI531" s="13" t="n"/>
      <c r="AJ531" s="13" t="n"/>
      <c r="AK531" s="13" t="n"/>
      <c r="AL531" s="13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  <c r="AF532" s="13" t="n"/>
      <c r="AG532" s="13" t="n"/>
      <c r="AH532" s="13" t="n"/>
      <c r="AI532" s="13" t="n"/>
      <c r="AJ532" s="13" t="n"/>
      <c r="AK532" s="13" t="n"/>
      <c r="AL532" s="13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  <c r="AL533" s="13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  <c r="AF534" s="13" t="n"/>
      <c r="AG534" s="13" t="n"/>
      <c r="AH534" s="13" t="n"/>
      <c r="AI534" s="13" t="n"/>
      <c r="AJ534" s="13" t="n"/>
      <c r="AK534" s="13" t="n"/>
      <c r="AL534" s="13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  <c r="AF535" s="13" t="n"/>
      <c r="AG535" s="13" t="n"/>
      <c r="AH535" s="13" t="n"/>
      <c r="AI535" s="13" t="n"/>
      <c r="AJ535" s="13" t="n"/>
      <c r="AK535" s="13" t="n"/>
      <c r="AL535" s="13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  <c r="AL536" s="13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  <c r="AL537" s="13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  <c r="AF538" s="13" t="n"/>
      <c r="AG538" s="13" t="n"/>
      <c r="AH538" s="13" t="n"/>
      <c r="AI538" s="13" t="n"/>
      <c r="AJ538" s="13" t="n"/>
      <c r="AK538" s="13" t="n"/>
      <c r="AL538" s="13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  <c r="AF539" s="13" t="n"/>
      <c r="AG539" s="13" t="n"/>
      <c r="AH539" s="13" t="n"/>
      <c r="AI539" s="13" t="n"/>
      <c r="AJ539" s="13" t="n"/>
      <c r="AK539" s="13" t="n"/>
      <c r="AL539" s="13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  <c r="AF540" s="13" t="n"/>
      <c r="AG540" s="13" t="n"/>
      <c r="AH540" s="13" t="n"/>
      <c r="AI540" s="13" t="n"/>
      <c r="AJ540" s="13" t="n"/>
      <c r="AK540" s="13" t="n"/>
      <c r="AL540" s="13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  <c r="AL541" s="13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  <c r="AF542" s="13" t="n"/>
      <c r="AG542" s="13" t="n"/>
      <c r="AH542" s="13" t="n"/>
      <c r="AI542" s="13" t="n"/>
      <c r="AJ542" s="13" t="n"/>
      <c r="AK542" s="13" t="n"/>
      <c r="AL542" s="13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  <c r="AF543" s="13" t="n"/>
      <c r="AG543" s="13" t="n"/>
      <c r="AH543" s="13" t="n"/>
      <c r="AI543" s="13" t="n"/>
      <c r="AJ543" s="13" t="n"/>
      <c r="AK543" s="13" t="n"/>
      <c r="AL543" s="13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  <c r="AF544" s="13" t="n"/>
      <c r="AG544" s="13" t="n"/>
      <c r="AH544" s="13" t="n"/>
      <c r="AI544" s="13" t="n"/>
      <c r="AJ544" s="13" t="n"/>
      <c r="AK544" s="13" t="n"/>
      <c r="AL544" s="13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  <c r="AL545" s="13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  <c r="AF546" s="13" t="n"/>
      <c r="AG546" s="13" t="n"/>
      <c r="AH546" s="13" t="n"/>
      <c r="AI546" s="13" t="n"/>
      <c r="AJ546" s="13" t="n"/>
      <c r="AK546" s="13" t="n"/>
      <c r="AL546" s="13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  <c r="AF547" s="13" t="n"/>
      <c r="AG547" s="13" t="n"/>
      <c r="AH547" s="13" t="n"/>
      <c r="AI547" s="13" t="n"/>
      <c r="AJ547" s="13" t="n"/>
      <c r="AK547" s="13" t="n"/>
      <c r="AL547" s="13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  <c r="AF548" s="13" t="n"/>
      <c r="AG548" s="13" t="n"/>
      <c r="AH548" s="13" t="n"/>
      <c r="AI548" s="13" t="n"/>
      <c r="AJ548" s="13" t="n"/>
      <c r="AK548" s="13" t="n"/>
      <c r="AL548" s="13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  <c r="AL549" s="13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  <c r="AF550" s="13" t="n"/>
      <c r="AG550" s="13" t="n"/>
      <c r="AH550" s="13" t="n"/>
      <c r="AI550" s="13" t="n"/>
      <c r="AJ550" s="13" t="n"/>
      <c r="AK550" s="13" t="n"/>
      <c r="AL550" s="13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  <c r="AF551" s="13" t="n"/>
      <c r="AG551" s="13" t="n"/>
      <c r="AH551" s="13" t="n"/>
      <c r="AI551" s="13" t="n"/>
      <c r="AJ551" s="13" t="n"/>
      <c r="AK551" s="13" t="n"/>
      <c r="AL551" s="13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  <c r="AF552" s="13" t="n"/>
      <c r="AG552" s="13" t="n"/>
      <c r="AH552" s="13" t="n"/>
      <c r="AI552" s="13" t="n"/>
      <c r="AJ552" s="13" t="n"/>
      <c r="AK552" s="13" t="n"/>
      <c r="AL552" s="13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  <c r="AF553" s="13" t="n"/>
      <c r="AG553" s="13" t="n"/>
      <c r="AH553" s="13" t="n"/>
      <c r="AI553" s="13" t="n"/>
      <c r="AJ553" s="13" t="n"/>
      <c r="AK553" s="13" t="n"/>
      <c r="AL553" s="13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  <c r="AF554" s="13" t="n"/>
      <c r="AG554" s="13" t="n"/>
      <c r="AH554" s="13" t="n"/>
      <c r="AI554" s="13" t="n"/>
      <c r="AJ554" s="13" t="n"/>
      <c r="AK554" s="13" t="n"/>
      <c r="AL554" s="13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  <c r="AF555" s="13" t="n"/>
      <c r="AG555" s="13" t="n"/>
      <c r="AH555" s="13" t="n"/>
      <c r="AI555" s="13" t="n"/>
      <c r="AJ555" s="13" t="n"/>
      <c r="AK555" s="13" t="n"/>
      <c r="AL555" s="13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  <c r="AL556" s="13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  <c r="AL557" s="13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  <c r="AF558" s="13" t="n"/>
      <c r="AG558" s="13" t="n"/>
      <c r="AH558" s="13" t="n"/>
      <c r="AI558" s="13" t="n"/>
      <c r="AJ558" s="13" t="n"/>
      <c r="AK558" s="13" t="n"/>
      <c r="AL558" s="13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  <c r="AL559" s="13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  <c r="AF560" s="13" t="n"/>
      <c r="AG560" s="13" t="n"/>
      <c r="AH560" s="13" t="n"/>
      <c r="AI560" s="13" t="n"/>
      <c r="AJ560" s="13" t="n"/>
      <c r="AK560" s="13" t="n"/>
      <c r="AL560" s="13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  <c r="AF561" s="13" t="n"/>
      <c r="AG561" s="13" t="n"/>
      <c r="AH561" s="13" t="n"/>
      <c r="AI561" s="13" t="n"/>
      <c r="AJ561" s="13" t="n"/>
      <c r="AK561" s="13" t="n"/>
      <c r="AL561" s="13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  <c r="AF562" s="13" t="n"/>
      <c r="AG562" s="13" t="n"/>
      <c r="AH562" s="13" t="n"/>
      <c r="AI562" s="13" t="n"/>
      <c r="AJ562" s="13" t="n"/>
      <c r="AK562" s="13" t="n"/>
      <c r="AL562" s="13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  <c r="AL563" s="13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  <c r="AF564" s="13" t="n"/>
      <c r="AG564" s="13" t="n"/>
      <c r="AH564" s="13" t="n"/>
      <c r="AI564" s="13" t="n"/>
      <c r="AJ564" s="13" t="n"/>
      <c r="AK564" s="13" t="n"/>
      <c r="AL564" s="13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  <c r="AF565" s="13" t="n"/>
      <c r="AG565" s="13" t="n"/>
      <c r="AH565" s="13" t="n"/>
      <c r="AI565" s="13" t="n"/>
      <c r="AJ565" s="13" t="n"/>
      <c r="AK565" s="13" t="n"/>
      <c r="AL565" s="13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  <c r="AF566" s="13" t="n"/>
      <c r="AG566" s="13" t="n"/>
      <c r="AH566" s="13" t="n"/>
      <c r="AI566" s="13" t="n"/>
      <c r="AJ566" s="13" t="n"/>
      <c r="AK566" s="13" t="n"/>
      <c r="AL566" s="13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  <c r="AL567" s="13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  <c r="AF568" s="13" t="n"/>
      <c r="AG568" s="13" t="n"/>
      <c r="AH568" s="13" t="n"/>
      <c r="AI568" s="13" t="n"/>
      <c r="AJ568" s="13" t="n"/>
      <c r="AK568" s="13" t="n"/>
      <c r="AL568" s="13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  <c r="AF569" s="13" t="n"/>
      <c r="AG569" s="13" t="n"/>
      <c r="AH569" s="13" t="n"/>
      <c r="AI569" s="13" t="n"/>
      <c r="AJ569" s="13" t="n"/>
      <c r="AK569" s="13" t="n"/>
      <c r="AL569" s="13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  <c r="AF570" s="13" t="n"/>
      <c r="AG570" s="13" t="n"/>
      <c r="AH570" s="13" t="n"/>
      <c r="AI570" s="13" t="n"/>
      <c r="AJ570" s="13" t="n"/>
      <c r="AK570" s="13" t="n"/>
      <c r="AL570" s="13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  <c r="AL571" s="13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  <c r="AF572" s="13" t="n"/>
      <c r="AG572" s="13" t="n"/>
      <c r="AH572" s="13" t="n"/>
      <c r="AI572" s="13" t="n"/>
      <c r="AJ572" s="13" t="n"/>
      <c r="AK572" s="13" t="n"/>
      <c r="AL572" s="13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  <c r="AF573" s="13" t="n"/>
      <c r="AG573" s="13" t="n"/>
      <c r="AH573" s="13" t="n"/>
      <c r="AI573" s="13" t="n"/>
      <c r="AJ573" s="13" t="n"/>
      <c r="AK573" s="13" t="n"/>
      <c r="AL573" s="13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  <c r="AF574" s="13" t="n"/>
      <c r="AG574" s="13" t="n"/>
      <c r="AH574" s="13" t="n"/>
      <c r="AI574" s="13" t="n"/>
      <c r="AJ574" s="13" t="n"/>
      <c r="AK574" s="13" t="n"/>
      <c r="AL574" s="13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  <c r="AL575" s="13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  <c r="AL576" s="13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  <c r="AL577" s="13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  <c r="AF578" s="13" t="n"/>
      <c r="AG578" s="13" t="n"/>
      <c r="AH578" s="13" t="n"/>
      <c r="AI578" s="13" t="n"/>
      <c r="AJ578" s="13" t="n"/>
      <c r="AK578" s="13" t="n"/>
      <c r="AL578" s="13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  <c r="AL579" s="13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  <c r="AF580" s="13" t="n"/>
      <c r="AG580" s="13" t="n"/>
      <c r="AH580" s="13" t="n"/>
      <c r="AI580" s="13" t="n"/>
      <c r="AJ580" s="13" t="n"/>
      <c r="AK580" s="13" t="n"/>
      <c r="AL580" s="13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  <c r="AF581" s="13" t="n"/>
      <c r="AG581" s="13" t="n"/>
      <c r="AH581" s="13" t="n"/>
      <c r="AI581" s="13" t="n"/>
      <c r="AJ581" s="13" t="n"/>
      <c r="AK581" s="13" t="n"/>
      <c r="AL581" s="13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  <c r="AF582" s="13" t="n"/>
      <c r="AG582" s="13" t="n"/>
      <c r="AH582" s="13" t="n"/>
      <c r="AI582" s="13" t="n"/>
      <c r="AJ582" s="13" t="n"/>
      <c r="AK582" s="13" t="n"/>
      <c r="AL582" s="13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  <c r="AL583" s="13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  <c r="AF584" s="13" t="n"/>
      <c r="AG584" s="13" t="n"/>
      <c r="AH584" s="13" t="n"/>
      <c r="AI584" s="13" t="n"/>
      <c r="AJ584" s="13" t="n"/>
      <c r="AK584" s="13" t="n"/>
      <c r="AL584" s="13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  <c r="AL585" s="13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  <c r="AF586" s="13" t="n"/>
      <c r="AG586" s="13" t="n"/>
      <c r="AH586" s="13" t="n"/>
      <c r="AI586" s="13" t="n"/>
      <c r="AJ586" s="13" t="n"/>
      <c r="AK586" s="13" t="n"/>
      <c r="AL586" s="13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  <c r="AL587" s="13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  <c r="AF588" s="13" t="n"/>
      <c r="AG588" s="13" t="n"/>
      <c r="AH588" s="13" t="n"/>
      <c r="AI588" s="13" t="n"/>
      <c r="AJ588" s="13" t="n"/>
      <c r="AK588" s="13" t="n"/>
      <c r="AL588" s="13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  <c r="AF589" s="13" t="n"/>
      <c r="AG589" s="13" t="n"/>
      <c r="AH589" s="13" t="n"/>
      <c r="AI589" s="13" t="n"/>
      <c r="AJ589" s="13" t="n"/>
      <c r="AK589" s="13" t="n"/>
      <c r="AL589" s="13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  <c r="AF590" s="13" t="n"/>
      <c r="AG590" s="13" t="n"/>
      <c r="AH590" s="13" t="n"/>
      <c r="AI590" s="13" t="n"/>
      <c r="AJ590" s="13" t="n"/>
      <c r="AK590" s="13" t="n"/>
      <c r="AL590" s="13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  <c r="AL591" s="13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  <c r="AF592" s="13" t="n"/>
      <c r="AG592" s="13" t="n"/>
      <c r="AH592" s="13" t="n"/>
      <c r="AI592" s="13" t="n"/>
      <c r="AJ592" s="13" t="n"/>
      <c r="AK592" s="13" t="n"/>
      <c r="AL592" s="13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  <c r="AF593" s="13" t="n"/>
      <c r="AG593" s="13" t="n"/>
      <c r="AH593" s="13" t="n"/>
      <c r="AI593" s="13" t="n"/>
      <c r="AJ593" s="13" t="n"/>
      <c r="AK593" s="13" t="n"/>
      <c r="AL593" s="13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  <c r="AF594" s="13" t="n"/>
      <c r="AG594" s="13" t="n"/>
      <c r="AH594" s="13" t="n"/>
      <c r="AI594" s="13" t="n"/>
      <c r="AJ594" s="13" t="n"/>
      <c r="AK594" s="13" t="n"/>
      <c r="AL594" s="13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  <c r="AL595" s="13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  <c r="AL596" s="13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  <c r="AL597" s="13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  <c r="AF598" s="13" t="n"/>
      <c r="AG598" s="13" t="n"/>
      <c r="AH598" s="13" t="n"/>
      <c r="AI598" s="13" t="n"/>
      <c r="AJ598" s="13" t="n"/>
      <c r="AK598" s="13" t="n"/>
      <c r="AL598" s="13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  <c r="AF599" s="13" t="n"/>
      <c r="AG599" s="13" t="n"/>
      <c r="AH599" s="13" t="n"/>
      <c r="AI599" s="13" t="n"/>
      <c r="AJ599" s="13" t="n"/>
      <c r="AK599" s="13" t="n"/>
      <c r="AL599" s="13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  <c r="AF600" s="13" t="n"/>
      <c r="AG600" s="13" t="n"/>
      <c r="AH600" s="13" t="n"/>
      <c r="AI600" s="13" t="n"/>
      <c r="AJ600" s="13" t="n"/>
      <c r="AK600" s="13" t="n"/>
      <c r="AL600" s="13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  <c r="AF601" s="13" t="n"/>
      <c r="AG601" s="13" t="n"/>
      <c r="AH601" s="13" t="n"/>
      <c r="AI601" s="13" t="n"/>
      <c r="AJ601" s="13" t="n"/>
      <c r="AK601" s="13" t="n"/>
      <c r="AL601" s="13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  <c r="AF602" s="13" t="n"/>
      <c r="AG602" s="13" t="n"/>
      <c r="AH602" s="13" t="n"/>
      <c r="AI602" s="13" t="n"/>
      <c r="AJ602" s="13" t="n"/>
      <c r="AK602" s="13" t="n"/>
      <c r="AL602" s="13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  <c r="AF603" s="13" t="n"/>
      <c r="AG603" s="13" t="n"/>
      <c r="AH603" s="13" t="n"/>
      <c r="AI603" s="13" t="n"/>
      <c r="AJ603" s="13" t="n"/>
      <c r="AK603" s="13" t="n"/>
      <c r="AL603" s="13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  <c r="AF604" s="13" t="n"/>
      <c r="AG604" s="13" t="n"/>
      <c r="AH604" s="13" t="n"/>
      <c r="AI604" s="13" t="n"/>
      <c r="AJ604" s="13" t="n"/>
      <c r="AK604" s="13" t="n"/>
      <c r="AL604" s="13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  <c r="AL605" s="13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  <c r="AF606" s="13" t="n"/>
      <c r="AG606" s="13" t="n"/>
      <c r="AH606" s="13" t="n"/>
      <c r="AI606" s="13" t="n"/>
      <c r="AJ606" s="13" t="n"/>
      <c r="AK606" s="13" t="n"/>
      <c r="AL606" s="13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  <c r="AF607" s="13" t="n"/>
      <c r="AG607" s="13" t="n"/>
      <c r="AH607" s="13" t="n"/>
      <c r="AI607" s="13" t="n"/>
      <c r="AJ607" s="13" t="n"/>
      <c r="AK607" s="13" t="n"/>
      <c r="AL607" s="13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  <c r="AF608" s="13" t="n"/>
      <c r="AG608" s="13" t="n"/>
      <c r="AH608" s="13" t="n"/>
      <c r="AI608" s="13" t="n"/>
      <c r="AJ608" s="13" t="n"/>
      <c r="AK608" s="13" t="n"/>
      <c r="AL608" s="13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  <c r="AL609" s="13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  <c r="AF610" s="13" t="n"/>
      <c r="AG610" s="13" t="n"/>
      <c r="AH610" s="13" t="n"/>
      <c r="AI610" s="13" t="n"/>
      <c r="AJ610" s="13" t="n"/>
      <c r="AK610" s="13" t="n"/>
      <c r="AL610" s="13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  <c r="AF611" s="13" t="n"/>
      <c r="AG611" s="13" t="n"/>
      <c r="AH611" s="13" t="n"/>
      <c r="AI611" s="13" t="n"/>
      <c r="AJ611" s="13" t="n"/>
      <c r="AK611" s="13" t="n"/>
      <c r="AL611" s="13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  <c r="AF612" s="13" t="n"/>
      <c r="AG612" s="13" t="n"/>
      <c r="AH612" s="13" t="n"/>
      <c r="AI612" s="13" t="n"/>
      <c r="AJ612" s="13" t="n"/>
      <c r="AK612" s="13" t="n"/>
      <c r="AL612" s="13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  <c r="AL613" s="13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  <c r="AF614" s="13" t="n"/>
      <c r="AG614" s="13" t="n"/>
      <c r="AH614" s="13" t="n"/>
      <c r="AI614" s="13" t="n"/>
      <c r="AJ614" s="13" t="n"/>
      <c r="AK614" s="13" t="n"/>
      <c r="AL614" s="13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  <c r="AF615" s="13" t="n"/>
      <c r="AG615" s="13" t="n"/>
      <c r="AH615" s="13" t="n"/>
      <c r="AI615" s="13" t="n"/>
      <c r="AJ615" s="13" t="n"/>
      <c r="AK615" s="13" t="n"/>
      <c r="AL615" s="13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  <c r="AF616" s="13" t="n"/>
      <c r="AG616" s="13" t="n"/>
      <c r="AH616" s="13" t="n"/>
      <c r="AI616" s="13" t="n"/>
      <c r="AJ616" s="13" t="n"/>
      <c r="AK616" s="13" t="n"/>
      <c r="AL616" s="13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  <c r="AL617" s="13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  <c r="AF618" s="13" t="n"/>
      <c r="AG618" s="13" t="n"/>
      <c r="AH618" s="13" t="n"/>
      <c r="AI618" s="13" t="n"/>
      <c r="AJ618" s="13" t="n"/>
      <c r="AK618" s="13" t="n"/>
      <c r="AL618" s="13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  <c r="AF619" s="13" t="n"/>
      <c r="AG619" s="13" t="n"/>
      <c r="AH619" s="13" t="n"/>
      <c r="AI619" s="13" t="n"/>
      <c r="AJ619" s="13" t="n"/>
      <c r="AK619" s="13" t="n"/>
      <c r="AL619" s="13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  <c r="AF620" s="13" t="n"/>
      <c r="AG620" s="13" t="n"/>
      <c r="AH620" s="13" t="n"/>
      <c r="AI620" s="13" t="n"/>
      <c r="AJ620" s="13" t="n"/>
      <c r="AK620" s="13" t="n"/>
      <c r="AL620" s="13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  <c r="AL621" s="13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  <c r="AF622" s="13" t="n"/>
      <c r="AG622" s="13" t="n"/>
      <c r="AH622" s="13" t="n"/>
      <c r="AI622" s="13" t="n"/>
      <c r="AJ622" s="13" t="n"/>
      <c r="AK622" s="13" t="n"/>
      <c r="AL622" s="13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  <c r="AF623" s="13" t="n"/>
      <c r="AG623" s="13" t="n"/>
      <c r="AH623" s="13" t="n"/>
      <c r="AI623" s="13" t="n"/>
      <c r="AJ623" s="13" t="n"/>
      <c r="AK623" s="13" t="n"/>
      <c r="AL623" s="13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  <c r="AF624" s="13" t="n"/>
      <c r="AG624" s="13" t="n"/>
      <c r="AH624" s="13" t="n"/>
      <c r="AI624" s="13" t="n"/>
      <c r="AJ624" s="13" t="n"/>
      <c r="AK624" s="13" t="n"/>
      <c r="AL624" s="13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  <c r="AL625" s="13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  <c r="AF626" s="13" t="n"/>
      <c r="AG626" s="13" t="n"/>
      <c r="AH626" s="13" t="n"/>
      <c r="AI626" s="13" t="n"/>
      <c r="AJ626" s="13" t="n"/>
      <c r="AK626" s="13" t="n"/>
      <c r="AL626" s="13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  <c r="AF627" s="13" t="n"/>
      <c r="AG627" s="13" t="n"/>
      <c r="AH627" s="13" t="n"/>
      <c r="AI627" s="13" t="n"/>
      <c r="AJ627" s="13" t="n"/>
      <c r="AK627" s="13" t="n"/>
      <c r="AL627" s="13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  <c r="AF628" s="13" t="n"/>
      <c r="AG628" s="13" t="n"/>
      <c r="AH628" s="13" t="n"/>
      <c r="AI628" s="13" t="n"/>
      <c r="AJ628" s="13" t="n"/>
      <c r="AK628" s="13" t="n"/>
      <c r="AL628" s="13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  <c r="AL629" s="13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  <c r="AF630" s="13" t="n"/>
      <c r="AG630" s="13" t="n"/>
      <c r="AH630" s="13" t="n"/>
      <c r="AI630" s="13" t="n"/>
      <c r="AJ630" s="13" t="n"/>
      <c r="AK630" s="13" t="n"/>
      <c r="AL630" s="13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  <c r="AF631" s="13" t="n"/>
      <c r="AG631" s="13" t="n"/>
      <c r="AH631" s="13" t="n"/>
      <c r="AI631" s="13" t="n"/>
      <c r="AJ631" s="13" t="n"/>
      <c r="AK631" s="13" t="n"/>
      <c r="AL631" s="13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  <c r="AF632" s="13" t="n"/>
      <c r="AG632" s="13" t="n"/>
      <c r="AH632" s="13" t="n"/>
      <c r="AI632" s="13" t="n"/>
      <c r="AJ632" s="13" t="n"/>
      <c r="AK632" s="13" t="n"/>
      <c r="AL632" s="13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  <c r="AL633" s="13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  <c r="AF634" s="13" t="n"/>
      <c r="AG634" s="13" t="n"/>
      <c r="AH634" s="13" t="n"/>
      <c r="AI634" s="13" t="n"/>
      <c r="AJ634" s="13" t="n"/>
      <c r="AK634" s="13" t="n"/>
      <c r="AL634" s="13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  <c r="AF635" s="13" t="n"/>
      <c r="AG635" s="13" t="n"/>
      <c r="AH635" s="13" t="n"/>
      <c r="AI635" s="13" t="n"/>
      <c r="AJ635" s="13" t="n"/>
      <c r="AK635" s="13" t="n"/>
      <c r="AL635" s="13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  <c r="AF636" s="13" t="n"/>
      <c r="AG636" s="13" t="n"/>
      <c r="AH636" s="13" t="n"/>
      <c r="AI636" s="13" t="n"/>
      <c r="AJ636" s="13" t="n"/>
      <c r="AK636" s="13" t="n"/>
      <c r="AL636" s="13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  <c r="AL637" s="13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  <c r="AF638" s="13" t="n"/>
      <c r="AG638" s="13" t="n"/>
      <c r="AH638" s="13" t="n"/>
      <c r="AI638" s="13" t="n"/>
      <c r="AJ638" s="13" t="n"/>
      <c r="AK638" s="13" t="n"/>
      <c r="AL638" s="13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  <c r="AF639" s="13" t="n"/>
      <c r="AG639" s="13" t="n"/>
      <c r="AH639" s="13" t="n"/>
      <c r="AI639" s="13" t="n"/>
      <c r="AJ639" s="13" t="n"/>
      <c r="AK639" s="13" t="n"/>
      <c r="AL639" s="13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  <c r="AF640" s="13" t="n"/>
      <c r="AG640" s="13" t="n"/>
      <c r="AH640" s="13" t="n"/>
      <c r="AI640" s="13" t="n"/>
      <c r="AJ640" s="13" t="n"/>
      <c r="AK640" s="13" t="n"/>
      <c r="AL640" s="13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  <c r="AL641" s="13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  <c r="AF642" s="13" t="n"/>
      <c r="AG642" s="13" t="n"/>
      <c r="AH642" s="13" t="n"/>
      <c r="AI642" s="13" t="n"/>
      <c r="AJ642" s="13" t="n"/>
      <c r="AK642" s="13" t="n"/>
      <c r="AL642" s="13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  <c r="AF643" s="13" t="n"/>
      <c r="AG643" s="13" t="n"/>
      <c r="AH643" s="13" t="n"/>
      <c r="AI643" s="13" t="n"/>
      <c r="AJ643" s="13" t="n"/>
      <c r="AK643" s="13" t="n"/>
      <c r="AL643" s="13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  <c r="AF644" s="13" t="n"/>
      <c r="AG644" s="13" t="n"/>
      <c r="AH644" s="13" t="n"/>
      <c r="AI644" s="13" t="n"/>
      <c r="AJ644" s="13" t="n"/>
      <c r="AK644" s="13" t="n"/>
      <c r="AL644" s="13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  <c r="AF645" s="13" t="n"/>
      <c r="AG645" s="13" t="n"/>
      <c r="AH645" s="13" t="n"/>
      <c r="AI645" s="13" t="n"/>
      <c r="AJ645" s="13" t="n"/>
      <c r="AK645" s="13" t="n"/>
      <c r="AL645" s="13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  <c r="AF646" s="13" t="n"/>
      <c r="AG646" s="13" t="n"/>
      <c r="AH646" s="13" t="n"/>
      <c r="AI646" s="13" t="n"/>
      <c r="AJ646" s="13" t="n"/>
      <c r="AK646" s="13" t="n"/>
      <c r="AL646" s="13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  <c r="AF647" s="13" t="n"/>
      <c r="AG647" s="13" t="n"/>
      <c r="AH647" s="13" t="n"/>
      <c r="AI647" s="13" t="n"/>
      <c r="AJ647" s="13" t="n"/>
      <c r="AK647" s="13" t="n"/>
      <c r="AL647" s="13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  <c r="AF648" s="13" t="n"/>
      <c r="AG648" s="13" t="n"/>
      <c r="AH648" s="13" t="n"/>
      <c r="AI648" s="13" t="n"/>
      <c r="AJ648" s="13" t="n"/>
      <c r="AK648" s="13" t="n"/>
      <c r="AL648" s="13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  <c r="AF649" s="13" t="n"/>
      <c r="AG649" s="13" t="n"/>
      <c r="AH649" s="13" t="n"/>
      <c r="AI649" s="13" t="n"/>
      <c r="AJ649" s="13" t="n"/>
      <c r="AK649" s="13" t="n"/>
      <c r="AL649" s="13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  <c r="AF650" s="13" t="n"/>
      <c r="AG650" s="13" t="n"/>
      <c r="AH650" s="13" t="n"/>
      <c r="AI650" s="13" t="n"/>
      <c r="AJ650" s="13" t="n"/>
      <c r="AK650" s="13" t="n"/>
      <c r="AL650" s="13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  <c r="AL651" s="13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  <c r="AF652" s="13" t="n"/>
      <c r="AG652" s="13" t="n"/>
      <c r="AH652" s="13" t="n"/>
      <c r="AI652" s="13" t="n"/>
      <c r="AJ652" s="13" t="n"/>
      <c r="AK652" s="13" t="n"/>
      <c r="AL652" s="13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  <c r="AF653" s="13" t="n"/>
      <c r="AG653" s="13" t="n"/>
      <c r="AH653" s="13" t="n"/>
      <c r="AI653" s="13" t="n"/>
      <c r="AJ653" s="13" t="n"/>
      <c r="AK653" s="13" t="n"/>
      <c r="AL653" s="13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  <c r="AF654" s="13" t="n"/>
      <c r="AG654" s="13" t="n"/>
      <c r="AH654" s="13" t="n"/>
      <c r="AI654" s="13" t="n"/>
      <c r="AJ654" s="13" t="n"/>
      <c r="AK654" s="13" t="n"/>
      <c r="AL654" s="13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  <c r="AL655" s="13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  <c r="AF656" s="13" t="n"/>
      <c r="AG656" s="13" t="n"/>
      <c r="AH656" s="13" t="n"/>
      <c r="AI656" s="13" t="n"/>
      <c r="AJ656" s="13" t="n"/>
      <c r="AK656" s="13" t="n"/>
      <c r="AL656" s="13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  <c r="AF657" s="13" t="n"/>
      <c r="AG657" s="13" t="n"/>
      <c r="AH657" s="13" t="n"/>
      <c r="AI657" s="13" t="n"/>
      <c r="AJ657" s="13" t="n"/>
      <c r="AK657" s="13" t="n"/>
      <c r="AL657" s="13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  <c r="AF658" s="13" t="n"/>
      <c r="AG658" s="13" t="n"/>
      <c r="AH658" s="13" t="n"/>
      <c r="AI658" s="13" t="n"/>
      <c r="AJ658" s="13" t="n"/>
      <c r="AK658" s="13" t="n"/>
      <c r="AL658" s="13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  <c r="AL659" s="13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  <c r="AF660" s="13" t="n"/>
      <c r="AG660" s="13" t="n"/>
      <c r="AH660" s="13" t="n"/>
      <c r="AI660" s="13" t="n"/>
      <c r="AJ660" s="13" t="n"/>
      <c r="AK660" s="13" t="n"/>
      <c r="AL660" s="13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  <c r="AF661" s="13" t="n"/>
      <c r="AG661" s="13" t="n"/>
      <c r="AH661" s="13" t="n"/>
      <c r="AI661" s="13" t="n"/>
      <c r="AJ661" s="13" t="n"/>
      <c r="AK661" s="13" t="n"/>
      <c r="AL661" s="13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  <c r="AF662" s="13" t="n"/>
      <c r="AG662" s="13" t="n"/>
      <c r="AH662" s="13" t="n"/>
      <c r="AI662" s="13" t="n"/>
      <c r="AJ662" s="13" t="n"/>
      <c r="AK662" s="13" t="n"/>
      <c r="AL662" s="13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  <c r="AL663" s="13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  <c r="AF664" s="13" t="n"/>
      <c r="AG664" s="13" t="n"/>
      <c r="AH664" s="13" t="n"/>
      <c r="AI664" s="13" t="n"/>
      <c r="AJ664" s="13" t="n"/>
      <c r="AK664" s="13" t="n"/>
      <c r="AL664" s="13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  <c r="AF665" s="13" t="n"/>
      <c r="AG665" s="13" t="n"/>
      <c r="AH665" s="13" t="n"/>
      <c r="AI665" s="13" t="n"/>
      <c r="AJ665" s="13" t="n"/>
      <c r="AK665" s="13" t="n"/>
      <c r="AL665" s="13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  <c r="AF666" s="13" t="n"/>
      <c r="AG666" s="13" t="n"/>
      <c r="AH666" s="13" t="n"/>
      <c r="AI666" s="13" t="n"/>
      <c r="AJ666" s="13" t="n"/>
      <c r="AK666" s="13" t="n"/>
      <c r="AL666" s="13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  <c r="AL667" s="13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  <c r="AF668" s="13" t="n"/>
      <c r="AG668" s="13" t="n"/>
      <c r="AH668" s="13" t="n"/>
      <c r="AI668" s="13" t="n"/>
      <c r="AJ668" s="13" t="n"/>
      <c r="AK668" s="13" t="n"/>
      <c r="AL668" s="13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  <c r="AF669" s="13" t="n"/>
      <c r="AG669" s="13" t="n"/>
      <c r="AH669" s="13" t="n"/>
      <c r="AI669" s="13" t="n"/>
      <c r="AJ669" s="13" t="n"/>
      <c r="AK669" s="13" t="n"/>
      <c r="AL669" s="13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  <c r="AF670" s="13" t="n"/>
      <c r="AG670" s="13" t="n"/>
      <c r="AH670" s="13" t="n"/>
      <c r="AI670" s="13" t="n"/>
      <c r="AJ670" s="13" t="n"/>
      <c r="AK670" s="13" t="n"/>
      <c r="AL670" s="13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  <c r="AL671" s="13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  <c r="AF672" s="13" t="n"/>
      <c r="AG672" s="13" t="n"/>
      <c r="AH672" s="13" t="n"/>
      <c r="AI672" s="13" t="n"/>
      <c r="AJ672" s="13" t="n"/>
      <c r="AK672" s="13" t="n"/>
      <c r="AL672" s="13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  <c r="AF673" s="13" t="n"/>
      <c r="AG673" s="13" t="n"/>
      <c r="AH673" s="13" t="n"/>
      <c r="AI673" s="13" t="n"/>
      <c r="AJ673" s="13" t="n"/>
      <c r="AK673" s="13" t="n"/>
      <c r="AL673" s="13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  <c r="AF674" s="13" t="n"/>
      <c r="AG674" s="13" t="n"/>
      <c r="AH674" s="13" t="n"/>
      <c r="AI674" s="13" t="n"/>
      <c r="AJ674" s="13" t="n"/>
      <c r="AK674" s="13" t="n"/>
      <c r="AL674" s="13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  <c r="AL675" s="13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  <c r="AF676" s="13" t="n"/>
      <c r="AG676" s="13" t="n"/>
      <c r="AH676" s="13" t="n"/>
      <c r="AI676" s="13" t="n"/>
      <c r="AJ676" s="13" t="n"/>
      <c r="AK676" s="13" t="n"/>
      <c r="AL676" s="13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  <c r="AF677" s="13" t="n"/>
      <c r="AG677" s="13" t="n"/>
      <c r="AH677" s="13" t="n"/>
      <c r="AI677" s="13" t="n"/>
      <c r="AJ677" s="13" t="n"/>
      <c r="AK677" s="13" t="n"/>
      <c r="AL677" s="13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  <c r="AF678" s="13" t="n"/>
      <c r="AG678" s="13" t="n"/>
      <c r="AH678" s="13" t="n"/>
      <c r="AI678" s="13" t="n"/>
      <c r="AJ678" s="13" t="n"/>
      <c r="AK678" s="13" t="n"/>
      <c r="AL678" s="13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  <c r="AL679" s="13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  <c r="AF680" s="13" t="n"/>
      <c r="AG680" s="13" t="n"/>
      <c r="AH680" s="13" t="n"/>
      <c r="AI680" s="13" t="n"/>
      <c r="AJ680" s="13" t="n"/>
      <c r="AK680" s="13" t="n"/>
      <c r="AL680" s="13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  <c r="AF681" s="13" t="n"/>
      <c r="AG681" s="13" t="n"/>
      <c r="AH681" s="13" t="n"/>
      <c r="AI681" s="13" t="n"/>
      <c r="AJ681" s="13" t="n"/>
      <c r="AK681" s="13" t="n"/>
      <c r="AL681" s="13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  <c r="AF682" s="13" t="n"/>
      <c r="AG682" s="13" t="n"/>
      <c r="AH682" s="13" t="n"/>
      <c r="AI682" s="13" t="n"/>
      <c r="AJ682" s="13" t="n"/>
      <c r="AK682" s="13" t="n"/>
      <c r="AL682" s="13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  <c r="AL683" s="13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  <c r="AF684" s="13" t="n"/>
      <c r="AG684" s="13" t="n"/>
      <c r="AH684" s="13" t="n"/>
      <c r="AI684" s="13" t="n"/>
      <c r="AJ684" s="13" t="n"/>
      <c r="AK684" s="13" t="n"/>
      <c r="AL684" s="13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  <c r="AF685" s="13" t="n"/>
      <c r="AG685" s="13" t="n"/>
      <c r="AH685" s="13" t="n"/>
      <c r="AI685" s="13" t="n"/>
      <c r="AJ685" s="13" t="n"/>
      <c r="AK685" s="13" t="n"/>
      <c r="AL685" s="13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  <c r="AF686" s="13" t="n"/>
      <c r="AG686" s="13" t="n"/>
      <c r="AH686" s="13" t="n"/>
      <c r="AI686" s="13" t="n"/>
      <c r="AJ686" s="13" t="n"/>
      <c r="AK686" s="13" t="n"/>
      <c r="AL686" s="13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  <c r="AL687" s="13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  <c r="AF688" s="13" t="n"/>
      <c r="AG688" s="13" t="n"/>
      <c r="AH688" s="13" t="n"/>
      <c r="AI688" s="13" t="n"/>
      <c r="AJ688" s="13" t="n"/>
      <c r="AK688" s="13" t="n"/>
      <c r="AL688" s="13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  <c r="AF689" s="13" t="n"/>
      <c r="AG689" s="13" t="n"/>
      <c r="AH689" s="13" t="n"/>
      <c r="AI689" s="13" t="n"/>
      <c r="AJ689" s="13" t="n"/>
      <c r="AK689" s="13" t="n"/>
      <c r="AL689" s="13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  <c r="AF690" s="13" t="n"/>
      <c r="AG690" s="13" t="n"/>
      <c r="AH690" s="13" t="n"/>
      <c r="AI690" s="13" t="n"/>
      <c r="AJ690" s="13" t="n"/>
      <c r="AK690" s="13" t="n"/>
      <c r="AL690" s="13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  <c r="AF691" s="13" t="n"/>
      <c r="AG691" s="13" t="n"/>
      <c r="AH691" s="13" t="n"/>
      <c r="AI691" s="13" t="n"/>
      <c r="AJ691" s="13" t="n"/>
      <c r="AK691" s="13" t="n"/>
      <c r="AL691" s="13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  <c r="AF692" s="13" t="n"/>
      <c r="AG692" s="13" t="n"/>
      <c r="AH692" s="13" t="n"/>
      <c r="AI692" s="13" t="n"/>
      <c r="AJ692" s="13" t="n"/>
      <c r="AK692" s="13" t="n"/>
      <c r="AL692" s="13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  <c r="AF693" s="13" t="n"/>
      <c r="AG693" s="13" t="n"/>
      <c r="AH693" s="13" t="n"/>
      <c r="AI693" s="13" t="n"/>
      <c r="AJ693" s="13" t="n"/>
      <c r="AK693" s="13" t="n"/>
      <c r="AL693" s="13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  <c r="AF694" s="13" t="n"/>
      <c r="AG694" s="13" t="n"/>
      <c r="AH694" s="13" t="n"/>
      <c r="AI694" s="13" t="n"/>
      <c r="AJ694" s="13" t="n"/>
      <c r="AK694" s="13" t="n"/>
      <c r="AL694" s="13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  <c r="AF695" s="13" t="n"/>
      <c r="AG695" s="13" t="n"/>
      <c r="AH695" s="13" t="n"/>
      <c r="AI695" s="13" t="n"/>
      <c r="AJ695" s="13" t="n"/>
      <c r="AK695" s="13" t="n"/>
      <c r="AL695" s="13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  <c r="AF696" s="13" t="n"/>
      <c r="AG696" s="13" t="n"/>
      <c r="AH696" s="13" t="n"/>
      <c r="AI696" s="13" t="n"/>
      <c r="AJ696" s="13" t="n"/>
      <c r="AK696" s="13" t="n"/>
      <c r="AL696" s="13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  <c r="AL697" s="13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  <c r="AF698" s="13" t="n"/>
      <c r="AG698" s="13" t="n"/>
      <c r="AH698" s="13" t="n"/>
      <c r="AI698" s="13" t="n"/>
      <c r="AJ698" s="13" t="n"/>
      <c r="AK698" s="13" t="n"/>
      <c r="AL698" s="13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  <c r="AF699" s="13" t="n"/>
      <c r="AG699" s="13" t="n"/>
      <c r="AH699" s="13" t="n"/>
      <c r="AI699" s="13" t="n"/>
      <c r="AJ699" s="13" t="n"/>
      <c r="AK699" s="13" t="n"/>
      <c r="AL699" s="13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  <c r="AF700" s="13" t="n"/>
      <c r="AG700" s="13" t="n"/>
      <c r="AH700" s="13" t="n"/>
      <c r="AI700" s="13" t="n"/>
      <c r="AJ700" s="13" t="n"/>
      <c r="AK700" s="13" t="n"/>
      <c r="AL700" s="13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  <c r="AL701" s="13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  <c r="AF702" s="13" t="n"/>
      <c r="AG702" s="13" t="n"/>
      <c r="AH702" s="13" t="n"/>
      <c r="AI702" s="13" t="n"/>
      <c r="AJ702" s="13" t="n"/>
      <c r="AK702" s="13" t="n"/>
      <c r="AL702" s="13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  <c r="AF703" s="13" t="n"/>
      <c r="AG703" s="13" t="n"/>
      <c r="AH703" s="13" t="n"/>
      <c r="AI703" s="13" t="n"/>
      <c r="AJ703" s="13" t="n"/>
      <c r="AK703" s="13" t="n"/>
      <c r="AL703" s="13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  <c r="AF704" s="13" t="n"/>
      <c r="AG704" s="13" t="n"/>
      <c r="AH704" s="13" t="n"/>
      <c r="AI704" s="13" t="n"/>
      <c r="AJ704" s="13" t="n"/>
      <c r="AK704" s="13" t="n"/>
      <c r="AL704" s="13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  <c r="AL705" s="13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  <c r="AF706" s="13" t="n"/>
      <c r="AG706" s="13" t="n"/>
      <c r="AH706" s="13" t="n"/>
      <c r="AI706" s="13" t="n"/>
      <c r="AJ706" s="13" t="n"/>
      <c r="AK706" s="13" t="n"/>
      <c r="AL706" s="13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  <c r="AF707" s="13" t="n"/>
      <c r="AG707" s="13" t="n"/>
      <c r="AH707" s="13" t="n"/>
      <c r="AI707" s="13" t="n"/>
      <c r="AJ707" s="13" t="n"/>
      <c r="AK707" s="13" t="n"/>
      <c r="AL707" s="13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  <c r="AF708" s="13" t="n"/>
      <c r="AG708" s="13" t="n"/>
      <c r="AH708" s="13" t="n"/>
      <c r="AI708" s="13" t="n"/>
      <c r="AJ708" s="13" t="n"/>
      <c r="AK708" s="13" t="n"/>
      <c r="AL708" s="13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  <c r="AL709" s="13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  <c r="AF710" s="13" t="n"/>
      <c r="AG710" s="13" t="n"/>
      <c r="AH710" s="13" t="n"/>
      <c r="AI710" s="13" t="n"/>
      <c r="AJ710" s="13" t="n"/>
      <c r="AK710" s="13" t="n"/>
      <c r="AL710" s="13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  <c r="AF711" s="13" t="n"/>
      <c r="AG711" s="13" t="n"/>
      <c r="AH711" s="13" t="n"/>
      <c r="AI711" s="13" t="n"/>
      <c r="AJ711" s="13" t="n"/>
      <c r="AK711" s="13" t="n"/>
      <c r="AL711" s="13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  <c r="AF712" s="13" t="n"/>
      <c r="AG712" s="13" t="n"/>
      <c r="AH712" s="13" t="n"/>
      <c r="AI712" s="13" t="n"/>
      <c r="AJ712" s="13" t="n"/>
      <c r="AK712" s="13" t="n"/>
      <c r="AL712" s="13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  <c r="AL713" s="13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  <c r="AF714" s="13" t="n"/>
      <c r="AG714" s="13" t="n"/>
      <c r="AH714" s="13" t="n"/>
      <c r="AI714" s="13" t="n"/>
      <c r="AJ714" s="13" t="n"/>
      <c r="AK714" s="13" t="n"/>
      <c r="AL714" s="13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  <c r="AF715" s="13" t="n"/>
      <c r="AG715" s="13" t="n"/>
      <c r="AH715" s="13" t="n"/>
      <c r="AI715" s="13" t="n"/>
      <c r="AJ715" s="13" t="n"/>
      <c r="AK715" s="13" t="n"/>
      <c r="AL715" s="13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  <c r="AF716" s="13" t="n"/>
      <c r="AG716" s="13" t="n"/>
      <c r="AH716" s="13" t="n"/>
      <c r="AI716" s="13" t="n"/>
      <c r="AJ716" s="13" t="n"/>
      <c r="AK716" s="13" t="n"/>
      <c r="AL716" s="13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  <c r="AL717" s="13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  <c r="AF718" s="13" t="n"/>
      <c r="AG718" s="13" t="n"/>
      <c r="AH718" s="13" t="n"/>
      <c r="AI718" s="13" t="n"/>
      <c r="AJ718" s="13" t="n"/>
      <c r="AK718" s="13" t="n"/>
      <c r="AL718" s="13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  <c r="AF719" s="13" t="n"/>
      <c r="AG719" s="13" t="n"/>
      <c r="AH719" s="13" t="n"/>
      <c r="AI719" s="13" t="n"/>
      <c r="AJ719" s="13" t="n"/>
      <c r="AK719" s="13" t="n"/>
      <c r="AL719" s="13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  <c r="AF720" s="13" t="n"/>
      <c r="AG720" s="13" t="n"/>
      <c r="AH720" s="13" t="n"/>
      <c r="AI720" s="13" t="n"/>
      <c r="AJ720" s="13" t="n"/>
      <c r="AK720" s="13" t="n"/>
      <c r="AL720" s="13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  <c r="AL721" s="13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  <c r="AF722" s="13" t="n"/>
      <c r="AG722" s="13" t="n"/>
      <c r="AH722" s="13" t="n"/>
      <c r="AI722" s="13" t="n"/>
      <c r="AJ722" s="13" t="n"/>
      <c r="AK722" s="13" t="n"/>
      <c r="AL722" s="13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  <c r="AF723" s="13" t="n"/>
      <c r="AG723" s="13" t="n"/>
      <c r="AH723" s="13" t="n"/>
      <c r="AI723" s="13" t="n"/>
      <c r="AJ723" s="13" t="n"/>
      <c r="AK723" s="13" t="n"/>
      <c r="AL723" s="13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  <c r="AF724" s="13" t="n"/>
      <c r="AG724" s="13" t="n"/>
      <c r="AH724" s="13" t="n"/>
      <c r="AI724" s="13" t="n"/>
      <c r="AJ724" s="13" t="n"/>
      <c r="AK724" s="13" t="n"/>
      <c r="AL724" s="13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  <c r="AL725" s="13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  <c r="AF726" s="13" t="n"/>
      <c r="AG726" s="13" t="n"/>
      <c r="AH726" s="13" t="n"/>
      <c r="AI726" s="13" t="n"/>
      <c r="AJ726" s="13" t="n"/>
      <c r="AK726" s="13" t="n"/>
      <c r="AL726" s="13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  <c r="AF727" s="13" t="n"/>
      <c r="AG727" s="13" t="n"/>
      <c r="AH727" s="13" t="n"/>
      <c r="AI727" s="13" t="n"/>
      <c r="AJ727" s="13" t="n"/>
      <c r="AK727" s="13" t="n"/>
      <c r="AL727" s="13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  <c r="AF728" s="13" t="n"/>
      <c r="AG728" s="13" t="n"/>
      <c r="AH728" s="13" t="n"/>
      <c r="AI728" s="13" t="n"/>
      <c r="AJ728" s="13" t="n"/>
      <c r="AK728" s="13" t="n"/>
      <c r="AL728" s="13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  <c r="AL729" s="13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  <c r="AF730" s="13" t="n"/>
      <c r="AG730" s="13" t="n"/>
      <c r="AH730" s="13" t="n"/>
      <c r="AI730" s="13" t="n"/>
      <c r="AJ730" s="13" t="n"/>
      <c r="AK730" s="13" t="n"/>
      <c r="AL730" s="13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  <c r="AF731" s="13" t="n"/>
      <c r="AG731" s="13" t="n"/>
      <c r="AH731" s="13" t="n"/>
      <c r="AI731" s="13" t="n"/>
      <c r="AJ731" s="13" t="n"/>
      <c r="AK731" s="13" t="n"/>
      <c r="AL731" s="13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  <c r="AF732" s="13" t="n"/>
      <c r="AG732" s="13" t="n"/>
      <c r="AH732" s="13" t="n"/>
      <c r="AI732" s="13" t="n"/>
      <c r="AJ732" s="13" t="n"/>
      <c r="AK732" s="13" t="n"/>
      <c r="AL732" s="13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  <c r="AL733" s="13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  <c r="AF734" s="13" t="n"/>
      <c r="AG734" s="13" t="n"/>
      <c r="AH734" s="13" t="n"/>
      <c r="AI734" s="13" t="n"/>
      <c r="AJ734" s="13" t="n"/>
      <c r="AK734" s="13" t="n"/>
      <c r="AL734" s="13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  <c r="AF735" s="13" t="n"/>
      <c r="AG735" s="13" t="n"/>
      <c r="AH735" s="13" t="n"/>
      <c r="AI735" s="13" t="n"/>
      <c r="AJ735" s="13" t="n"/>
      <c r="AK735" s="13" t="n"/>
      <c r="AL735" s="13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  <c r="AF736" s="13" t="n"/>
      <c r="AG736" s="13" t="n"/>
      <c r="AH736" s="13" t="n"/>
      <c r="AI736" s="13" t="n"/>
      <c r="AJ736" s="13" t="n"/>
      <c r="AK736" s="13" t="n"/>
      <c r="AL736" s="13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  <c r="AF737" s="13" t="n"/>
      <c r="AG737" s="13" t="n"/>
      <c r="AH737" s="13" t="n"/>
      <c r="AI737" s="13" t="n"/>
      <c r="AJ737" s="13" t="n"/>
      <c r="AK737" s="13" t="n"/>
      <c r="AL737" s="13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  <c r="AF738" s="13" t="n"/>
      <c r="AG738" s="13" t="n"/>
      <c r="AH738" s="13" t="n"/>
      <c r="AI738" s="13" t="n"/>
      <c r="AJ738" s="13" t="n"/>
      <c r="AK738" s="13" t="n"/>
      <c r="AL738" s="13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  <c r="AF739" s="13" t="n"/>
      <c r="AG739" s="13" t="n"/>
      <c r="AH739" s="13" t="n"/>
      <c r="AI739" s="13" t="n"/>
      <c r="AJ739" s="13" t="n"/>
      <c r="AK739" s="13" t="n"/>
      <c r="AL739" s="13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  <c r="AF740" s="13" t="n"/>
      <c r="AG740" s="13" t="n"/>
      <c r="AH740" s="13" t="n"/>
      <c r="AI740" s="13" t="n"/>
      <c r="AJ740" s="13" t="n"/>
      <c r="AK740" s="13" t="n"/>
      <c r="AL740" s="13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  <c r="AF741" s="13" t="n"/>
      <c r="AG741" s="13" t="n"/>
      <c r="AH741" s="13" t="n"/>
      <c r="AI741" s="13" t="n"/>
      <c r="AJ741" s="13" t="n"/>
      <c r="AK741" s="13" t="n"/>
      <c r="AL741" s="13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  <c r="AF742" s="13" t="n"/>
      <c r="AG742" s="13" t="n"/>
      <c r="AH742" s="13" t="n"/>
      <c r="AI742" s="13" t="n"/>
      <c r="AJ742" s="13" t="n"/>
      <c r="AK742" s="13" t="n"/>
      <c r="AL742" s="13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  <c r="AL743" s="13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  <c r="AF744" s="13" t="n"/>
      <c r="AG744" s="13" t="n"/>
      <c r="AH744" s="13" t="n"/>
      <c r="AI744" s="13" t="n"/>
      <c r="AJ744" s="13" t="n"/>
      <c r="AK744" s="13" t="n"/>
      <c r="AL744" s="13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  <c r="AF745" s="13" t="n"/>
      <c r="AG745" s="13" t="n"/>
      <c r="AH745" s="13" t="n"/>
      <c r="AI745" s="13" t="n"/>
      <c r="AJ745" s="13" t="n"/>
      <c r="AK745" s="13" t="n"/>
      <c r="AL745" s="13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  <c r="AF746" s="13" t="n"/>
      <c r="AG746" s="13" t="n"/>
      <c r="AH746" s="13" t="n"/>
      <c r="AI746" s="13" t="n"/>
      <c r="AJ746" s="13" t="n"/>
      <c r="AK746" s="13" t="n"/>
      <c r="AL746" s="13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  <c r="AL747" s="13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  <c r="AF748" s="13" t="n"/>
      <c r="AG748" s="13" t="n"/>
      <c r="AH748" s="13" t="n"/>
      <c r="AI748" s="13" t="n"/>
      <c r="AJ748" s="13" t="n"/>
      <c r="AK748" s="13" t="n"/>
      <c r="AL748" s="13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  <c r="AF749" s="13" t="n"/>
      <c r="AG749" s="13" t="n"/>
      <c r="AH749" s="13" t="n"/>
      <c r="AI749" s="13" t="n"/>
      <c r="AJ749" s="13" t="n"/>
      <c r="AK749" s="13" t="n"/>
      <c r="AL749" s="13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  <c r="AF750" s="13" t="n"/>
      <c r="AG750" s="13" t="n"/>
      <c r="AH750" s="13" t="n"/>
      <c r="AI750" s="13" t="n"/>
      <c r="AJ750" s="13" t="n"/>
      <c r="AK750" s="13" t="n"/>
      <c r="AL750" s="13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  <c r="AL751" s="13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  <c r="AF752" s="13" t="n"/>
      <c r="AG752" s="13" t="n"/>
      <c r="AH752" s="13" t="n"/>
      <c r="AI752" s="13" t="n"/>
      <c r="AJ752" s="13" t="n"/>
      <c r="AK752" s="13" t="n"/>
      <c r="AL752" s="13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  <c r="AF753" s="13" t="n"/>
      <c r="AG753" s="13" t="n"/>
      <c r="AH753" s="13" t="n"/>
      <c r="AI753" s="13" t="n"/>
      <c r="AJ753" s="13" t="n"/>
      <c r="AK753" s="13" t="n"/>
      <c r="AL753" s="13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  <c r="AF754" s="13" t="n"/>
      <c r="AG754" s="13" t="n"/>
      <c r="AH754" s="13" t="n"/>
      <c r="AI754" s="13" t="n"/>
      <c r="AJ754" s="13" t="n"/>
      <c r="AK754" s="13" t="n"/>
      <c r="AL754" s="13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  <c r="AL755" s="13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  <c r="AF756" s="13" t="n"/>
      <c r="AG756" s="13" t="n"/>
      <c r="AH756" s="13" t="n"/>
      <c r="AI756" s="13" t="n"/>
      <c r="AJ756" s="13" t="n"/>
      <c r="AK756" s="13" t="n"/>
      <c r="AL756" s="13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  <c r="AF757" s="13" t="n"/>
      <c r="AG757" s="13" t="n"/>
      <c r="AH757" s="13" t="n"/>
      <c r="AI757" s="13" t="n"/>
      <c r="AJ757" s="13" t="n"/>
      <c r="AK757" s="13" t="n"/>
      <c r="AL757" s="13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  <c r="AF758" s="13" t="n"/>
      <c r="AG758" s="13" t="n"/>
      <c r="AH758" s="13" t="n"/>
      <c r="AI758" s="13" t="n"/>
      <c r="AJ758" s="13" t="n"/>
      <c r="AK758" s="13" t="n"/>
      <c r="AL758" s="13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  <c r="AL759" s="13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  <c r="AF760" s="13" t="n"/>
      <c r="AG760" s="13" t="n"/>
      <c r="AH760" s="13" t="n"/>
      <c r="AI760" s="13" t="n"/>
      <c r="AJ760" s="13" t="n"/>
      <c r="AK760" s="13" t="n"/>
      <c r="AL760" s="13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  <c r="AF761" s="13" t="n"/>
      <c r="AG761" s="13" t="n"/>
      <c r="AH761" s="13" t="n"/>
      <c r="AI761" s="13" t="n"/>
      <c r="AJ761" s="13" t="n"/>
      <c r="AK761" s="13" t="n"/>
      <c r="AL761" s="13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  <c r="AF762" s="13" t="n"/>
      <c r="AG762" s="13" t="n"/>
      <c r="AH762" s="13" t="n"/>
      <c r="AI762" s="13" t="n"/>
      <c r="AJ762" s="13" t="n"/>
      <c r="AK762" s="13" t="n"/>
      <c r="AL762" s="13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  <c r="AL763" s="13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  <c r="AF764" s="13" t="n"/>
      <c r="AG764" s="13" t="n"/>
      <c r="AH764" s="13" t="n"/>
      <c r="AI764" s="13" t="n"/>
      <c r="AJ764" s="13" t="n"/>
      <c r="AK764" s="13" t="n"/>
      <c r="AL764" s="13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  <c r="AF765" s="13" t="n"/>
      <c r="AG765" s="13" t="n"/>
      <c r="AH765" s="13" t="n"/>
      <c r="AI765" s="13" t="n"/>
      <c r="AJ765" s="13" t="n"/>
      <c r="AK765" s="13" t="n"/>
      <c r="AL765" s="13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  <c r="AF766" s="13" t="n"/>
      <c r="AG766" s="13" t="n"/>
      <c r="AH766" s="13" t="n"/>
      <c r="AI766" s="13" t="n"/>
      <c r="AJ766" s="13" t="n"/>
      <c r="AK766" s="13" t="n"/>
      <c r="AL766" s="13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  <c r="AL767" s="13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  <c r="AF768" s="13" t="n"/>
      <c r="AG768" s="13" t="n"/>
      <c r="AH768" s="13" t="n"/>
      <c r="AI768" s="13" t="n"/>
      <c r="AJ768" s="13" t="n"/>
      <c r="AK768" s="13" t="n"/>
      <c r="AL768" s="13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  <c r="AF769" s="13" t="n"/>
      <c r="AG769" s="13" t="n"/>
      <c r="AH769" s="13" t="n"/>
      <c r="AI769" s="13" t="n"/>
      <c r="AJ769" s="13" t="n"/>
      <c r="AK769" s="13" t="n"/>
      <c r="AL769" s="13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  <c r="AF770" s="13" t="n"/>
      <c r="AG770" s="13" t="n"/>
      <c r="AH770" s="13" t="n"/>
      <c r="AI770" s="13" t="n"/>
      <c r="AJ770" s="13" t="n"/>
      <c r="AK770" s="13" t="n"/>
      <c r="AL770" s="13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  <c r="AL771" s="13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  <c r="AF772" s="13" t="n"/>
      <c r="AG772" s="13" t="n"/>
      <c r="AH772" s="13" t="n"/>
      <c r="AI772" s="13" t="n"/>
      <c r="AJ772" s="13" t="n"/>
      <c r="AK772" s="13" t="n"/>
      <c r="AL772" s="13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  <c r="AF773" s="13" t="n"/>
      <c r="AG773" s="13" t="n"/>
      <c r="AH773" s="13" t="n"/>
      <c r="AI773" s="13" t="n"/>
      <c r="AJ773" s="13" t="n"/>
      <c r="AK773" s="13" t="n"/>
      <c r="AL773" s="13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  <c r="AF774" s="13" t="n"/>
      <c r="AG774" s="13" t="n"/>
      <c r="AH774" s="13" t="n"/>
      <c r="AI774" s="13" t="n"/>
      <c r="AJ774" s="13" t="n"/>
      <c r="AK774" s="13" t="n"/>
      <c r="AL774" s="13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  <c r="AL775" s="13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  <c r="AF776" s="13" t="n"/>
      <c r="AG776" s="13" t="n"/>
      <c r="AH776" s="13" t="n"/>
      <c r="AI776" s="13" t="n"/>
      <c r="AJ776" s="13" t="n"/>
      <c r="AK776" s="13" t="n"/>
      <c r="AL776" s="13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  <c r="AF777" s="13" t="n"/>
      <c r="AG777" s="13" t="n"/>
      <c r="AH777" s="13" t="n"/>
      <c r="AI777" s="13" t="n"/>
      <c r="AJ777" s="13" t="n"/>
      <c r="AK777" s="13" t="n"/>
      <c r="AL777" s="13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  <c r="AF778" s="13" t="n"/>
      <c r="AG778" s="13" t="n"/>
      <c r="AH778" s="13" t="n"/>
      <c r="AI778" s="13" t="n"/>
      <c r="AJ778" s="13" t="n"/>
      <c r="AK778" s="13" t="n"/>
      <c r="AL778" s="13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  <c r="AL779" s="13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  <c r="AF780" s="13" t="n"/>
      <c r="AG780" s="13" t="n"/>
      <c r="AH780" s="13" t="n"/>
      <c r="AI780" s="13" t="n"/>
      <c r="AJ780" s="13" t="n"/>
      <c r="AK780" s="13" t="n"/>
      <c r="AL780" s="13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  <c r="AF781" s="13" t="n"/>
      <c r="AG781" s="13" t="n"/>
      <c r="AH781" s="13" t="n"/>
      <c r="AI781" s="13" t="n"/>
      <c r="AJ781" s="13" t="n"/>
      <c r="AK781" s="13" t="n"/>
      <c r="AL781" s="13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  <c r="AF782" s="13" t="n"/>
      <c r="AG782" s="13" t="n"/>
      <c r="AH782" s="13" t="n"/>
      <c r="AI782" s="13" t="n"/>
      <c r="AJ782" s="13" t="n"/>
      <c r="AK782" s="13" t="n"/>
      <c r="AL782" s="13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  <c r="AF783" s="13" t="n"/>
      <c r="AG783" s="13" t="n"/>
      <c r="AH783" s="13" t="n"/>
      <c r="AI783" s="13" t="n"/>
      <c r="AJ783" s="13" t="n"/>
      <c r="AK783" s="13" t="n"/>
      <c r="AL783" s="13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  <c r="AF784" s="13" t="n"/>
      <c r="AG784" s="13" t="n"/>
      <c r="AH784" s="13" t="n"/>
      <c r="AI784" s="13" t="n"/>
      <c r="AJ784" s="13" t="n"/>
      <c r="AK784" s="13" t="n"/>
      <c r="AL784" s="13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  <c r="AF785" s="13" t="n"/>
      <c r="AG785" s="13" t="n"/>
      <c r="AH785" s="13" t="n"/>
      <c r="AI785" s="13" t="n"/>
      <c r="AJ785" s="13" t="n"/>
      <c r="AK785" s="13" t="n"/>
      <c r="AL785" s="13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  <c r="AF786" s="13" t="n"/>
      <c r="AG786" s="13" t="n"/>
      <c r="AH786" s="13" t="n"/>
      <c r="AI786" s="13" t="n"/>
      <c r="AJ786" s="13" t="n"/>
      <c r="AK786" s="13" t="n"/>
      <c r="AL786" s="13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  <c r="AF787" s="13" t="n"/>
      <c r="AG787" s="13" t="n"/>
      <c r="AH787" s="13" t="n"/>
      <c r="AI787" s="13" t="n"/>
      <c r="AJ787" s="13" t="n"/>
      <c r="AK787" s="13" t="n"/>
      <c r="AL787" s="13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  <c r="AF788" s="13" t="n"/>
      <c r="AG788" s="13" t="n"/>
      <c r="AH788" s="13" t="n"/>
      <c r="AI788" s="13" t="n"/>
      <c r="AJ788" s="13" t="n"/>
      <c r="AK788" s="13" t="n"/>
      <c r="AL788" s="13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  <c r="AL789" s="13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  <c r="AF790" s="13" t="n"/>
      <c r="AG790" s="13" t="n"/>
      <c r="AH790" s="13" t="n"/>
      <c r="AI790" s="13" t="n"/>
      <c r="AJ790" s="13" t="n"/>
      <c r="AK790" s="13" t="n"/>
      <c r="AL790" s="13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  <c r="AF791" s="13" t="n"/>
      <c r="AG791" s="13" t="n"/>
      <c r="AH791" s="13" t="n"/>
      <c r="AI791" s="13" t="n"/>
      <c r="AJ791" s="13" t="n"/>
      <c r="AK791" s="13" t="n"/>
      <c r="AL791" s="13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  <c r="AF792" s="13" t="n"/>
      <c r="AG792" s="13" t="n"/>
      <c r="AH792" s="13" t="n"/>
      <c r="AI792" s="13" t="n"/>
      <c r="AJ792" s="13" t="n"/>
      <c r="AK792" s="13" t="n"/>
      <c r="AL792" s="13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  <c r="AL793" s="13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  <c r="AF794" s="13" t="n"/>
      <c r="AG794" s="13" t="n"/>
      <c r="AH794" s="13" t="n"/>
      <c r="AI794" s="13" t="n"/>
      <c r="AJ794" s="13" t="n"/>
      <c r="AK794" s="13" t="n"/>
      <c r="AL794" s="13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  <c r="AF795" s="13" t="n"/>
      <c r="AG795" s="13" t="n"/>
      <c r="AH795" s="13" t="n"/>
      <c r="AI795" s="13" t="n"/>
      <c r="AJ795" s="13" t="n"/>
      <c r="AK795" s="13" t="n"/>
      <c r="AL795" s="13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  <c r="AF796" s="13" t="n"/>
      <c r="AG796" s="13" t="n"/>
      <c r="AH796" s="13" t="n"/>
      <c r="AI796" s="13" t="n"/>
      <c r="AJ796" s="13" t="n"/>
      <c r="AK796" s="13" t="n"/>
      <c r="AL796" s="13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  <c r="AL797" s="13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  <c r="AF798" s="13" t="n"/>
      <c r="AG798" s="13" t="n"/>
      <c r="AH798" s="13" t="n"/>
      <c r="AI798" s="13" t="n"/>
      <c r="AJ798" s="13" t="n"/>
      <c r="AK798" s="13" t="n"/>
      <c r="AL798" s="13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  <c r="AF799" s="13" t="n"/>
      <c r="AG799" s="13" t="n"/>
      <c r="AH799" s="13" t="n"/>
      <c r="AI799" s="13" t="n"/>
      <c r="AJ799" s="13" t="n"/>
      <c r="AK799" s="13" t="n"/>
      <c r="AL799" s="13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  <c r="AF800" s="13" t="n"/>
      <c r="AG800" s="13" t="n"/>
      <c r="AH800" s="13" t="n"/>
      <c r="AI800" s="13" t="n"/>
      <c r="AJ800" s="13" t="n"/>
      <c r="AK800" s="13" t="n"/>
      <c r="AL800" s="13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  <c r="AL801" s="13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  <c r="AF802" s="13" t="n"/>
      <c r="AG802" s="13" t="n"/>
      <c r="AH802" s="13" t="n"/>
      <c r="AI802" s="13" t="n"/>
      <c r="AJ802" s="13" t="n"/>
      <c r="AK802" s="13" t="n"/>
      <c r="AL802" s="13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  <c r="AF803" s="13" t="n"/>
      <c r="AG803" s="13" t="n"/>
      <c r="AH803" s="13" t="n"/>
      <c r="AI803" s="13" t="n"/>
      <c r="AJ803" s="13" t="n"/>
      <c r="AK803" s="13" t="n"/>
      <c r="AL803" s="13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  <c r="AF804" s="13" t="n"/>
      <c r="AG804" s="13" t="n"/>
      <c r="AH804" s="13" t="n"/>
      <c r="AI804" s="13" t="n"/>
      <c r="AJ804" s="13" t="n"/>
      <c r="AK804" s="13" t="n"/>
      <c r="AL804" s="13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  <c r="AL805" s="13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  <c r="AF806" s="13" t="n"/>
      <c r="AG806" s="13" t="n"/>
      <c r="AH806" s="13" t="n"/>
      <c r="AI806" s="13" t="n"/>
      <c r="AJ806" s="13" t="n"/>
      <c r="AK806" s="13" t="n"/>
      <c r="AL806" s="13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  <c r="AF807" s="13" t="n"/>
      <c r="AG807" s="13" t="n"/>
      <c r="AH807" s="13" t="n"/>
      <c r="AI807" s="13" t="n"/>
      <c r="AJ807" s="13" t="n"/>
      <c r="AK807" s="13" t="n"/>
      <c r="AL807" s="13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  <c r="AF808" s="13" t="n"/>
      <c r="AG808" s="13" t="n"/>
      <c r="AH808" s="13" t="n"/>
      <c r="AI808" s="13" t="n"/>
      <c r="AJ808" s="13" t="n"/>
      <c r="AK808" s="13" t="n"/>
      <c r="AL808" s="13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  <c r="AL809" s="13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  <c r="AF810" s="13" t="n"/>
      <c r="AG810" s="13" t="n"/>
      <c r="AH810" s="13" t="n"/>
      <c r="AI810" s="13" t="n"/>
      <c r="AJ810" s="13" t="n"/>
      <c r="AK810" s="13" t="n"/>
      <c r="AL810" s="13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  <c r="AF811" s="13" t="n"/>
      <c r="AG811" s="13" t="n"/>
      <c r="AH811" s="13" t="n"/>
      <c r="AI811" s="13" t="n"/>
      <c r="AJ811" s="13" t="n"/>
      <c r="AK811" s="13" t="n"/>
      <c r="AL811" s="13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  <c r="AF812" s="13" t="n"/>
      <c r="AG812" s="13" t="n"/>
      <c r="AH812" s="13" t="n"/>
      <c r="AI812" s="13" t="n"/>
      <c r="AJ812" s="13" t="n"/>
      <c r="AK812" s="13" t="n"/>
      <c r="AL812" s="13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  <c r="AL813" s="13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  <c r="AF814" s="13" t="n"/>
      <c r="AG814" s="13" t="n"/>
      <c r="AH814" s="13" t="n"/>
      <c r="AI814" s="13" t="n"/>
      <c r="AJ814" s="13" t="n"/>
      <c r="AK814" s="13" t="n"/>
      <c r="AL814" s="13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  <c r="AF815" s="13" t="n"/>
      <c r="AG815" s="13" t="n"/>
      <c r="AH815" s="13" t="n"/>
      <c r="AI815" s="13" t="n"/>
      <c r="AJ815" s="13" t="n"/>
      <c r="AK815" s="13" t="n"/>
      <c r="AL815" s="13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  <c r="AF816" s="13" t="n"/>
      <c r="AG816" s="13" t="n"/>
      <c r="AH816" s="13" t="n"/>
      <c r="AI816" s="13" t="n"/>
      <c r="AJ816" s="13" t="n"/>
      <c r="AK816" s="13" t="n"/>
      <c r="AL816" s="13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  <c r="AL817" s="13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  <c r="AF818" s="13" t="n"/>
      <c r="AG818" s="13" t="n"/>
      <c r="AH818" s="13" t="n"/>
      <c r="AI818" s="13" t="n"/>
      <c r="AJ818" s="13" t="n"/>
      <c r="AK818" s="13" t="n"/>
      <c r="AL818" s="13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  <c r="AF819" s="13" t="n"/>
      <c r="AG819" s="13" t="n"/>
      <c r="AH819" s="13" t="n"/>
      <c r="AI819" s="13" t="n"/>
      <c r="AJ819" s="13" t="n"/>
      <c r="AK819" s="13" t="n"/>
      <c r="AL819" s="13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  <c r="AF820" s="13" t="n"/>
      <c r="AG820" s="13" t="n"/>
      <c r="AH820" s="13" t="n"/>
      <c r="AI820" s="13" t="n"/>
      <c r="AJ820" s="13" t="n"/>
      <c r="AK820" s="13" t="n"/>
      <c r="AL820" s="13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  <c r="AL821" s="13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  <c r="AF822" s="13" t="n"/>
      <c r="AG822" s="13" t="n"/>
      <c r="AH822" s="13" t="n"/>
      <c r="AI822" s="13" t="n"/>
      <c r="AJ822" s="13" t="n"/>
      <c r="AK822" s="13" t="n"/>
      <c r="AL822" s="13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  <c r="AF823" s="13" t="n"/>
      <c r="AG823" s="13" t="n"/>
      <c r="AH823" s="13" t="n"/>
      <c r="AI823" s="13" t="n"/>
      <c r="AJ823" s="13" t="n"/>
      <c r="AK823" s="13" t="n"/>
      <c r="AL823" s="13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  <c r="AF824" s="13" t="n"/>
      <c r="AG824" s="13" t="n"/>
      <c r="AH824" s="13" t="n"/>
      <c r="AI824" s="13" t="n"/>
      <c r="AJ824" s="13" t="n"/>
      <c r="AK824" s="13" t="n"/>
      <c r="AL824" s="13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  <c r="AL825" s="13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  <c r="AF826" s="13" t="n"/>
      <c r="AG826" s="13" t="n"/>
      <c r="AH826" s="13" t="n"/>
      <c r="AI826" s="13" t="n"/>
      <c r="AJ826" s="13" t="n"/>
      <c r="AK826" s="13" t="n"/>
      <c r="AL826" s="13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  <c r="AF827" s="13" t="n"/>
      <c r="AG827" s="13" t="n"/>
      <c r="AH827" s="13" t="n"/>
      <c r="AI827" s="13" t="n"/>
      <c r="AJ827" s="13" t="n"/>
      <c r="AK827" s="13" t="n"/>
      <c r="AL827" s="13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  <c r="AF828" s="13" t="n"/>
      <c r="AG828" s="13" t="n"/>
      <c r="AH828" s="13" t="n"/>
      <c r="AI828" s="13" t="n"/>
      <c r="AJ828" s="13" t="n"/>
      <c r="AK828" s="13" t="n"/>
      <c r="AL828" s="13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  <c r="AF829" s="13" t="n"/>
      <c r="AG829" s="13" t="n"/>
      <c r="AH829" s="13" t="n"/>
      <c r="AI829" s="13" t="n"/>
      <c r="AJ829" s="13" t="n"/>
      <c r="AK829" s="13" t="n"/>
      <c r="AL829" s="13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  <c r="AF830" s="13" t="n"/>
      <c r="AG830" s="13" t="n"/>
      <c r="AH830" s="13" t="n"/>
      <c r="AI830" s="13" t="n"/>
      <c r="AJ830" s="13" t="n"/>
      <c r="AK830" s="13" t="n"/>
      <c r="AL830" s="13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  <c r="AF831" s="13" t="n"/>
      <c r="AG831" s="13" t="n"/>
      <c r="AH831" s="13" t="n"/>
      <c r="AI831" s="13" t="n"/>
      <c r="AJ831" s="13" t="n"/>
      <c r="AK831" s="13" t="n"/>
      <c r="AL831" s="13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  <c r="AF832" s="13" t="n"/>
      <c r="AG832" s="13" t="n"/>
      <c r="AH832" s="13" t="n"/>
      <c r="AI832" s="13" t="n"/>
      <c r="AJ832" s="13" t="n"/>
      <c r="AK832" s="13" t="n"/>
      <c r="AL832" s="13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  <c r="AF833" s="13" t="n"/>
      <c r="AG833" s="13" t="n"/>
      <c r="AH833" s="13" t="n"/>
      <c r="AI833" s="13" t="n"/>
      <c r="AJ833" s="13" t="n"/>
      <c r="AK833" s="13" t="n"/>
      <c r="AL833" s="13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  <c r="AF834" s="13" t="n"/>
      <c r="AG834" s="13" t="n"/>
      <c r="AH834" s="13" t="n"/>
      <c r="AI834" s="13" t="n"/>
      <c r="AJ834" s="13" t="n"/>
      <c r="AK834" s="13" t="n"/>
      <c r="AL834" s="13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  <c r="AL835" s="13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  <c r="AF836" s="13" t="n"/>
      <c r="AG836" s="13" t="n"/>
      <c r="AH836" s="13" t="n"/>
      <c r="AI836" s="13" t="n"/>
      <c r="AJ836" s="13" t="n"/>
      <c r="AK836" s="13" t="n"/>
      <c r="AL836" s="13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  <c r="AF837" s="13" t="n"/>
      <c r="AG837" s="13" t="n"/>
      <c r="AH837" s="13" t="n"/>
      <c r="AI837" s="13" t="n"/>
      <c r="AJ837" s="13" t="n"/>
      <c r="AK837" s="13" t="n"/>
      <c r="AL837" s="13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  <c r="AF838" s="13" t="n"/>
      <c r="AG838" s="13" t="n"/>
      <c r="AH838" s="13" t="n"/>
      <c r="AI838" s="13" t="n"/>
      <c r="AJ838" s="13" t="n"/>
      <c r="AK838" s="13" t="n"/>
      <c r="AL838" s="13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  <c r="AL839" s="13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  <c r="AF840" s="13" t="n"/>
      <c r="AG840" s="13" t="n"/>
      <c r="AH840" s="13" t="n"/>
      <c r="AI840" s="13" t="n"/>
      <c r="AJ840" s="13" t="n"/>
      <c r="AK840" s="13" t="n"/>
      <c r="AL840" s="13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  <c r="AF841" s="13" t="n"/>
      <c r="AG841" s="13" t="n"/>
      <c r="AH841" s="13" t="n"/>
      <c r="AI841" s="13" t="n"/>
      <c r="AJ841" s="13" t="n"/>
      <c r="AK841" s="13" t="n"/>
      <c r="AL841" s="13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  <c r="AF842" s="13" t="n"/>
      <c r="AG842" s="13" t="n"/>
      <c r="AH842" s="13" t="n"/>
      <c r="AI842" s="13" t="n"/>
      <c r="AJ842" s="13" t="n"/>
      <c r="AK842" s="13" t="n"/>
      <c r="AL842" s="13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  <c r="AL843" s="13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  <c r="AF844" s="13" t="n"/>
      <c r="AG844" s="13" t="n"/>
      <c r="AH844" s="13" t="n"/>
      <c r="AI844" s="13" t="n"/>
      <c r="AJ844" s="13" t="n"/>
      <c r="AK844" s="13" t="n"/>
      <c r="AL844" s="13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  <c r="AF845" s="13" t="n"/>
      <c r="AG845" s="13" t="n"/>
      <c r="AH845" s="13" t="n"/>
      <c r="AI845" s="13" t="n"/>
      <c r="AJ845" s="13" t="n"/>
      <c r="AK845" s="13" t="n"/>
      <c r="AL845" s="13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  <c r="AF846" s="13" t="n"/>
      <c r="AG846" s="13" t="n"/>
      <c r="AH846" s="13" t="n"/>
      <c r="AI846" s="13" t="n"/>
      <c r="AJ846" s="13" t="n"/>
      <c r="AK846" s="13" t="n"/>
      <c r="AL846" s="13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  <c r="AL847" s="13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  <c r="AF848" s="13" t="n"/>
      <c r="AG848" s="13" t="n"/>
      <c r="AH848" s="13" t="n"/>
      <c r="AI848" s="13" t="n"/>
      <c r="AJ848" s="13" t="n"/>
      <c r="AK848" s="13" t="n"/>
      <c r="AL848" s="13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  <c r="AF849" s="13" t="n"/>
      <c r="AG849" s="13" t="n"/>
      <c r="AH849" s="13" t="n"/>
      <c r="AI849" s="13" t="n"/>
      <c r="AJ849" s="13" t="n"/>
      <c r="AK849" s="13" t="n"/>
      <c r="AL849" s="13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  <c r="AF850" s="13" t="n"/>
      <c r="AG850" s="13" t="n"/>
      <c r="AH850" s="13" t="n"/>
      <c r="AI850" s="13" t="n"/>
      <c r="AJ850" s="13" t="n"/>
      <c r="AK850" s="13" t="n"/>
      <c r="AL850" s="13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  <c r="AL851" s="13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  <c r="AF852" s="13" t="n"/>
      <c r="AG852" s="13" t="n"/>
      <c r="AH852" s="13" t="n"/>
      <c r="AI852" s="13" t="n"/>
      <c r="AJ852" s="13" t="n"/>
      <c r="AK852" s="13" t="n"/>
      <c r="AL852" s="13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  <c r="AF853" s="13" t="n"/>
      <c r="AG853" s="13" t="n"/>
      <c r="AH853" s="13" t="n"/>
      <c r="AI853" s="13" t="n"/>
      <c r="AJ853" s="13" t="n"/>
      <c r="AK853" s="13" t="n"/>
      <c r="AL853" s="13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  <c r="AF854" s="13" t="n"/>
      <c r="AG854" s="13" t="n"/>
      <c r="AH854" s="13" t="n"/>
      <c r="AI854" s="13" t="n"/>
      <c r="AJ854" s="13" t="n"/>
      <c r="AK854" s="13" t="n"/>
      <c r="AL854" s="13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  <c r="AL855" s="13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  <c r="AF856" s="13" t="n"/>
      <c r="AG856" s="13" t="n"/>
      <c r="AH856" s="13" t="n"/>
      <c r="AI856" s="13" t="n"/>
      <c r="AJ856" s="13" t="n"/>
      <c r="AK856" s="13" t="n"/>
      <c r="AL856" s="13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  <c r="AF857" s="13" t="n"/>
      <c r="AG857" s="13" t="n"/>
      <c r="AH857" s="13" t="n"/>
      <c r="AI857" s="13" t="n"/>
      <c r="AJ857" s="13" t="n"/>
      <c r="AK857" s="13" t="n"/>
      <c r="AL857" s="13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  <c r="AF858" s="13" t="n"/>
      <c r="AG858" s="13" t="n"/>
      <c r="AH858" s="13" t="n"/>
      <c r="AI858" s="13" t="n"/>
      <c r="AJ858" s="13" t="n"/>
      <c r="AK858" s="13" t="n"/>
      <c r="AL858" s="13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  <c r="AL859" s="13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  <c r="AF860" s="13" t="n"/>
      <c r="AG860" s="13" t="n"/>
      <c r="AH860" s="13" t="n"/>
      <c r="AI860" s="13" t="n"/>
      <c r="AJ860" s="13" t="n"/>
      <c r="AK860" s="13" t="n"/>
      <c r="AL860" s="13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  <c r="AF861" s="13" t="n"/>
      <c r="AG861" s="13" t="n"/>
      <c r="AH861" s="13" t="n"/>
      <c r="AI861" s="13" t="n"/>
      <c r="AJ861" s="13" t="n"/>
      <c r="AK861" s="13" t="n"/>
      <c r="AL861" s="13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  <c r="AF862" s="13" t="n"/>
      <c r="AG862" s="13" t="n"/>
      <c r="AH862" s="13" t="n"/>
      <c r="AI862" s="13" t="n"/>
      <c r="AJ862" s="13" t="n"/>
      <c r="AK862" s="13" t="n"/>
      <c r="AL862" s="13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  <c r="AL863" s="13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  <c r="AF864" s="13" t="n"/>
      <c r="AG864" s="13" t="n"/>
      <c r="AH864" s="13" t="n"/>
      <c r="AI864" s="13" t="n"/>
      <c r="AJ864" s="13" t="n"/>
      <c r="AK864" s="13" t="n"/>
      <c r="AL864" s="13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  <c r="AF865" s="13" t="n"/>
      <c r="AG865" s="13" t="n"/>
      <c r="AH865" s="13" t="n"/>
      <c r="AI865" s="13" t="n"/>
      <c r="AJ865" s="13" t="n"/>
      <c r="AK865" s="13" t="n"/>
      <c r="AL865" s="13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  <c r="AF866" s="13" t="n"/>
      <c r="AG866" s="13" t="n"/>
      <c r="AH866" s="13" t="n"/>
      <c r="AI866" s="13" t="n"/>
      <c r="AJ866" s="13" t="n"/>
      <c r="AK866" s="13" t="n"/>
      <c r="AL866" s="13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  <c r="AL867" s="13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  <c r="AF868" s="13" t="n"/>
      <c r="AG868" s="13" t="n"/>
      <c r="AH868" s="13" t="n"/>
      <c r="AI868" s="13" t="n"/>
      <c r="AJ868" s="13" t="n"/>
      <c r="AK868" s="13" t="n"/>
      <c r="AL868" s="13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  <c r="AF869" s="13" t="n"/>
      <c r="AG869" s="13" t="n"/>
      <c r="AH869" s="13" t="n"/>
      <c r="AI869" s="13" t="n"/>
      <c r="AJ869" s="13" t="n"/>
      <c r="AK869" s="13" t="n"/>
      <c r="AL869" s="13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  <c r="AF870" s="13" t="n"/>
      <c r="AG870" s="13" t="n"/>
      <c r="AH870" s="13" t="n"/>
      <c r="AI870" s="13" t="n"/>
      <c r="AJ870" s="13" t="n"/>
      <c r="AK870" s="13" t="n"/>
      <c r="AL870" s="13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  <c r="AL871" s="13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  <c r="AF872" s="13" t="n"/>
      <c r="AG872" s="13" t="n"/>
      <c r="AH872" s="13" t="n"/>
      <c r="AI872" s="13" t="n"/>
      <c r="AJ872" s="13" t="n"/>
      <c r="AK872" s="13" t="n"/>
      <c r="AL872" s="13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  <c r="AF873" s="13" t="n"/>
      <c r="AG873" s="13" t="n"/>
      <c r="AH873" s="13" t="n"/>
      <c r="AI873" s="13" t="n"/>
      <c r="AJ873" s="13" t="n"/>
      <c r="AK873" s="13" t="n"/>
      <c r="AL873" s="13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  <c r="AF874" s="13" t="n"/>
      <c r="AG874" s="13" t="n"/>
      <c r="AH874" s="13" t="n"/>
      <c r="AI874" s="13" t="n"/>
      <c r="AJ874" s="13" t="n"/>
      <c r="AK874" s="13" t="n"/>
      <c r="AL874" s="13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  <c r="AF875" s="13" t="n"/>
      <c r="AG875" s="13" t="n"/>
      <c r="AH875" s="13" t="n"/>
      <c r="AI875" s="13" t="n"/>
      <c r="AJ875" s="13" t="n"/>
      <c r="AK875" s="13" t="n"/>
      <c r="AL875" s="13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  <c r="AF876" s="13" t="n"/>
      <c r="AG876" s="13" t="n"/>
      <c r="AH876" s="13" t="n"/>
      <c r="AI876" s="13" t="n"/>
      <c r="AJ876" s="13" t="n"/>
      <c r="AK876" s="13" t="n"/>
      <c r="AL876" s="13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  <c r="AF877" s="13" t="n"/>
      <c r="AG877" s="13" t="n"/>
      <c r="AH877" s="13" t="n"/>
      <c r="AI877" s="13" t="n"/>
      <c r="AJ877" s="13" t="n"/>
      <c r="AK877" s="13" t="n"/>
      <c r="AL877" s="13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  <c r="AF878" s="13" t="n"/>
      <c r="AG878" s="13" t="n"/>
      <c r="AH878" s="13" t="n"/>
      <c r="AI878" s="13" t="n"/>
      <c r="AJ878" s="13" t="n"/>
      <c r="AK878" s="13" t="n"/>
      <c r="AL878" s="13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  <c r="AF879" s="13" t="n"/>
      <c r="AG879" s="13" t="n"/>
      <c r="AH879" s="13" t="n"/>
      <c r="AI879" s="13" t="n"/>
      <c r="AJ879" s="13" t="n"/>
      <c r="AK879" s="13" t="n"/>
      <c r="AL879" s="13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  <c r="AF880" s="13" t="n"/>
      <c r="AG880" s="13" t="n"/>
      <c r="AH880" s="13" t="n"/>
      <c r="AI880" s="13" t="n"/>
      <c r="AJ880" s="13" t="n"/>
      <c r="AK880" s="13" t="n"/>
      <c r="AL880" s="13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  <c r="AL881" s="13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  <c r="AF882" s="13" t="n"/>
      <c r="AG882" s="13" t="n"/>
      <c r="AH882" s="13" t="n"/>
      <c r="AI882" s="13" t="n"/>
      <c r="AJ882" s="13" t="n"/>
      <c r="AK882" s="13" t="n"/>
      <c r="AL882" s="13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  <c r="AF883" s="13" t="n"/>
      <c r="AG883" s="13" t="n"/>
      <c r="AH883" s="13" t="n"/>
      <c r="AI883" s="13" t="n"/>
      <c r="AJ883" s="13" t="n"/>
      <c r="AK883" s="13" t="n"/>
      <c r="AL883" s="13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  <c r="AF884" s="13" t="n"/>
      <c r="AG884" s="13" t="n"/>
      <c r="AH884" s="13" t="n"/>
      <c r="AI884" s="13" t="n"/>
      <c r="AJ884" s="13" t="n"/>
      <c r="AK884" s="13" t="n"/>
      <c r="AL884" s="13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  <c r="AL885" s="13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  <c r="AF886" s="13" t="n"/>
      <c r="AG886" s="13" t="n"/>
      <c r="AH886" s="13" t="n"/>
      <c r="AI886" s="13" t="n"/>
      <c r="AJ886" s="13" t="n"/>
      <c r="AK886" s="13" t="n"/>
      <c r="AL886" s="13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  <c r="AF887" s="13" t="n"/>
      <c r="AG887" s="13" t="n"/>
      <c r="AH887" s="13" t="n"/>
      <c r="AI887" s="13" t="n"/>
      <c r="AJ887" s="13" t="n"/>
      <c r="AK887" s="13" t="n"/>
      <c r="AL887" s="13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  <c r="AF888" s="13" t="n"/>
      <c r="AG888" s="13" t="n"/>
      <c r="AH888" s="13" t="n"/>
      <c r="AI888" s="13" t="n"/>
      <c r="AJ888" s="13" t="n"/>
      <c r="AK888" s="13" t="n"/>
      <c r="AL888" s="13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  <c r="AL889" s="13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  <c r="AF890" s="13" t="n"/>
      <c r="AG890" s="13" t="n"/>
      <c r="AH890" s="13" t="n"/>
      <c r="AI890" s="13" t="n"/>
      <c r="AJ890" s="13" t="n"/>
      <c r="AK890" s="13" t="n"/>
      <c r="AL890" s="13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  <c r="AF891" s="13" t="n"/>
      <c r="AG891" s="13" t="n"/>
      <c r="AH891" s="13" t="n"/>
      <c r="AI891" s="13" t="n"/>
      <c r="AJ891" s="13" t="n"/>
      <c r="AK891" s="13" t="n"/>
      <c r="AL891" s="13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  <c r="AF892" s="13" t="n"/>
      <c r="AG892" s="13" t="n"/>
      <c r="AH892" s="13" t="n"/>
      <c r="AI892" s="13" t="n"/>
      <c r="AJ892" s="13" t="n"/>
      <c r="AK892" s="13" t="n"/>
      <c r="AL892" s="13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  <c r="AL893" s="13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  <c r="AF894" s="13" t="n"/>
      <c r="AG894" s="13" t="n"/>
      <c r="AH894" s="13" t="n"/>
      <c r="AI894" s="13" t="n"/>
      <c r="AJ894" s="13" t="n"/>
      <c r="AK894" s="13" t="n"/>
      <c r="AL894" s="13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  <c r="AF895" s="13" t="n"/>
      <c r="AG895" s="13" t="n"/>
      <c r="AH895" s="13" t="n"/>
      <c r="AI895" s="13" t="n"/>
      <c r="AJ895" s="13" t="n"/>
      <c r="AK895" s="13" t="n"/>
      <c r="AL895" s="13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  <c r="AF896" s="13" t="n"/>
      <c r="AG896" s="13" t="n"/>
      <c r="AH896" s="13" t="n"/>
      <c r="AI896" s="13" t="n"/>
      <c r="AJ896" s="13" t="n"/>
      <c r="AK896" s="13" t="n"/>
      <c r="AL896" s="13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  <c r="AL897" s="13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  <c r="AF898" s="13" t="n"/>
      <c r="AG898" s="13" t="n"/>
      <c r="AH898" s="13" t="n"/>
      <c r="AI898" s="13" t="n"/>
      <c r="AJ898" s="13" t="n"/>
      <c r="AK898" s="13" t="n"/>
      <c r="AL898" s="13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  <c r="AF899" s="13" t="n"/>
      <c r="AG899" s="13" t="n"/>
      <c r="AH899" s="13" t="n"/>
      <c r="AI899" s="13" t="n"/>
      <c r="AJ899" s="13" t="n"/>
      <c r="AK899" s="13" t="n"/>
      <c r="AL899" s="13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  <c r="AF900" s="13" t="n"/>
      <c r="AG900" s="13" t="n"/>
      <c r="AH900" s="13" t="n"/>
      <c r="AI900" s="13" t="n"/>
      <c r="AJ900" s="13" t="n"/>
      <c r="AK900" s="13" t="n"/>
      <c r="AL900" s="13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  <c r="AL901" s="13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  <c r="AF902" s="13" t="n"/>
      <c r="AG902" s="13" t="n"/>
      <c r="AH902" s="13" t="n"/>
      <c r="AI902" s="13" t="n"/>
      <c r="AJ902" s="13" t="n"/>
      <c r="AK902" s="13" t="n"/>
      <c r="AL902" s="13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  <c r="AF903" s="13" t="n"/>
      <c r="AG903" s="13" t="n"/>
      <c r="AH903" s="13" t="n"/>
      <c r="AI903" s="13" t="n"/>
      <c r="AJ903" s="13" t="n"/>
      <c r="AK903" s="13" t="n"/>
      <c r="AL903" s="13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  <c r="AF904" s="13" t="n"/>
      <c r="AG904" s="13" t="n"/>
      <c r="AH904" s="13" t="n"/>
      <c r="AI904" s="13" t="n"/>
      <c r="AJ904" s="13" t="n"/>
      <c r="AK904" s="13" t="n"/>
      <c r="AL904" s="13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  <c r="AL905" s="13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  <c r="AF906" s="13" t="n"/>
      <c r="AG906" s="13" t="n"/>
      <c r="AH906" s="13" t="n"/>
      <c r="AI906" s="13" t="n"/>
      <c r="AJ906" s="13" t="n"/>
      <c r="AK906" s="13" t="n"/>
      <c r="AL906" s="13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  <c r="AF907" s="13" t="n"/>
      <c r="AG907" s="13" t="n"/>
      <c r="AH907" s="13" t="n"/>
      <c r="AI907" s="13" t="n"/>
      <c r="AJ907" s="13" t="n"/>
      <c r="AK907" s="13" t="n"/>
      <c r="AL907" s="13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  <c r="AF908" s="13" t="n"/>
      <c r="AG908" s="13" t="n"/>
      <c r="AH908" s="13" t="n"/>
      <c r="AI908" s="13" t="n"/>
      <c r="AJ908" s="13" t="n"/>
      <c r="AK908" s="13" t="n"/>
      <c r="AL908" s="13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  <c r="AL909" s="13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  <c r="AF910" s="13" t="n"/>
      <c r="AG910" s="13" t="n"/>
      <c r="AH910" s="13" t="n"/>
      <c r="AI910" s="13" t="n"/>
      <c r="AJ910" s="13" t="n"/>
      <c r="AK910" s="13" t="n"/>
      <c r="AL910" s="13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  <c r="AF911" s="13" t="n"/>
      <c r="AG911" s="13" t="n"/>
      <c r="AH911" s="13" t="n"/>
      <c r="AI911" s="13" t="n"/>
      <c r="AJ911" s="13" t="n"/>
      <c r="AK911" s="13" t="n"/>
      <c r="AL911" s="13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  <c r="AF912" s="13" t="n"/>
      <c r="AG912" s="13" t="n"/>
      <c r="AH912" s="13" t="n"/>
      <c r="AI912" s="13" t="n"/>
      <c r="AJ912" s="13" t="n"/>
      <c r="AK912" s="13" t="n"/>
      <c r="AL912" s="13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  <c r="AL913" s="13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  <c r="AF914" s="13" t="n"/>
      <c r="AG914" s="13" t="n"/>
      <c r="AH914" s="13" t="n"/>
      <c r="AI914" s="13" t="n"/>
      <c r="AJ914" s="13" t="n"/>
      <c r="AK914" s="13" t="n"/>
      <c r="AL914" s="13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  <c r="AF915" s="13" t="n"/>
      <c r="AG915" s="13" t="n"/>
      <c r="AH915" s="13" t="n"/>
      <c r="AI915" s="13" t="n"/>
      <c r="AJ915" s="13" t="n"/>
      <c r="AK915" s="13" t="n"/>
      <c r="AL915" s="13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  <c r="AF916" s="13" t="n"/>
      <c r="AG916" s="13" t="n"/>
      <c r="AH916" s="13" t="n"/>
      <c r="AI916" s="13" t="n"/>
      <c r="AJ916" s="13" t="n"/>
      <c r="AK916" s="13" t="n"/>
      <c r="AL916" s="13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  <c r="AL917" s="13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  <c r="AF918" s="13" t="n"/>
      <c r="AG918" s="13" t="n"/>
      <c r="AH918" s="13" t="n"/>
      <c r="AI918" s="13" t="n"/>
      <c r="AJ918" s="13" t="n"/>
      <c r="AK918" s="13" t="n"/>
      <c r="AL918" s="13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  <c r="AF919" s="13" t="n"/>
      <c r="AG919" s="13" t="n"/>
      <c r="AH919" s="13" t="n"/>
      <c r="AI919" s="13" t="n"/>
      <c r="AJ919" s="13" t="n"/>
      <c r="AK919" s="13" t="n"/>
      <c r="AL919" s="13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  <c r="AF920" s="13" t="n"/>
      <c r="AG920" s="13" t="n"/>
      <c r="AH920" s="13" t="n"/>
      <c r="AI920" s="13" t="n"/>
      <c r="AJ920" s="13" t="n"/>
      <c r="AK920" s="13" t="n"/>
      <c r="AL920" s="13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  <c r="AF921" s="13" t="n"/>
      <c r="AG921" s="13" t="n"/>
      <c r="AH921" s="13" t="n"/>
      <c r="AI921" s="13" t="n"/>
      <c r="AJ921" s="13" t="n"/>
      <c r="AK921" s="13" t="n"/>
      <c r="AL921" s="13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  <c r="AF922" s="13" t="n"/>
      <c r="AG922" s="13" t="n"/>
      <c r="AH922" s="13" t="n"/>
      <c r="AI922" s="13" t="n"/>
      <c r="AJ922" s="13" t="n"/>
      <c r="AK922" s="13" t="n"/>
      <c r="AL922" s="13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  <c r="AF923" s="13" t="n"/>
      <c r="AG923" s="13" t="n"/>
      <c r="AH923" s="13" t="n"/>
      <c r="AI923" s="13" t="n"/>
      <c r="AJ923" s="13" t="n"/>
      <c r="AK923" s="13" t="n"/>
      <c r="AL923" s="13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  <c r="AF924" s="13" t="n"/>
      <c r="AG924" s="13" t="n"/>
      <c r="AH924" s="13" t="n"/>
      <c r="AI924" s="13" t="n"/>
      <c r="AJ924" s="13" t="n"/>
      <c r="AK924" s="13" t="n"/>
      <c r="AL924" s="13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  <c r="AF925" s="13" t="n"/>
      <c r="AG925" s="13" t="n"/>
      <c r="AH925" s="13" t="n"/>
      <c r="AI925" s="13" t="n"/>
      <c r="AJ925" s="13" t="n"/>
      <c r="AK925" s="13" t="n"/>
      <c r="AL925" s="13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  <c r="AF926" s="13" t="n"/>
      <c r="AG926" s="13" t="n"/>
      <c r="AH926" s="13" t="n"/>
      <c r="AI926" s="13" t="n"/>
      <c r="AJ926" s="13" t="n"/>
      <c r="AK926" s="13" t="n"/>
      <c r="AL926" s="13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  <c r="AL927" s="13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  <c r="AF928" s="13" t="n"/>
      <c r="AG928" s="13" t="n"/>
      <c r="AH928" s="13" t="n"/>
      <c r="AI928" s="13" t="n"/>
      <c r="AJ928" s="13" t="n"/>
      <c r="AK928" s="13" t="n"/>
      <c r="AL928" s="13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  <c r="AF929" s="13" t="n"/>
      <c r="AG929" s="13" t="n"/>
      <c r="AH929" s="13" t="n"/>
      <c r="AI929" s="13" t="n"/>
      <c r="AJ929" s="13" t="n"/>
      <c r="AK929" s="13" t="n"/>
      <c r="AL929" s="13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  <c r="AF930" s="13" t="n"/>
      <c r="AG930" s="13" t="n"/>
      <c r="AH930" s="13" t="n"/>
      <c r="AI930" s="13" t="n"/>
      <c r="AJ930" s="13" t="n"/>
      <c r="AK930" s="13" t="n"/>
      <c r="AL930" s="13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  <c r="AL931" s="13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  <c r="AF932" s="13" t="n"/>
      <c r="AG932" s="13" t="n"/>
      <c r="AH932" s="13" t="n"/>
      <c r="AI932" s="13" t="n"/>
      <c r="AJ932" s="13" t="n"/>
      <c r="AK932" s="13" t="n"/>
      <c r="AL932" s="13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  <c r="AF933" s="13" t="n"/>
      <c r="AG933" s="13" t="n"/>
      <c r="AH933" s="13" t="n"/>
      <c r="AI933" s="13" t="n"/>
      <c r="AJ933" s="13" t="n"/>
      <c r="AK933" s="13" t="n"/>
      <c r="AL933" s="13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  <c r="AF934" s="13" t="n"/>
      <c r="AG934" s="13" t="n"/>
      <c r="AH934" s="13" t="n"/>
      <c r="AI934" s="13" t="n"/>
      <c r="AJ934" s="13" t="n"/>
      <c r="AK934" s="13" t="n"/>
      <c r="AL934" s="13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  <c r="AL935" s="13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  <c r="AF936" s="13" t="n"/>
      <c r="AG936" s="13" t="n"/>
      <c r="AH936" s="13" t="n"/>
      <c r="AI936" s="13" t="n"/>
      <c r="AJ936" s="13" t="n"/>
      <c r="AK936" s="13" t="n"/>
      <c r="AL936" s="13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  <c r="AF937" s="13" t="n"/>
      <c r="AG937" s="13" t="n"/>
      <c r="AH937" s="13" t="n"/>
      <c r="AI937" s="13" t="n"/>
      <c r="AJ937" s="13" t="n"/>
      <c r="AK937" s="13" t="n"/>
      <c r="AL937" s="13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  <c r="AF938" s="13" t="n"/>
      <c r="AG938" s="13" t="n"/>
      <c r="AH938" s="13" t="n"/>
      <c r="AI938" s="13" t="n"/>
      <c r="AJ938" s="13" t="n"/>
      <c r="AK938" s="13" t="n"/>
      <c r="AL938" s="13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  <c r="AL939" s="13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  <c r="AF940" s="13" t="n"/>
      <c r="AG940" s="13" t="n"/>
      <c r="AH940" s="13" t="n"/>
      <c r="AI940" s="13" t="n"/>
      <c r="AJ940" s="13" t="n"/>
      <c r="AK940" s="13" t="n"/>
      <c r="AL940" s="13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  <c r="AF941" s="13" t="n"/>
      <c r="AG941" s="13" t="n"/>
      <c r="AH941" s="13" t="n"/>
      <c r="AI941" s="13" t="n"/>
      <c r="AJ941" s="13" t="n"/>
      <c r="AK941" s="13" t="n"/>
      <c r="AL941" s="13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  <c r="AF942" s="13" t="n"/>
      <c r="AG942" s="13" t="n"/>
      <c r="AH942" s="13" t="n"/>
      <c r="AI942" s="13" t="n"/>
      <c r="AJ942" s="13" t="n"/>
      <c r="AK942" s="13" t="n"/>
      <c r="AL942" s="13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  <c r="AL943" s="13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  <c r="AF944" s="13" t="n"/>
      <c r="AG944" s="13" t="n"/>
      <c r="AH944" s="13" t="n"/>
      <c r="AI944" s="13" t="n"/>
      <c r="AJ944" s="13" t="n"/>
      <c r="AK944" s="13" t="n"/>
      <c r="AL944" s="13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  <c r="AF945" s="13" t="n"/>
      <c r="AG945" s="13" t="n"/>
      <c r="AH945" s="13" t="n"/>
      <c r="AI945" s="13" t="n"/>
      <c r="AJ945" s="13" t="n"/>
      <c r="AK945" s="13" t="n"/>
      <c r="AL945" s="13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  <c r="AF946" s="13" t="n"/>
      <c r="AG946" s="13" t="n"/>
      <c r="AH946" s="13" t="n"/>
      <c r="AI946" s="13" t="n"/>
      <c r="AJ946" s="13" t="n"/>
      <c r="AK946" s="13" t="n"/>
      <c r="AL946" s="13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  <c r="AL947" s="13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  <c r="AF948" s="13" t="n"/>
      <c r="AG948" s="13" t="n"/>
      <c r="AH948" s="13" t="n"/>
      <c r="AI948" s="13" t="n"/>
      <c r="AJ948" s="13" t="n"/>
      <c r="AK948" s="13" t="n"/>
      <c r="AL948" s="13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  <c r="AF949" s="13" t="n"/>
      <c r="AG949" s="13" t="n"/>
      <c r="AH949" s="13" t="n"/>
      <c r="AI949" s="13" t="n"/>
      <c r="AJ949" s="13" t="n"/>
      <c r="AK949" s="13" t="n"/>
      <c r="AL949" s="13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  <c r="AF950" s="13" t="n"/>
      <c r="AG950" s="13" t="n"/>
      <c r="AH950" s="13" t="n"/>
      <c r="AI950" s="13" t="n"/>
      <c r="AJ950" s="13" t="n"/>
      <c r="AK950" s="13" t="n"/>
      <c r="AL950" s="13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  <c r="AL951" s="13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  <c r="AF952" s="13" t="n"/>
      <c r="AG952" s="13" t="n"/>
      <c r="AH952" s="13" t="n"/>
      <c r="AI952" s="13" t="n"/>
      <c r="AJ952" s="13" t="n"/>
      <c r="AK952" s="13" t="n"/>
      <c r="AL952" s="13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  <c r="AF953" s="13" t="n"/>
      <c r="AG953" s="13" t="n"/>
      <c r="AH953" s="13" t="n"/>
      <c r="AI953" s="13" t="n"/>
      <c r="AJ953" s="13" t="n"/>
      <c r="AK953" s="13" t="n"/>
      <c r="AL953" s="13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  <c r="AF954" s="13" t="n"/>
      <c r="AG954" s="13" t="n"/>
      <c r="AH954" s="13" t="n"/>
      <c r="AI954" s="13" t="n"/>
      <c r="AJ954" s="13" t="n"/>
      <c r="AK954" s="13" t="n"/>
      <c r="AL954" s="13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  <c r="AL955" s="13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  <c r="AF956" s="13" t="n"/>
      <c r="AG956" s="13" t="n"/>
      <c r="AH956" s="13" t="n"/>
      <c r="AI956" s="13" t="n"/>
      <c r="AJ956" s="13" t="n"/>
      <c r="AK956" s="13" t="n"/>
      <c r="AL956" s="13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  <c r="AF957" s="13" t="n"/>
      <c r="AG957" s="13" t="n"/>
      <c r="AH957" s="13" t="n"/>
      <c r="AI957" s="13" t="n"/>
      <c r="AJ957" s="13" t="n"/>
      <c r="AK957" s="13" t="n"/>
      <c r="AL957" s="13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  <c r="AF958" s="13" t="n"/>
      <c r="AG958" s="13" t="n"/>
      <c r="AH958" s="13" t="n"/>
      <c r="AI958" s="13" t="n"/>
      <c r="AJ958" s="13" t="n"/>
      <c r="AK958" s="13" t="n"/>
      <c r="AL958" s="13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  <c r="AL959" s="13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  <c r="AF960" s="13" t="n"/>
      <c r="AG960" s="13" t="n"/>
      <c r="AH960" s="13" t="n"/>
      <c r="AI960" s="13" t="n"/>
      <c r="AJ960" s="13" t="n"/>
      <c r="AK960" s="13" t="n"/>
      <c r="AL960" s="13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  <c r="AF961" s="13" t="n"/>
      <c r="AG961" s="13" t="n"/>
      <c r="AH961" s="13" t="n"/>
      <c r="AI961" s="13" t="n"/>
      <c r="AJ961" s="13" t="n"/>
      <c r="AK961" s="13" t="n"/>
      <c r="AL961" s="13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  <c r="AF962" s="13" t="n"/>
      <c r="AG962" s="13" t="n"/>
      <c r="AH962" s="13" t="n"/>
      <c r="AI962" s="13" t="n"/>
      <c r="AJ962" s="13" t="n"/>
      <c r="AK962" s="13" t="n"/>
      <c r="AL962" s="13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  <c r="AL963" s="13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  <c r="AF964" s="13" t="n"/>
      <c r="AG964" s="13" t="n"/>
      <c r="AH964" s="13" t="n"/>
      <c r="AI964" s="13" t="n"/>
      <c r="AJ964" s="13" t="n"/>
      <c r="AK964" s="13" t="n"/>
      <c r="AL964" s="13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  <c r="AF965" s="13" t="n"/>
      <c r="AG965" s="13" t="n"/>
      <c r="AH965" s="13" t="n"/>
      <c r="AI965" s="13" t="n"/>
      <c r="AJ965" s="13" t="n"/>
      <c r="AK965" s="13" t="n"/>
      <c r="AL965" s="13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  <c r="AF966" s="13" t="n"/>
      <c r="AG966" s="13" t="n"/>
      <c r="AH966" s="13" t="n"/>
      <c r="AI966" s="13" t="n"/>
      <c r="AJ966" s="13" t="n"/>
      <c r="AK966" s="13" t="n"/>
      <c r="AL966" s="13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  <c r="AF967" s="13" t="n"/>
      <c r="AG967" s="13" t="n"/>
      <c r="AH967" s="13" t="n"/>
      <c r="AI967" s="13" t="n"/>
      <c r="AJ967" s="13" t="n"/>
      <c r="AK967" s="13" t="n"/>
      <c r="AL967" s="13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  <c r="AF968" s="13" t="n"/>
      <c r="AG968" s="13" t="n"/>
      <c r="AH968" s="13" t="n"/>
      <c r="AI968" s="13" t="n"/>
      <c r="AJ968" s="13" t="n"/>
      <c r="AK968" s="13" t="n"/>
      <c r="AL968" s="13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  <c r="AF969" s="13" t="n"/>
      <c r="AG969" s="13" t="n"/>
      <c r="AH969" s="13" t="n"/>
      <c r="AI969" s="13" t="n"/>
      <c r="AJ969" s="13" t="n"/>
      <c r="AK969" s="13" t="n"/>
      <c r="AL969" s="13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  <c r="AF970" s="13" t="n"/>
      <c r="AG970" s="13" t="n"/>
      <c r="AH970" s="13" t="n"/>
      <c r="AI970" s="13" t="n"/>
      <c r="AJ970" s="13" t="n"/>
      <c r="AK970" s="13" t="n"/>
      <c r="AL970" s="13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  <c r="AF971" s="13" t="n"/>
      <c r="AG971" s="13" t="n"/>
      <c r="AH971" s="13" t="n"/>
      <c r="AI971" s="13" t="n"/>
      <c r="AJ971" s="13" t="n"/>
      <c r="AK971" s="13" t="n"/>
      <c r="AL971" s="13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  <c r="AF972" s="13" t="n"/>
      <c r="AG972" s="13" t="n"/>
      <c r="AH972" s="13" t="n"/>
      <c r="AI972" s="13" t="n"/>
      <c r="AJ972" s="13" t="n"/>
      <c r="AK972" s="13" t="n"/>
      <c r="AL972" s="13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  <c r="AL973" s="13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  <c r="AF974" s="13" t="n"/>
      <c r="AG974" s="13" t="n"/>
      <c r="AH974" s="13" t="n"/>
      <c r="AI974" s="13" t="n"/>
      <c r="AJ974" s="13" t="n"/>
      <c r="AK974" s="13" t="n"/>
      <c r="AL974" s="13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  <c r="AF975" s="13" t="n"/>
      <c r="AG975" s="13" t="n"/>
      <c r="AH975" s="13" t="n"/>
      <c r="AI975" s="13" t="n"/>
      <c r="AJ975" s="13" t="n"/>
      <c r="AK975" s="13" t="n"/>
      <c r="AL975" s="13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  <c r="AF976" s="13" t="n"/>
      <c r="AG976" s="13" t="n"/>
      <c r="AH976" s="13" t="n"/>
      <c r="AI976" s="13" t="n"/>
      <c r="AJ976" s="13" t="n"/>
      <c r="AK976" s="13" t="n"/>
      <c r="AL976" s="13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  <c r="AL977" s="13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  <c r="AF978" s="13" t="n"/>
      <c r="AG978" s="13" t="n"/>
      <c r="AH978" s="13" t="n"/>
      <c r="AI978" s="13" t="n"/>
      <c r="AJ978" s="13" t="n"/>
      <c r="AK978" s="13" t="n"/>
      <c r="AL978" s="13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  <c r="AF979" s="13" t="n"/>
      <c r="AG979" s="13" t="n"/>
      <c r="AH979" s="13" t="n"/>
      <c r="AI979" s="13" t="n"/>
      <c r="AJ979" s="13" t="n"/>
      <c r="AK979" s="13" t="n"/>
      <c r="AL979" s="13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  <c r="AF980" s="13" t="n"/>
      <c r="AG980" s="13" t="n"/>
      <c r="AH980" s="13" t="n"/>
      <c r="AI980" s="13" t="n"/>
      <c r="AJ980" s="13" t="n"/>
      <c r="AK980" s="13" t="n"/>
      <c r="AL980" s="13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  <c r="AL981" s="13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  <c r="AF982" s="13" t="n"/>
      <c r="AG982" s="13" t="n"/>
      <c r="AH982" s="13" t="n"/>
      <c r="AI982" s="13" t="n"/>
      <c r="AJ982" s="13" t="n"/>
      <c r="AK982" s="13" t="n"/>
      <c r="AL982" s="13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  <c r="AF983" s="13" t="n"/>
      <c r="AG983" s="13" t="n"/>
      <c r="AH983" s="13" t="n"/>
      <c r="AI983" s="13" t="n"/>
      <c r="AJ983" s="13" t="n"/>
      <c r="AK983" s="13" t="n"/>
      <c r="AL983" s="13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  <c r="AF984" s="13" t="n"/>
      <c r="AG984" s="13" t="n"/>
      <c r="AH984" s="13" t="n"/>
      <c r="AI984" s="13" t="n"/>
      <c r="AJ984" s="13" t="n"/>
      <c r="AK984" s="13" t="n"/>
      <c r="AL984" s="13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  <c r="AL985" s="13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  <c r="AF986" s="13" t="n"/>
      <c r="AG986" s="13" t="n"/>
      <c r="AH986" s="13" t="n"/>
      <c r="AI986" s="13" t="n"/>
      <c r="AJ986" s="13" t="n"/>
      <c r="AK986" s="13" t="n"/>
      <c r="AL986" s="13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  <c r="AF987" s="13" t="n"/>
      <c r="AG987" s="13" t="n"/>
      <c r="AH987" s="13" t="n"/>
      <c r="AI987" s="13" t="n"/>
      <c r="AJ987" s="13" t="n"/>
      <c r="AK987" s="13" t="n"/>
      <c r="AL987" s="13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  <c r="AF988" s="13" t="n"/>
      <c r="AG988" s="13" t="n"/>
      <c r="AH988" s="13" t="n"/>
      <c r="AI988" s="13" t="n"/>
      <c r="AJ988" s="13" t="n"/>
      <c r="AK988" s="13" t="n"/>
      <c r="AL988" s="13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  <c r="AL989" s="13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  <c r="AF990" s="13" t="n"/>
      <c r="AG990" s="13" t="n"/>
      <c r="AH990" s="13" t="n"/>
      <c r="AI990" s="13" t="n"/>
      <c r="AJ990" s="13" t="n"/>
      <c r="AK990" s="13" t="n"/>
      <c r="AL990" s="13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  <c r="AF991" s="13" t="n"/>
      <c r="AG991" s="13" t="n"/>
      <c r="AH991" s="13" t="n"/>
      <c r="AI991" s="13" t="n"/>
      <c r="AJ991" s="13" t="n"/>
      <c r="AK991" s="13" t="n"/>
      <c r="AL991" s="13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  <c r="AF992" s="13" t="n"/>
      <c r="AG992" s="13" t="n"/>
      <c r="AH992" s="13" t="n"/>
      <c r="AI992" s="13" t="n"/>
      <c r="AJ992" s="13" t="n"/>
      <c r="AK992" s="13" t="n"/>
      <c r="AL992" s="13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  <c r="AL993" s="13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  <c r="AF994" s="13" t="n"/>
      <c r="AG994" s="13" t="n"/>
      <c r="AH994" s="13" t="n"/>
      <c r="AI994" s="13" t="n"/>
      <c r="AJ994" s="13" t="n"/>
      <c r="AK994" s="13" t="n"/>
      <c r="AL994" s="13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  <c r="AF995" s="13" t="n"/>
      <c r="AG995" s="13" t="n"/>
      <c r="AH995" s="13" t="n"/>
      <c r="AI995" s="13" t="n"/>
      <c r="AJ995" s="13" t="n"/>
      <c r="AK995" s="13" t="n"/>
      <c r="AL995" s="13" t="n"/>
    </row>
    <row r="996" ht="12.75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  <c r="AF996" s="13" t="n"/>
      <c r="AG996" s="13" t="n"/>
      <c r="AH996" s="13" t="n"/>
      <c r="AI996" s="13" t="n"/>
      <c r="AJ996" s="13" t="n"/>
      <c r="AK996" s="13" t="n"/>
      <c r="AL996" s="13" t="n"/>
    </row>
    <row r="997" ht="12.75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  <c r="AL997" s="13" t="n"/>
    </row>
    <row r="998" ht="12.75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  <c r="AF998" s="13" t="n"/>
      <c r="AG998" s="13" t="n"/>
      <c r="AH998" s="13" t="n"/>
      <c r="AI998" s="13" t="n"/>
      <c r="AJ998" s="13" t="n"/>
      <c r="AK998" s="13" t="n"/>
      <c r="AL998" s="13" t="n"/>
    </row>
    <row r="999" ht="12.75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  <c r="AF999" s="13" t="n"/>
      <c r="AG999" s="13" t="n"/>
      <c r="AH999" s="13" t="n"/>
      <c r="AI999" s="13" t="n"/>
      <c r="AJ999" s="13" t="n"/>
      <c r="AK999" s="13" t="n"/>
      <c r="AL999" s="13" t="n"/>
    </row>
    <row r="1000" ht="12.75" customHeight="1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  <c r="AF1000" s="13" t="n"/>
      <c r="AG1000" s="13" t="n"/>
      <c r="AH1000" s="13" t="n"/>
      <c r="AI1000" s="13" t="n"/>
      <c r="AJ1000" s="13" t="n"/>
      <c r="AK1000" s="13" t="n"/>
      <c r="AL1000" s="13" t="n"/>
    </row>
    <row r="1001" ht="12.75" customHeight="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3" t="n"/>
      <c r="AF1001" s="13" t="n"/>
      <c r="AG1001" s="13" t="n"/>
      <c r="AH1001" s="13" t="n"/>
      <c r="AI1001" s="13" t="n"/>
      <c r="AJ1001" s="13" t="n"/>
      <c r="AK1001" s="13" t="n"/>
      <c r="AL1001" s="13" t="n"/>
    </row>
    <row r="1002" ht="12.75" customHeight="1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  <c r="AE1002" s="13" t="n"/>
      <c r="AF1002" s="13" t="n"/>
      <c r="AG1002" s="13" t="n"/>
      <c r="AH1002" s="13" t="n"/>
      <c r="AI1002" s="13" t="n"/>
      <c r="AJ1002" s="13" t="n"/>
      <c r="AK1002" s="13" t="n"/>
      <c r="AL1002" s="13" t="n"/>
    </row>
    <row r="1003" ht="12.75" customHeight="1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  <c r="AE1003" s="13" t="n"/>
      <c r="AF1003" s="13" t="n"/>
      <c r="AG1003" s="13" t="n"/>
      <c r="AH1003" s="13" t="n"/>
      <c r="AI1003" s="13" t="n"/>
      <c r="AJ1003" s="13" t="n"/>
      <c r="AK1003" s="13" t="n"/>
      <c r="AL1003" s="13" t="n"/>
    </row>
    <row r="1004" ht="12.75" customHeight="1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  <c r="AE1004" s="13" t="n"/>
      <c r="AF1004" s="13" t="n"/>
      <c r="AG1004" s="13" t="n"/>
      <c r="AH1004" s="13" t="n"/>
      <c r="AI1004" s="13" t="n"/>
      <c r="AJ1004" s="13" t="n"/>
      <c r="AK1004" s="13" t="n"/>
      <c r="AL1004" s="13" t="n"/>
    </row>
    <row r="1005" ht="12.75" customHeight="1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3" t="n"/>
      <c r="AF1005" s="13" t="n"/>
      <c r="AG1005" s="13" t="n"/>
      <c r="AH1005" s="13" t="n"/>
      <c r="AI1005" s="13" t="n"/>
      <c r="AJ1005" s="13" t="n"/>
      <c r="AK1005" s="13" t="n"/>
      <c r="AL1005" s="13" t="n"/>
    </row>
  </sheetData>
  <mergeCells count="1">
    <mergeCell ref="AN85:AR87"/>
  </mergeCells>
  <conditionalFormatting sqref="C8:AL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AL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Софья Зименкова</dc:creator>
  <dcterms:created xmlns:dcterms="http://purl.org/dc/terms/" xmlns:xsi="http://www.w3.org/2001/XMLSchema-instance" xsi:type="dcterms:W3CDTF">2026-05-17T23:57:00Z</dcterms:created>
  <dcterms:modified xmlns:dcterms="http://purl.org/dc/terms/" xmlns:xsi="http://www.w3.org/2001/XMLSchema-instance" xsi:type="dcterms:W3CDTF">2026-05-24T17:50:34Z</dcterms:modified>
  <cp:lastModifiedBy>Софья Зименкова</cp:lastModifiedBy>
</cp:coreProperties>
</file>