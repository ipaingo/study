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Софья Зименкова\учёба\магистратура\2 сем\финмоделирование\6\"/>
    </mc:Choice>
  </mc:AlternateContent>
  <xr:revisionPtr revIDLastSave="0" documentId="13_ncr:1_{0184CF3D-C5B6-4FE5-A335-2156BBB12A5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L" sheetId="1" r:id="rId1"/>
    <sheet name="Не так оптимистичн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2" l="1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C65" i="2"/>
  <c r="D9" i="2"/>
  <c r="E9" i="2"/>
  <c r="F9" i="2"/>
  <c r="G9" i="2"/>
  <c r="H9" i="2"/>
  <c r="I9" i="2"/>
  <c r="J9" i="2"/>
  <c r="K9" i="2"/>
  <c r="L9" i="2"/>
  <c r="M9" i="2"/>
  <c r="N9" i="2"/>
  <c r="D10" i="2"/>
  <c r="E10" i="2"/>
  <c r="F10" i="2"/>
  <c r="G10" i="2"/>
  <c r="H10" i="2"/>
  <c r="I10" i="2"/>
  <c r="J10" i="2"/>
  <c r="K10" i="2"/>
  <c r="L10" i="2"/>
  <c r="M10" i="2"/>
  <c r="N10" i="2"/>
  <c r="D11" i="2"/>
  <c r="E11" i="2"/>
  <c r="F11" i="2"/>
  <c r="G11" i="2"/>
  <c r="H11" i="2"/>
  <c r="I11" i="2"/>
  <c r="J11" i="2"/>
  <c r="K11" i="2"/>
  <c r="L11" i="2"/>
  <c r="M11" i="2"/>
  <c r="N11" i="2"/>
  <c r="C53" i="2"/>
  <c r="C62" i="2" s="1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A7" i="2"/>
  <c r="AA8" i="2" s="1"/>
  <c r="AB7" i="2"/>
  <c r="AC7" i="2"/>
  <c r="AD7" i="2"/>
  <c r="AA13" i="2"/>
  <c r="AA14" i="2" s="1"/>
  <c r="AA15" i="2" s="1"/>
  <c r="AB13" i="2"/>
  <c r="AA18" i="2"/>
  <c r="AA24" i="2" s="1"/>
  <c r="AA25" i="2" s="1"/>
  <c r="AA26" i="2" s="1"/>
  <c r="AA27" i="2" s="1"/>
  <c r="AB18" i="2"/>
  <c r="AB24" i="2" s="1"/>
  <c r="AB25" i="2" s="1"/>
  <c r="AB26" i="2" s="1"/>
  <c r="AB27" i="2" s="1"/>
  <c r="AC18" i="2"/>
  <c r="AC24" i="2" s="1"/>
  <c r="AC25" i="2" s="1"/>
  <c r="AC26" i="2" s="1"/>
  <c r="AC27" i="2" s="1"/>
  <c r="AD18" i="2"/>
  <c r="AE18" i="2"/>
  <c r="AE24" i="2" s="1"/>
  <c r="AE25" i="2" s="1"/>
  <c r="AE26" i="2" s="1"/>
  <c r="AE27" i="2" s="1"/>
  <c r="AF18" i="2"/>
  <c r="AG18" i="2"/>
  <c r="AG24" i="2" s="1"/>
  <c r="AG25" i="2" s="1"/>
  <c r="AG26" i="2" s="1"/>
  <c r="AG27" i="2" s="1"/>
  <c r="AH18" i="2"/>
  <c r="AH24" i="2" s="1"/>
  <c r="AH25" i="2" s="1"/>
  <c r="AH26" i="2" s="1"/>
  <c r="AH27" i="2" s="1"/>
  <c r="AI18" i="2"/>
  <c r="AI24" i="2" s="1"/>
  <c r="AI25" i="2" s="1"/>
  <c r="AI26" i="2" s="1"/>
  <c r="AI27" i="2" s="1"/>
  <c r="AJ18" i="2"/>
  <c r="AJ24" i="2" s="1"/>
  <c r="AJ25" i="2" s="1"/>
  <c r="AJ26" i="2" s="1"/>
  <c r="AJ27" i="2" s="1"/>
  <c r="AK18" i="2"/>
  <c r="AL18" i="2"/>
  <c r="AL24" i="2" s="1"/>
  <c r="AL25" i="2" s="1"/>
  <c r="AL26" i="2" s="1"/>
  <c r="AL27" i="2" s="1"/>
  <c r="AA19" i="2"/>
  <c r="AB19" i="2"/>
  <c r="AC19" i="2"/>
  <c r="AD19" i="2"/>
  <c r="AE19" i="2"/>
  <c r="AF19" i="2"/>
  <c r="AG19" i="2"/>
  <c r="AH19" i="2"/>
  <c r="AI19" i="2"/>
  <c r="AJ19" i="2"/>
  <c r="AK19" i="2"/>
  <c r="AL19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D24" i="2"/>
  <c r="AF24" i="2"/>
  <c r="AF25" i="2" s="1"/>
  <c r="AF26" i="2" s="1"/>
  <c r="AF27" i="2" s="1"/>
  <c r="AK24" i="2"/>
  <c r="AK25" i="2" s="1"/>
  <c r="AK26" i="2" s="1"/>
  <c r="AK27" i="2" s="1"/>
  <c r="AD25" i="2"/>
  <c r="AD26" i="2" s="1"/>
  <c r="AD27" i="2" s="1"/>
  <c r="AA56" i="2"/>
  <c r="AB56" i="2"/>
  <c r="AC56" i="2"/>
  <c r="AD56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C77" i="2"/>
  <c r="D13" i="2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38" i="2"/>
  <c r="A39" i="2" s="1"/>
  <c r="N24" i="2"/>
  <c r="N25" i="2" s="1"/>
  <c r="N26" i="2" s="1"/>
  <c r="N27" i="2" s="1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Z18" i="2"/>
  <c r="Y18" i="2"/>
  <c r="X18" i="2"/>
  <c r="W18" i="2"/>
  <c r="W24" i="2" s="1"/>
  <c r="W25" i="2" s="1"/>
  <c r="W26" i="2" s="1"/>
  <c r="W27" i="2" s="1"/>
  <c r="V18" i="2"/>
  <c r="U18" i="2"/>
  <c r="T18" i="2"/>
  <c r="S18" i="2"/>
  <c r="R18" i="2"/>
  <c r="R24" i="2" s="1"/>
  <c r="R25" i="2" s="1"/>
  <c r="R26" i="2" s="1"/>
  <c r="R27" i="2" s="1"/>
  <c r="Q18" i="2"/>
  <c r="Q24" i="2" s="1"/>
  <c r="Q25" i="2" s="1"/>
  <c r="Q26" i="2" s="1"/>
  <c r="Q27" i="2" s="1"/>
  <c r="P18" i="2"/>
  <c r="O18" i="2"/>
  <c r="N18" i="2"/>
  <c r="M18" i="2"/>
  <c r="L18" i="2"/>
  <c r="L24" i="2" s="1"/>
  <c r="L25" i="2" s="1"/>
  <c r="L26" i="2" s="1"/>
  <c r="L27" i="2" s="1"/>
  <c r="K18" i="2"/>
  <c r="J18" i="2"/>
  <c r="I18" i="2"/>
  <c r="I24" i="2" s="1"/>
  <c r="I25" i="2" s="1"/>
  <c r="I26" i="2" s="1"/>
  <c r="I27" i="2" s="1"/>
  <c r="H18" i="2"/>
  <c r="G18" i="2"/>
  <c r="G24" i="2" s="1"/>
  <c r="G25" i="2" s="1"/>
  <c r="G26" i="2" s="1"/>
  <c r="G27" i="2" s="1"/>
  <c r="F18" i="2"/>
  <c r="E18" i="2"/>
  <c r="D18" i="2"/>
  <c r="C18" i="2"/>
  <c r="C11" i="2"/>
  <c r="C10" i="2"/>
  <c r="C9" i="2"/>
  <c r="C14" i="2"/>
  <c r="C15" i="2" s="1"/>
  <c r="C16" i="2" s="1"/>
  <c r="C7" i="2"/>
  <c r="D7" i="2" s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Z62" i="1"/>
  <c r="Y62" i="1"/>
  <c r="T62" i="1"/>
  <c r="S62" i="1"/>
  <c r="R62" i="1"/>
  <c r="P62" i="1"/>
  <c r="O62" i="1"/>
  <c r="N62" i="1"/>
  <c r="M62" i="1"/>
  <c r="D62" i="1"/>
  <c r="C62" i="1"/>
  <c r="Z53" i="1"/>
  <c r="Y53" i="1"/>
  <c r="X53" i="1"/>
  <c r="X62" i="1" s="1"/>
  <c r="W53" i="1"/>
  <c r="W62" i="1" s="1"/>
  <c r="V53" i="1"/>
  <c r="V62" i="1" s="1"/>
  <c r="U53" i="1"/>
  <c r="U62" i="1" s="1"/>
  <c r="T53" i="1"/>
  <c r="S53" i="1"/>
  <c r="R53" i="1"/>
  <c r="Q53" i="1"/>
  <c r="Q62" i="1" s="1"/>
  <c r="P53" i="1"/>
  <c r="O53" i="1"/>
  <c r="N53" i="1"/>
  <c r="M53" i="1"/>
  <c r="L53" i="1"/>
  <c r="L62" i="1" s="1"/>
  <c r="K53" i="1"/>
  <c r="K62" i="1" s="1"/>
  <c r="J53" i="1"/>
  <c r="J62" i="1" s="1"/>
  <c r="I53" i="1"/>
  <c r="I62" i="1" s="1"/>
  <c r="H53" i="1"/>
  <c r="H62" i="1" s="1"/>
  <c r="G53" i="1"/>
  <c r="G62" i="1" s="1"/>
  <c r="F53" i="1"/>
  <c r="F62" i="1" s="1"/>
  <c r="E53" i="1"/>
  <c r="E62" i="1" s="1"/>
  <c r="D53" i="1"/>
  <c r="C53" i="1"/>
  <c r="R52" i="1"/>
  <c r="U51" i="1"/>
  <c r="E51" i="1"/>
  <c r="Z50" i="1"/>
  <c r="T50" i="1"/>
  <c r="T51" i="1" s="1"/>
  <c r="S50" i="1"/>
  <c r="S51" i="1" s="1"/>
  <c r="R50" i="1"/>
  <c r="P50" i="1"/>
  <c r="P51" i="1" s="1"/>
  <c r="M50" i="1"/>
  <c r="M51" i="1" s="1"/>
  <c r="D50" i="1"/>
  <c r="D51" i="1" s="1"/>
  <c r="C50" i="1"/>
  <c r="C51" i="1" s="1"/>
  <c r="Z49" i="1"/>
  <c r="Y49" i="1"/>
  <c r="Y50" i="1" s="1"/>
  <c r="X49" i="1"/>
  <c r="X50" i="1" s="1"/>
  <c r="W49" i="1"/>
  <c r="W50" i="1" s="1"/>
  <c r="W52" i="1" s="1"/>
  <c r="V49" i="1"/>
  <c r="V50" i="1" s="1"/>
  <c r="U49" i="1"/>
  <c r="U50" i="1" s="1"/>
  <c r="T49" i="1"/>
  <c r="S49" i="1"/>
  <c r="R49" i="1"/>
  <c r="Q49" i="1"/>
  <c r="Q50" i="1" s="1"/>
  <c r="P49" i="1"/>
  <c r="O49" i="1"/>
  <c r="O50" i="1" s="1"/>
  <c r="N49" i="1"/>
  <c r="N50" i="1" s="1"/>
  <c r="M49" i="1"/>
  <c r="L49" i="1"/>
  <c r="L50" i="1" s="1"/>
  <c r="K49" i="1"/>
  <c r="K50" i="1" s="1"/>
  <c r="K51" i="1" s="1"/>
  <c r="J49" i="1"/>
  <c r="J50" i="1" s="1"/>
  <c r="I49" i="1"/>
  <c r="I50" i="1" s="1"/>
  <c r="H49" i="1"/>
  <c r="H50" i="1" s="1"/>
  <c r="G49" i="1"/>
  <c r="G50" i="1" s="1"/>
  <c r="F49" i="1"/>
  <c r="F50" i="1" s="1"/>
  <c r="E49" i="1"/>
  <c r="E50" i="1" s="1"/>
  <c r="D49" i="1"/>
  <c r="C49" i="1"/>
  <c r="A39" i="1"/>
  <c r="A38" i="1"/>
  <c r="T25" i="1"/>
  <c r="T26" i="1" s="1"/>
  <c r="T27" i="1" s="1"/>
  <c r="P25" i="1"/>
  <c r="P26" i="1" s="1"/>
  <c r="P27" i="1" s="1"/>
  <c r="D25" i="1"/>
  <c r="D26" i="1" s="1"/>
  <c r="D27" i="1" s="1"/>
  <c r="X24" i="1"/>
  <c r="X25" i="1" s="1"/>
  <c r="X26" i="1" s="1"/>
  <c r="X27" i="1" s="1"/>
  <c r="U24" i="1"/>
  <c r="U25" i="1" s="1"/>
  <c r="U26" i="1" s="1"/>
  <c r="U27" i="1" s="1"/>
  <c r="S24" i="1"/>
  <c r="S25" i="1" s="1"/>
  <c r="S26" i="1" s="1"/>
  <c r="S27" i="1" s="1"/>
  <c r="R24" i="1"/>
  <c r="R25" i="1" s="1"/>
  <c r="R26" i="1" s="1"/>
  <c r="R27" i="1" s="1"/>
  <c r="F24" i="1"/>
  <c r="F25" i="1" s="1"/>
  <c r="F26" i="1" s="1"/>
  <c r="F27" i="1" s="1"/>
  <c r="E24" i="1"/>
  <c r="E25" i="1" s="1"/>
  <c r="E26" i="1" s="1"/>
  <c r="E27" i="1" s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Z19" i="1"/>
  <c r="Y19" i="1"/>
  <c r="X19" i="1"/>
  <c r="W19" i="1"/>
  <c r="V19" i="1"/>
  <c r="V24" i="1" s="1"/>
  <c r="V25" i="1" s="1"/>
  <c r="V26" i="1" s="1"/>
  <c r="V27" i="1" s="1"/>
  <c r="U19" i="1"/>
  <c r="T19" i="1"/>
  <c r="S19" i="1"/>
  <c r="R19" i="1"/>
  <c r="Q19" i="1"/>
  <c r="P19" i="1"/>
  <c r="O19" i="1"/>
  <c r="O24" i="1" s="1"/>
  <c r="O25" i="1" s="1"/>
  <c r="O26" i="1" s="1"/>
  <c r="O27" i="1" s="1"/>
  <c r="N19" i="1"/>
  <c r="M19" i="1"/>
  <c r="L19" i="1"/>
  <c r="L24" i="1" s="1"/>
  <c r="L25" i="1" s="1"/>
  <c r="L26" i="1" s="1"/>
  <c r="L27" i="1" s="1"/>
  <c r="K19" i="1"/>
  <c r="J19" i="1"/>
  <c r="I19" i="1"/>
  <c r="H19" i="1"/>
  <c r="H24" i="1" s="1"/>
  <c r="H25" i="1" s="1"/>
  <c r="H26" i="1" s="1"/>
  <c r="H27" i="1" s="1"/>
  <c r="G19" i="1"/>
  <c r="F19" i="1"/>
  <c r="E19" i="1"/>
  <c r="D19" i="1"/>
  <c r="C19" i="1"/>
  <c r="Z18" i="1"/>
  <c r="Z24" i="1" s="1"/>
  <c r="Z25" i="1" s="1"/>
  <c r="Z26" i="1" s="1"/>
  <c r="Z27" i="1" s="1"/>
  <c r="Y18" i="1"/>
  <c r="Y24" i="1" s="1"/>
  <c r="Y25" i="1" s="1"/>
  <c r="Y26" i="1" s="1"/>
  <c r="Y27" i="1" s="1"/>
  <c r="X18" i="1"/>
  <c r="W18" i="1"/>
  <c r="W24" i="1" s="1"/>
  <c r="W25" i="1" s="1"/>
  <c r="W26" i="1" s="1"/>
  <c r="W27" i="1" s="1"/>
  <c r="V18" i="1"/>
  <c r="U18" i="1"/>
  <c r="T18" i="1"/>
  <c r="T24" i="1" s="1"/>
  <c r="S18" i="1"/>
  <c r="R18" i="1"/>
  <c r="Q18" i="1"/>
  <c r="Q24" i="1" s="1"/>
  <c r="Q25" i="1" s="1"/>
  <c r="Q26" i="1" s="1"/>
  <c r="Q27" i="1" s="1"/>
  <c r="P18" i="1"/>
  <c r="P24" i="1" s="1"/>
  <c r="O18" i="1"/>
  <c r="N18" i="1"/>
  <c r="N24" i="1" s="1"/>
  <c r="N25" i="1" s="1"/>
  <c r="N26" i="1" s="1"/>
  <c r="N27" i="1" s="1"/>
  <c r="M18" i="1"/>
  <c r="M24" i="1" s="1"/>
  <c r="M25" i="1" s="1"/>
  <c r="M26" i="1" s="1"/>
  <c r="M27" i="1" s="1"/>
  <c r="L18" i="1"/>
  <c r="K18" i="1"/>
  <c r="K24" i="1" s="1"/>
  <c r="K25" i="1" s="1"/>
  <c r="K26" i="1" s="1"/>
  <c r="K27" i="1" s="1"/>
  <c r="J18" i="1"/>
  <c r="J24" i="1" s="1"/>
  <c r="J25" i="1" s="1"/>
  <c r="J26" i="1" s="1"/>
  <c r="J27" i="1" s="1"/>
  <c r="I18" i="1"/>
  <c r="I24" i="1" s="1"/>
  <c r="I25" i="1" s="1"/>
  <c r="I26" i="1" s="1"/>
  <c r="I27" i="1" s="1"/>
  <c r="H18" i="1"/>
  <c r="G18" i="1"/>
  <c r="G24" i="1" s="1"/>
  <c r="G25" i="1" s="1"/>
  <c r="G26" i="1" s="1"/>
  <c r="G27" i="1" s="1"/>
  <c r="F18" i="1"/>
  <c r="E18" i="1"/>
  <c r="D18" i="1"/>
  <c r="D24" i="1" s="1"/>
  <c r="C18" i="1"/>
  <c r="C24" i="1" s="1"/>
  <c r="C25" i="1" s="1"/>
  <c r="C26" i="1" s="1"/>
  <c r="C27" i="1" s="1"/>
  <c r="C31" i="1" s="1"/>
  <c r="C33" i="1" s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C13" i="1" s="1"/>
  <c r="C14" i="1" s="1"/>
  <c r="C15" i="1" s="1"/>
  <c r="C16" i="1" s="1"/>
  <c r="C7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E2" i="1"/>
  <c r="D2" i="1"/>
  <c r="AB14" i="2" l="1"/>
  <c r="AB15" i="2" s="1"/>
  <c r="AB16" i="2" s="1"/>
  <c r="AB31" i="2" s="1"/>
  <c r="AA16" i="2"/>
  <c r="AA31" i="2" s="1"/>
  <c r="AE7" i="2"/>
  <c r="AC13" i="2"/>
  <c r="AC8" i="2" s="1"/>
  <c r="AB8" i="2"/>
  <c r="F24" i="2"/>
  <c r="F25" i="2" s="1"/>
  <c r="F26" i="2" s="1"/>
  <c r="F27" i="2" s="1"/>
  <c r="V24" i="2"/>
  <c r="V25" i="2" s="1"/>
  <c r="V26" i="2" s="1"/>
  <c r="V27" i="2" s="1"/>
  <c r="O24" i="2"/>
  <c r="O25" i="2" s="1"/>
  <c r="O26" i="2" s="1"/>
  <c r="O27" i="2" s="1"/>
  <c r="Y24" i="2"/>
  <c r="Y25" i="2" s="1"/>
  <c r="Y26" i="2" s="1"/>
  <c r="Y27" i="2" s="1"/>
  <c r="K24" i="2"/>
  <c r="K25" i="2" s="1"/>
  <c r="K26" i="2" s="1"/>
  <c r="K27" i="2" s="1"/>
  <c r="M24" i="2"/>
  <c r="M25" i="2" s="1"/>
  <c r="M26" i="2" s="1"/>
  <c r="M27" i="2" s="1"/>
  <c r="D8" i="2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D24" i="2"/>
  <c r="D25" i="2" s="1"/>
  <c r="D26" i="2" s="1"/>
  <c r="D27" i="2" s="1"/>
  <c r="T24" i="2"/>
  <c r="T25" i="2" s="1"/>
  <c r="T26" i="2" s="1"/>
  <c r="T27" i="2" s="1"/>
  <c r="E24" i="2"/>
  <c r="E25" i="2" s="1"/>
  <c r="E26" i="2" s="1"/>
  <c r="E27" i="2" s="1"/>
  <c r="U24" i="2"/>
  <c r="U25" i="2" s="1"/>
  <c r="U26" i="2" s="1"/>
  <c r="U27" i="2" s="1"/>
  <c r="S24" i="2"/>
  <c r="S25" i="2" s="1"/>
  <c r="S26" i="2" s="1"/>
  <c r="S27" i="2" s="1"/>
  <c r="H24" i="2"/>
  <c r="H25" i="2" s="1"/>
  <c r="H26" i="2" s="1"/>
  <c r="H27" i="2" s="1"/>
  <c r="X24" i="2"/>
  <c r="X25" i="2" s="1"/>
  <c r="X26" i="2" s="1"/>
  <c r="X27" i="2" s="1"/>
  <c r="P24" i="2"/>
  <c r="P25" i="2" s="1"/>
  <c r="P26" i="2" s="1"/>
  <c r="P27" i="2" s="1"/>
  <c r="C8" i="2"/>
  <c r="J24" i="2"/>
  <c r="J25" i="2" s="1"/>
  <c r="J26" i="2" s="1"/>
  <c r="J27" i="2" s="1"/>
  <c r="Z24" i="2"/>
  <c r="Z25" i="2" s="1"/>
  <c r="Z26" i="2" s="1"/>
  <c r="Z27" i="2" s="1"/>
  <c r="C24" i="2"/>
  <c r="C25" i="2" s="1"/>
  <c r="C26" i="2" s="1"/>
  <c r="C27" i="2" s="1"/>
  <c r="C31" i="2" s="1"/>
  <c r="C33" i="2" s="1"/>
  <c r="C55" i="2" s="1"/>
  <c r="C56" i="2"/>
  <c r="D56" i="2"/>
  <c r="D14" i="2"/>
  <c r="D15" i="2" s="1"/>
  <c r="D16" i="2" s="1"/>
  <c r="I52" i="1"/>
  <c r="I51" i="1"/>
  <c r="J52" i="1"/>
  <c r="J51" i="1"/>
  <c r="Q51" i="1"/>
  <c r="Q52" i="1"/>
  <c r="L55" i="1"/>
  <c r="K55" i="1"/>
  <c r="X55" i="1"/>
  <c r="H55" i="1"/>
  <c r="W55" i="1"/>
  <c r="G55" i="1"/>
  <c r="U55" i="1"/>
  <c r="E55" i="1"/>
  <c r="T55" i="1"/>
  <c r="D55" i="1"/>
  <c r="C55" i="1"/>
  <c r="Z55" i="1"/>
  <c r="Y55" i="1"/>
  <c r="C37" i="1"/>
  <c r="V55" i="1"/>
  <c r="S55" i="1"/>
  <c r="R55" i="1"/>
  <c r="D32" i="1"/>
  <c r="Q55" i="1"/>
  <c r="O55" i="1"/>
  <c r="I55" i="1"/>
  <c r="P55" i="1"/>
  <c r="N55" i="1"/>
  <c r="M55" i="1"/>
  <c r="J55" i="1"/>
  <c r="D30" i="1"/>
  <c r="F55" i="1"/>
  <c r="O51" i="1"/>
  <c r="O52" i="1"/>
  <c r="F52" i="1"/>
  <c r="F51" i="1"/>
  <c r="V52" i="1"/>
  <c r="V51" i="1"/>
  <c r="G52" i="1"/>
  <c r="G51" i="1"/>
  <c r="Y51" i="1"/>
  <c r="Y52" i="1"/>
  <c r="N51" i="1"/>
  <c r="N52" i="1"/>
  <c r="R51" i="1"/>
  <c r="H52" i="1"/>
  <c r="X52" i="1"/>
  <c r="S52" i="1"/>
  <c r="W51" i="1"/>
  <c r="T52" i="1"/>
  <c r="X51" i="1"/>
  <c r="L52" i="1"/>
  <c r="Z51" i="1"/>
  <c r="Z52" i="1"/>
  <c r="C52" i="1"/>
  <c r="D52" i="1"/>
  <c r="H51" i="1"/>
  <c r="D7" i="1"/>
  <c r="C56" i="1"/>
  <c r="C47" i="1"/>
  <c r="M52" i="1"/>
  <c r="L51" i="1"/>
  <c r="K52" i="1"/>
  <c r="E52" i="1"/>
  <c r="U52" i="1"/>
  <c r="P52" i="1"/>
  <c r="AE56" i="2" l="1"/>
  <c r="AF7" i="2"/>
  <c r="AC14" i="2"/>
  <c r="AC15" i="2" s="1"/>
  <c r="AC16" i="2" s="1"/>
  <c r="AC31" i="2" s="1"/>
  <c r="AD13" i="2"/>
  <c r="E8" i="2"/>
  <c r="D31" i="2"/>
  <c r="D32" i="2"/>
  <c r="D30" i="2"/>
  <c r="C37" i="2"/>
  <c r="F8" i="2"/>
  <c r="E56" i="2"/>
  <c r="E14" i="2"/>
  <c r="E15" i="2" s="1"/>
  <c r="E16" i="2" s="1"/>
  <c r="E31" i="2" s="1"/>
  <c r="C43" i="1"/>
  <c r="C42" i="1" s="1"/>
  <c r="C5" i="1" s="1"/>
  <c r="D56" i="1"/>
  <c r="D47" i="1" s="1"/>
  <c r="D13" i="1"/>
  <c r="D14" i="1" s="1"/>
  <c r="D15" i="1" s="1"/>
  <c r="D16" i="1" s="1"/>
  <c r="D31" i="1" s="1"/>
  <c r="E7" i="1"/>
  <c r="C38" i="1"/>
  <c r="C45" i="1" s="1"/>
  <c r="C44" i="1" s="1"/>
  <c r="D33" i="1"/>
  <c r="AD14" i="2" l="1"/>
  <c r="AD15" i="2" s="1"/>
  <c r="AD16" i="2" s="1"/>
  <c r="AD31" i="2" s="1"/>
  <c r="AE13" i="2"/>
  <c r="AD8" i="2"/>
  <c r="AF56" i="2"/>
  <c r="AG7" i="2"/>
  <c r="C43" i="2"/>
  <c r="D33" i="2"/>
  <c r="D55" i="2" s="1"/>
  <c r="F56" i="2"/>
  <c r="G8" i="2"/>
  <c r="F14" i="2"/>
  <c r="F15" i="2" s="1"/>
  <c r="F16" i="2" s="1"/>
  <c r="F31" i="2" s="1"/>
  <c r="C38" i="2"/>
  <c r="C45" i="2" s="1"/>
  <c r="C44" i="2" s="1"/>
  <c r="E30" i="1"/>
  <c r="E32" i="1"/>
  <c r="D37" i="1"/>
  <c r="E13" i="1"/>
  <c r="E14" i="1" s="1"/>
  <c r="E15" i="1" s="1"/>
  <c r="E16" i="1" s="1"/>
  <c r="E31" i="1" s="1"/>
  <c r="E56" i="1"/>
  <c r="E47" i="1" s="1"/>
  <c r="F7" i="1"/>
  <c r="C75" i="1"/>
  <c r="C58" i="1"/>
  <c r="C73" i="1" s="1"/>
  <c r="C78" i="1" s="1"/>
  <c r="C79" i="1" s="1"/>
  <c r="C71" i="1"/>
  <c r="C60" i="1" s="1"/>
  <c r="C39" i="1"/>
  <c r="AH7" i="2" l="1"/>
  <c r="AG56" i="2"/>
  <c r="AE14" i="2"/>
  <c r="AE15" i="2" s="1"/>
  <c r="AE16" i="2" s="1"/>
  <c r="AE31" i="2" s="1"/>
  <c r="AF13" i="2"/>
  <c r="AE8" i="2"/>
  <c r="C42" i="2"/>
  <c r="C49" i="2"/>
  <c r="C50" i="2" s="1"/>
  <c r="C39" i="2"/>
  <c r="C5" i="2"/>
  <c r="C76" i="2" s="1"/>
  <c r="G56" i="2"/>
  <c r="H8" i="2"/>
  <c r="G14" i="2"/>
  <c r="G15" i="2" s="1"/>
  <c r="G16" i="2" s="1"/>
  <c r="G31" i="2" s="1"/>
  <c r="E30" i="2"/>
  <c r="E32" i="2"/>
  <c r="D37" i="2"/>
  <c r="D38" i="2" s="1"/>
  <c r="D45" i="2" s="1"/>
  <c r="D44" i="2" s="1"/>
  <c r="C72" i="2"/>
  <c r="C60" i="2" s="1"/>
  <c r="F56" i="1"/>
  <c r="F47" i="1" s="1"/>
  <c r="G7" i="1"/>
  <c r="F13" i="1"/>
  <c r="F14" i="1" s="1"/>
  <c r="F15" i="1" s="1"/>
  <c r="F16" i="1" s="1"/>
  <c r="F31" i="1" s="1"/>
  <c r="D43" i="1"/>
  <c r="D42" i="1" s="1"/>
  <c r="D38" i="1"/>
  <c r="D45" i="1" s="1"/>
  <c r="D44" i="1" s="1"/>
  <c r="E33" i="1"/>
  <c r="AI7" i="2" l="1"/>
  <c r="AH56" i="2"/>
  <c r="AF14" i="2"/>
  <c r="AF15" i="2" s="1"/>
  <c r="AF16" i="2" s="1"/>
  <c r="AF31" i="2" s="1"/>
  <c r="AG13" i="2"/>
  <c r="AF8" i="2"/>
  <c r="C51" i="2"/>
  <c r="C52" i="2"/>
  <c r="C47" i="2"/>
  <c r="C58" i="2" s="1"/>
  <c r="C74" i="2" s="1"/>
  <c r="C79" i="2" s="1"/>
  <c r="C80" i="2" s="1"/>
  <c r="E33" i="2"/>
  <c r="E55" i="2" s="1"/>
  <c r="D43" i="2"/>
  <c r="D53" i="2" s="1"/>
  <c r="D62" i="2" s="1"/>
  <c r="D39" i="2"/>
  <c r="I8" i="2"/>
  <c r="H56" i="2"/>
  <c r="H14" i="2"/>
  <c r="H15" i="2" s="1"/>
  <c r="H16" i="2" s="1"/>
  <c r="H31" i="2" s="1"/>
  <c r="F32" i="1"/>
  <c r="E37" i="1"/>
  <c r="F30" i="1"/>
  <c r="F33" i="1" s="1"/>
  <c r="D39" i="1"/>
  <c r="D5" i="1"/>
  <c r="G56" i="1"/>
  <c r="G47" i="1" s="1"/>
  <c r="H7" i="1"/>
  <c r="G13" i="1"/>
  <c r="G14" i="1" s="1"/>
  <c r="G15" i="1" s="1"/>
  <c r="G16" i="1" s="1"/>
  <c r="G31" i="1" s="1"/>
  <c r="AG14" i="2" l="1"/>
  <c r="AG15" i="2" s="1"/>
  <c r="AG16" i="2" s="1"/>
  <c r="AG31" i="2" s="1"/>
  <c r="AH13" i="2"/>
  <c r="AG8" i="2"/>
  <c r="AI56" i="2"/>
  <c r="AJ7" i="2"/>
  <c r="D42" i="2"/>
  <c r="D5" i="2" s="1"/>
  <c r="D72" i="2" s="1"/>
  <c r="D60" i="2" s="1"/>
  <c r="D49" i="2"/>
  <c r="D50" i="2" s="1"/>
  <c r="D76" i="2"/>
  <c r="J8" i="2"/>
  <c r="I56" i="2"/>
  <c r="I14" i="2"/>
  <c r="I15" i="2" s="1"/>
  <c r="I16" i="2" s="1"/>
  <c r="I31" i="2" s="1"/>
  <c r="F30" i="2"/>
  <c r="F32" i="2"/>
  <c r="E37" i="2"/>
  <c r="H13" i="1"/>
  <c r="H14" i="1" s="1"/>
  <c r="H15" i="1" s="1"/>
  <c r="H16" i="1" s="1"/>
  <c r="H31" i="1" s="1"/>
  <c r="I7" i="1"/>
  <c r="H56" i="1"/>
  <c r="H47" i="1" s="1"/>
  <c r="E43" i="1"/>
  <c r="E42" i="1" s="1"/>
  <c r="D75" i="1"/>
  <c r="D71" i="1"/>
  <c r="D60" i="1" s="1"/>
  <c r="D58" i="1"/>
  <c r="D73" i="1" s="1"/>
  <c r="D78" i="1" s="1"/>
  <c r="D79" i="1" s="1"/>
  <c r="E38" i="1"/>
  <c r="E45" i="1" s="1"/>
  <c r="E44" i="1" s="1"/>
  <c r="F37" i="1"/>
  <c r="F38" i="1"/>
  <c r="F45" i="1" s="1"/>
  <c r="F44" i="1" s="1"/>
  <c r="G32" i="1"/>
  <c r="G30" i="1"/>
  <c r="AH14" i="2" l="1"/>
  <c r="AH15" i="2" s="1"/>
  <c r="AH16" i="2" s="1"/>
  <c r="AH31" i="2" s="1"/>
  <c r="AI13" i="2"/>
  <c r="AH8" i="2"/>
  <c r="AJ56" i="2"/>
  <c r="AK7" i="2"/>
  <c r="D51" i="2"/>
  <c r="D52" i="2"/>
  <c r="D47" i="2"/>
  <c r="D58" i="2" s="1"/>
  <c r="D74" i="2" s="1"/>
  <c r="D79" i="2" s="1"/>
  <c r="D80" i="2" s="1"/>
  <c r="E43" i="2"/>
  <c r="E53" i="2" s="1"/>
  <c r="E62" i="2" s="1"/>
  <c r="E38" i="2"/>
  <c r="E45" i="2" s="1"/>
  <c r="E44" i="2" s="1"/>
  <c r="F33" i="2"/>
  <c r="F55" i="2" s="1"/>
  <c r="K8" i="2"/>
  <c r="J56" i="2"/>
  <c r="J14" i="2"/>
  <c r="J15" i="2" s="1"/>
  <c r="J16" i="2" s="1"/>
  <c r="J31" i="2" s="1"/>
  <c r="G33" i="1"/>
  <c r="F43" i="1"/>
  <c r="F42" i="1" s="1"/>
  <c r="F5" i="1" s="1"/>
  <c r="F39" i="1"/>
  <c r="E39" i="1"/>
  <c r="I56" i="1"/>
  <c r="I47" i="1" s="1"/>
  <c r="I13" i="1"/>
  <c r="I14" i="1" s="1"/>
  <c r="I15" i="1" s="1"/>
  <c r="I16" i="1" s="1"/>
  <c r="I31" i="1" s="1"/>
  <c r="J7" i="1"/>
  <c r="E5" i="1"/>
  <c r="AK56" i="2" l="1"/>
  <c r="AL7" i="2"/>
  <c r="AI14" i="2"/>
  <c r="AI15" i="2" s="1"/>
  <c r="AI16" i="2" s="1"/>
  <c r="AI31" i="2" s="1"/>
  <c r="AJ13" i="2"/>
  <c r="AI8" i="2"/>
  <c r="E42" i="2"/>
  <c r="E5" i="2" s="1"/>
  <c r="E49" i="2"/>
  <c r="E50" i="2" s="1"/>
  <c r="K14" i="2"/>
  <c r="K15" i="2" s="1"/>
  <c r="K16" i="2" s="1"/>
  <c r="K31" i="2" s="1"/>
  <c r="K56" i="2"/>
  <c r="G30" i="2"/>
  <c r="G32" i="2"/>
  <c r="F37" i="2"/>
  <c r="E39" i="2"/>
  <c r="E75" i="1"/>
  <c r="E71" i="1"/>
  <c r="E60" i="1" s="1"/>
  <c r="E58" i="1"/>
  <c r="E73" i="1" s="1"/>
  <c r="E78" i="1" s="1"/>
  <c r="E79" i="1" s="1"/>
  <c r="K7" i="1"/>
  <c r="J13" i="1"/>
  <c r="J14" i="1" s="1"/>
  <c r="J15" i="1" s="1"/>
  <c r="J16" i="1" s="1"/>
  <c r="J31" i="1" s="1"/>
  <c r="J56" i="1"/>
  <c r="J47" i="1" s="1"/>
  <c r="F58" i="1"/>
  <c r="F71" i="1"/>
  <c r="F60" i="1" s="1"/>
  <c r="F75" i="1"/>
  <c r="G37" i="1"/>
  <c r="G38" i="1" s="1"/>
  <c r="G45" i="1" s="1"/>
  <c r="G44" i="1" s="1"/>
  <c r="H32" i="1"/>
  <c r="H30" i="1"/>
  <c r="AL56" i="2" l="1"/>
  <c r="AJ14" i="2"/>
  <c r="AJ15" i="2" s="1"/>
  <c r="AJ16" i="2" s="1"/>
  <c r="AJ31" i="2" s="1"/>
  <c r="AK13" i="2"/>
  <c r="AJ8" i="2"/>
  <c r="E52" i="2"/>
  <c r="E51" i="2"/>
  <c r="E47" i="2" s="1"/>
  <c r="E58" i="2" s="1"/>
  <c r="L8" i="2"/>
  <c r="F43" i="2"/>
  <c r="F53" i="2" s="1"/>
  <c r="F62" i="2" s="1"/>
  <c r="G33" i="2"/>
  <c r="G55" i="2" s="1"/>
  <c r="L56" i="2"/>
  <c r="L14" i="2"/>
  <c r="L15" i="2" s="1"/>
  <c r="L16" i="2" s="1"/>
  <c r="L31" i="2" s="1"/>
  <c r="E72" i="2"/>
  <c r="E60" i="2" s="1"/>
  <c r="E76" i="2"/>
  <c r="F38" i="2"/>
  <c r="F45" i="2" s="1"/>
  <c r="F44" i="2" s="1"/>
  <c r="H33" i="1"/>
  <c r="F73" i="1"/>
  <c r="F78" i="1" s="1"/>
  <c r="F79" i="1" s="1"/>
  <c r="G43" i="1"/>
  <c r="G42" i="1" s="1"/>
  <c r="G5" i="1" s="1"/>
  <c r="G39" i="1"/>
  <c r="K13" i="1"/>
  <c r="K14" i="1" s="1"/>
  <c r="K15" i="1" s="1"/>
  <c r="K16" i="1" s="1"/>
  <c r="K31" i="1" s="1"/>
  <c r="L7" i="1"/>
  <c r="K56" i="1"/>
  <c r="K47" i="1" s="1"/>
  <c r="AK14" i="2" l="1"/>
  <c r="AK15" i="2" s="1"/>
  <c r="AK16" i="2" s="1"/>
  <c r="AK31" i="2" s="1"/>
  <c r="AL13" i="2"/>
  <c r="AK8" i="2"/>
  <c r="F42" i="2"/>
  <c r="F5" i="2" s="1"/>
  <c r="F49" i="2"/>
  <c r="F50" i="2" s="1"/>
  <c r="M8" i="2"/>
  <c r="E74" i="2"/>
  <c r="E79" i="2" s="1"/>
  <c r="E80" i="2" s="1"/>
  <c r="M14" i="2"/>
  <c r="M15" i="2" s="1"/>
  <c r="M16" i="2" s="1"/>
  <c r="M31" i="2" s="1"/>
  <c r="M56" i="2"/>
  <c r="F39" i="2"/>
  <c r="H32" i="2"/>
  <c r="G37" i="2"/>
  <c r="H30" i="2"/>
  <c r="G75" i="1"/>
  <c r="G71" i="1"/>
  <c r="G60" i="1" s="1"/>
  <c r="G58" i="1"/>
  <c r="G73" i="1" s="1"/>
  <c r="G78" i="1" s="1"/>
  <c r="G79" i="1" s="1"/>
  <c r="L13" i="1"/>
  <c r="L14" i="1" s="1"/>
  <c r="L15" i="1" s="1"/>
  <c r="L16" i="1" s="1"/>
  <c r="L31" i="1" s="1"/>
  <c r="M7" i="1"/>
  <c r="L56" i="1"/>
  <c r="L47" i="1" s="1"/>
  <c r="H37" i="1"/>
  <c r="I32" i="1"/>
  <c r="I30" i="1"/>
  <c r="H38" i="1"/>
  <c r="H45" i="1" s="1"/>
  <c r="H44" i="1" s="1"/>
  <c r="AL14" i="2" l="1"/>
  <c r="AL15" i="2" s="1"/>
  <c r="AL16" i="2" s="1"/>
  <c r="AL31" i="2" s="1"/>
  <c r="AL8" i="2"/>
  <c r="F51" i="2"/>
  <c r="F52" i="2"/>
  <c r="F47" i="2" s="1"/>
  <c r="F58" i="2" s="1"/>
  <c r="N8" i="2"/>
  <c r="H33" i="2"/>
  <c r="H55" i="2" s="1"/>
  <c r="G43" i="2"/>
  <c r="G53" i="2" s="1"/>
  <c r="G62" i="2" s="1"/>
  <c r="F72" i="2"/>
  <c r="F60" i="2" s="1"/>
  <c r="F76" i="2"/>
  <c r="G38" i="2"/>
  <c r="G45" i="2" s="1"/>
  <c r="G44" i="2" s="1"/>
  <c r="N14" i="2"/>
  <c r="N15" i="2" s="1"/>
  <c r="N16" i="2" s="1"/>
  <c r="N31" i="2" s="1"/>
  <c r="N56" i="2"/>
  <c r="I33" i="1"/>
  <c r="H43" i="1"/>
  <c r="H42" i="1" s="1"/>
  <c r="H5" i="1" s="1"/>
  <c r="H39" i="1"/>
  <c r="M56" i="1"/>
  <c r="M47" i="1" s="1"/>
  <c r="M13" i="1"/>
  <c r="M14" i="1" s="1"/>
  <c r="M15" i="1" s="1"/>
  <c r="M16" i="1" s="1"/>
  <c r="M31" i="1" s="1"/>
  <c r="N7" i="1"/>
  <c r="G42" i="2" l="1"/>
  <c r="G5" i="2" s="1"/>
  <c r="G49" i="2"/>
  <c r="G50" i="2" s="1"/>
  <c r="O8" i="2"/>
  <c r="I30" i="2"/>
  <c r="I33" i="2" s="1"/>
  <c r="I55" i="2" s="1"/>
  <c r="I32" i="2"/>
  <c r="H37" i="2"/>
  <c r="H38" i="2" s="1"/>
  <c r="H45" i="2" s="1"/>
  <c r="H44" i="2" s="1"/>
  <c r="O56" i="2"/>
  <c r="O14" i="2"/>
  <c r="O15" i="2" s="1"/>
  <c r="O16" i="2" s="1"/>
  <c r="O31" i="2" s="1"/>
  <c r="F74" i="2"/>
  <c r="F79" i="2" s="1"/>
  <c r="F80" i="2" s="1"/>
  <c r="G39" i="2"/>
  <c r="N13" i="1"/>
  <c r="N14" i="1" s="1"/>
  <c r="N15" i="1" s="1"/>
  <c r="N16" i="1" s="1"/>
  <c r="N31" i="1" s="1"/>
  <c r="N56" i="1"/>
  <c r="N47" i="1" s="1"/>
  <c r="O7" i="1"/>
  <c r="H75" i="1"/>
  <c r="H71" i="1"/>
  <c r="H60" i="1" s="1"/>
  <c r="H58" i="1"/>
  <c r="H73" i="1" s="1"/>
  <c r="H78" i="1" s="1"/>
  <c r="H79" i="1" s="1"/>
  <c r="I37" i="1"/>
  <c r="J32" i="1"/>
  <c r="J30" i="1"/>
  <c r="H43" i="2" l="1"/>
  <c r="H53" i="2" s="1"/>
  <c r="H62" i="2" s="1"/>
  <c r="H39" i="2"/>
  <c r="G51" i="2"/>
  <c r="G52" i="2"/>
  <c r="G47" i="2" s="1"/>
  <c r="G58" i="2" s="1"/>
  <c r="P8" i="2"/>
  <c r="G72" i="2"/>
  <c r="G60" i="2" s="1"/>
  <c r="G76" i="2"/>
  <c r="P56" i="2"/>
  <c r="P14" i="2"/>
  <c r="P15" i="2" s="1"/>
  <c r="P16" i="2" s="1"/>
  <c r="P31" i="2" s="1"/>
  <c r="J30" i="2"/>
  <c r="I37" i="2"/>
  <c r="I38" i="2" s="1"/>
  <c r="I45" i="2" s="1"/>
  <c r="I44" i="2" s="1"/>
  <c r="J32" i="2"/>
  <c r="J33" i="1"/>
  <c r="I43" i="1"/>
  <c r="I42" i="1" s="1"/>
  <c r="I38" i="1"/>
  <c r="I45" i="1" s="1"/>
  <c r="I44" i="1" s="1"/>
  <c r="P7" i="1"/>
  <c r="O56" i="1"/>
  <c r="O47" i="1" s="1"/>
  <c r="O13" i="1"/>
  <c r="O14" i="1" s="1"/>
  <c r="O15" i="1" s="1"/>
  <c r="O16" i="1" s="1"/>
  <c r="O31" i="1" s="1"/>
  <c r="H42" i="2" l="1"/>
  <c r="H5" i="2" s="1"/>
  <c r="H49" i="2"/>
  <c r="H50" i="2" s="1"/>
  <c r="H51" i="2"/>
  <c r="H52" i="2"/>
  <c r="H47" i="2" s="1"/>
  <c r="H58" i="2" s="1"/>
  <c r="Q8" i="2"/>
  <c r="G74" i="2"/>
  <c r="G79" i="2" s="1"/>
  <c r="G80" i="2" s="1"/>
  <c r="I39" i="2"/>
  <c r="I43" i="2"/>
  <c r="I53" i="2" s="1"/>
  <c r="I62" i="2" s="1"/>
  <c r="J33" i="2"/>
  <c r="J55" i="2" s="1"/>
  <c r="Q56" i="2"/>
  <c r="Q14" i="2"/>
  <c r="Q15" i="2" s="1"/>
  <c r="Q16" i="2" s="1"/>
  <c r="Q31" i="2" s="1"/>
  <c r="I39" i="1"/>
  <c r="P56" i="1"/>
  <c r="P47" i="1" s="1"/>
  <c r="Q7" i="1"/>
  <c r="P13" i="1"/>
  <c r="P14" i="1" s="1"/>
  <c r="P15" i="1" s="1"/>
  <c r="P16" i="1" s="1"/>
  <c r="P31" i="1" s="1"/>
  <c r="I5" i="1"/>
  <c r="K32" i="1"/>
  <c r="K30" i="1"/>
  <c r="K33" i="1" s="1"/>
  <c r="J37" i="1"/>
  <c r="J38" i="1" s="1"/>
  <c r="J45" i="1" s="1"/>
  <c r="J44" i="1" s="1"/>
  <c r="H76" i="2" l="1"/>
  <c r="H72" i="2"/>
  <c r="H60" i="2" s="1"/>
  <c r="H74" i="2" s="1"/>
  <c r="H79" i="2" s="1"/>
  <c r="H80" i="2" s="1"/>
  <c r="I42" i="2"/>
  <c r="I5" i="2" s="1"/>
  <c r="I76" i="2" s="1"/>
  <c r="I49" i="2"/>
  <c r="I50" i="2" s="1"/>
  <c r="R8" i="2"/>
  <c r="R56" i="2"/>
  <c r="R14" i="2"/>
  <c r="R15" i="2" s="1"/>
  <c r="R16" i="2" s="1"/>
  <c r="R31" i="2" s="1"/>
  <c r="K30" i="2"/>
  <c r="J37" i="2"/>
  <c r="J38" i="2" s="1"/>
  <c r="J45" i="2" s="1"/>
  <c r="J44" i="2" s="1"/>
  <c r="K32" i="2"/>
  <c r="J43" i="1"/>
  <c r="J42" i="1" s="1"/>
  <c r="J5" i="1" s="1"/>
  <c r="J39" i="1"/>
  <c r="I58" i="1"/>
  <c r="I71" i="1"/>
  <c r="I60" i="1" s="1"/>
  <c r="I75" i="1"/>
  <c r="L32" i="1"/>
  <c r="L30" i="1"/>
  <c r="K37" i="1"/>
  <c r="K38" i="1" s="1"/>
  <c r="K45" i="1" s="1"/>
  <c r="K44" i="1" s="1"/>
  <c r="Q13" i="1"/>
  <c r="Q14" i="1" s="1"/>
  <c r="Q15" i="1" s="1"/>
  <c r="Q16" i="1" s="1"/>
  <c r="Q31" i="1" s="1"/>
  <c r="Q56" i="1"/>
  <c r="Q47" i="1" s="1"/>
  <c r="R7" i="1"/>
  <c r="I72" i="2" l="1"/>
  <c r="I60" i="2" s="1"/>
  <c r="I52" i="2"/>
  <c r="I51" i="2"/>
  <c r="I47" i="2" s="1"/>
  <c r="I58" i="2" s="1"/>
  <c r="I74" i="2" s="1"/>
  <c r="I79" i="2" s="1"/>
  <c r="I80" i="2" s="1"/>
  <c r="S8" i="2"/>
  <c r="K33" i="2"/>
  <c r="K55" i="2" s="1"/>
  <c r="S56" i="2"/>
  <c r="S14" i="2"/>
  <c r="S15" i="2" s="1"/>
  <c r="S16" i="2" s="1"/>
  <c r="S31" i="2" s="1"/>
  <c r="J43" i="2"/>
  <c r="J53" i="2" s="1"/>
  <c r="J62" i="2" s="1"/>
  <c r="J39" i="2"/>
  <c r="R13" i="1"/>
  <c r="R14" i="1" s="1"/>
  <c r="R15" i="1" s="1"/>
  <c r="R16" i="1" s="1"/>
  <c r="R31" i="1" s="1"/>
  <c r="S7" i="1"/>
  <c r="R56" i="1"/>
  <c r="R47" i="1" s="1"/>
  <c r="K43" i="1"/>
  <c r="K42" i="1" s="1"/>
  <c r="K5" i="1" s="1"/>
  <c r="K39" i="1"/>
  <c r="L33" i="1"/>
  <c r="I73" i="1"/>
  <c r="I78" i="1" s="1"/>
  <c r="I79" i="1" s="1"/>
  <c r="J71" i="1"/>
  <c r="J60" i="1" s="1"/>
  <c r="J75" i="1"/>
  <c r="J58" i="1"/>
  <c r="J73" i="1" s="1"/>
  <c r="J78" i="1" s="1"/>
  <c r="J79" i="1" s="1"/>
  <c r="J42" i="2" l="1"/>
  <c r="J5" i="2" s="1"/>
  <c r="J49" i="2"/>
  <c r="J50" i="2" s="1"/>
  <c r="T8" i="2"/>
  <c r="J72" i="2"/>
  <c r="J60" i="2" s="1"/>
  <c r="J76" i="2"/>
  <c r="T56" i="2"/>
  <c r="T14" i="2"/>
  <c r="T15" i="2" s="1"/>
  <c r="T16" i="2" s="1"/>
  <c r="T31" i="2" s="1"/>
  <c r="L30" i="2"/>
  <c r="K37" i="2"/>
  <c r="L32" i="2"/>
  <c r="K75" i="1"/>
  <c r="K71" i="1"/>
  <c r="K60" i="1" s="1"/>
  <c r="K58" i="1"/>
  <c r="K73" i="1" s="1"/>
  <c r="K78" i="1" s="1"/>
  <c r="K79" i="1" s="1"/>
  <c r="T7" i="1"/>
  <c r="S56" i="1"/>
  <c r="S47" i="1" s="1"/>
  <c r="S13" i="1"/>
  <c r="S14" i="1" s="1"/>
  <c r="S15" i="1" s="1"/>
  <c r="S16" i="1" s="1"/>
  <c r="S31" i="1" s="1"/>
  <c r="M32" i="1"/>
  <c r="M30" i="1"/>
  <c r="L37" i="1"/>
  <c r="J51" i="2" l="1"/>
  <c r="J52" i="2"/>
  <c r="J47" i="2"/>
  <c r="J58" i="2" s="1"/>
  <c r="J74" i="2" s="1"/>
  <c r="J79" i="2" s="1"/>
  <c r="J80" i="2" s="1"/>
  <c r="U8" i="2"/>
  <c r="L33" i="2"/>
  <c r="L55" i="2" s="1"/>
  <c r="K43" i="2"/>
  <c r="K53" i="2" s="1"/>
  <c r="K62" i="2" s="1"/>
  <c r="K38" i="2"/>
  <c r="K45" i="2" s="1"/>
  <c r="K44" i="2" s="1"/>
  <c r="U56" i="2"/>
  <c r="U14" i="2"/>
  <c r="U15" i="2" s="1"/>
  <c r="U16" i="2" s="1"/>
  <c r="U31" i="2" s="1"/>
  <c r="T56" i="1"/>
  <c r="T47" i="1" s="1"/>
  <c r="T13" i="1"/>
  <c r="T14" i="1" s="1"/>
  <c r="T15" i="1" s="1"/>
  <c r="T16" i="1" s="1"/>
  <c r="T31" i="1" s="1"/>
  <c r="U7" i="1"/>
  <c r="L43" i="1"/>
  <c r="L42" i="1" s="1"/>
  <c r="M33" i="1"/>
  <c r="L38" i="1"/>
  <c r="L45" i="1" s="1"/>
  <c r="L44" i="1" s="1"/>
  <c r="K42" i="2" l="1"/>
  <c r="K5" i="2" s="1"/>
  <c r="K49" i="2"/>
  <c r="K50" i="2" s="1"/>
  <c r="V8" i="2"/>
  <c r="V56" i="2"/>
  <c r="V14" i="2"/>
  <c r="V15" i="2" s="1"/>
  <c r="V16" i="2" s="1"/>
  <c r="V31" i="2" s="1"/>
  <c r="K39" i="2"/>
  <c r="M30" i="2"/>
  <c r="L37" i="2"/>
  <c r="M32" i="2"/>
  <c r="N30" i="1"/>
  <c r="M37" i="1"/>
  <c r="N32" i="1"/>
  <c r="L39" i="1"/>
  <c r="L5" i="1"/>
  <c r="U13" i="1"/>
  <c r="U14" i="1" s="1"/>
  <c r="U15" i="1" s="1"/>
  <c r="U16" i="1" s="1"/>
  <c r="U31" i="1" s="1"/>
  <c r="V7" i="1"/>
  <c r="U56" i="1"/>
  <c r="U47" i="1" s="1"/>
  <c r="K51" i="2" l="1"/>
  <c r="K52" i="2"/>
  <c r="K47" i="2" s="1"/>
  <c r="K58" i="2" s="1"/>
  <c r="W8" i="2"/>
  <c r="M33" i="2"/>
  <c r="M55" i="2" s="1"/>
  <c r="K76" i="2"/>
  <c r="K72" i="2"/>
  <c r="K60" i="2" s="1"/>
  <c r="W14" i="2"/>
  <c r="W15" i="2" s="1"/>
  <c r="W16" i="2" s="1"/>
  <c r="W31" i="2" s="1"/>
  <c r="W56" i="2"/>
  <c r="L43" i="2"/>
  <c r="L53" i="2" s="1"/>
  <c r="L62" i="2" s="1"/>
  <c r="L38" i="2"/>
  <c r="L45" i="2" s="1"/>
  <c r="L44" i="2" s="1"/>
  <c r="V13" i="1"/>
  <c r="V14" i="1" s="1"/>
  <c r="V15" i="1" s="1"/>
  <c r="V16" i="1" s="1"/>
  <c r="V31" i="1" s="1"/>
  <c r="W7" i="1"/>
  <c r="V56" i="1"/>
  <c r="V47" i="1" s="1"/>
  <c r="L75" i="1"/>
  <c r="L71" i="1"/>
  <c r="L60" i="1" s="1"/>
  <c r="L58" i="1"/>
  <c r="M43" i="1"/>
  <c r="M42" i="1" s="1"/>
  <c r="N33" i="1"/>
  <c r="M38" i="1"/>
  <c r="M45" i="1" s="1"/>
  <c r="M44" i="1" s="1"/>
  <c r="L42" i="2" l="1"/>
  <c r="L49" i="2"/>
  <c r="L50" i="2" s="1"/>
  <c r="X8" i="2"/>
  <c r="L39" i="2"/>
  <c r="L5" i="2"/>
  <c r="X14" i="2"/>
  <c r="X15" i="2" s="1"/>
  <c r="X16" i="2" s="1"/>
  <c r="X31" i="2" s="1"/>
  <c r="X56" i="2"/>
  <c r="K74" i="2"/>
  <c r="K79" i="2" s="1"/>
  <c r="K80" i="2" s="1"/>
  <c r="N30" i="2"/>
  <c r="M37" i="2"/>
  <c r="N32" i="2"/>
  <c r="M5" i="1"/>
  <c r="M39" i="1"/>
  <c r="L73" i="1"/>
  <c r="L78" i="1" s="1"/>
  <c r="L79" i="1" s="1"/>
  <c r="W13" i="1"/>
  <c r="W14" i="1" s="1"/>
  <c r="W15" i="1" s="1"/>
  <c r="W16" i="1" s="1"/>
  <c r="W31" i="1" s="1"/>
  <c r="X7" i="1"/>
  <c r="W56" i="1"/>
  <c r="W47" i="1" s="1"/>
  <c r="O32" i="1"/>
  <c r="O30" i="1"/>
  <c r="N37" i="1"/>
  <c r="L51" i="2" l="1"/>
  <c r="L52" i="2"/>
  <c r="L47" i="2"/>
  <c r="L58" i="2" s="1"/>
  <c r="Z8" i="2"/>
  <c r="Y8" i="2"/>
  <c r="M43" i="2"/>
  <c r="M53" i="2" s="1"/>
  <c r="M62" i="2" s="1"/>
  <c r="N33" i="2"/>
  <c r="N55" i="2" s="1"/>
  <c r="M38" i="2"/>
  <c r="M45" i="2" s="1"/>
  <c r="M44" i="2" s="1"/>
  <c r="Y56" i="2"/>
  <c r="Y14" i="2"/>
  <c r="Y15" i="2" s="1"/>
  <c r="Y16" i="2" s="1"/>
  <c r="Y31" i="2" s="1"/>
  <c r="L76" i="2"/>
  <c r="L72" i="2"/>
  <c r="L60" i="2" s="1"/>
  <c r="O33" i="1"/>
  <c r="N43" i="1"/>
  <c r="N42" i="1" s="1"/>
  <c r="N38" i="1"/>
  <c r="N45" i="1" s="1"/>
  <c r="N44" i="1" s="1"/>
  <c r="X13" i="1"/>
  <c r="X14" i="1" s="1"/>
  <c r="X15" i="1" s="1"/>
  <c r="X16" i="1" s="1"/>
  <c r="X31" i="1" s="1"/>
  <c r="Y7" i="1"/>
  <c r="X56" i="1"/>
  <c r="X47" i="1" s="1"/>
  <c r="M58" i="1"/>
  <c r="M71" i="1"/>
  <c r="M60" i="1" s="1"/>
  <c r="M75" i="1"/>
  <c r="M42" i="2" l="1"/>
  <c r="M49" i="2"/>
  <c r="M50" i="2" s="1"/>
  <c r="Z56" i="2"/>
  <c r="Z14" i="2"/>
  <c r="Z15" i="2" s="1"/>
  <c r="Z16" i="2" s="1"/>
  <c r="Z31" i="2" s="1"/>
  <c r="M39" i="2"/>
  <c r="L74" i="2"/>
  <c r="L79" i="2" s="1"/>
  <c r="L80" i="2" s="1"/>
  <c r="O30" i="2"/>
  <c r="N37" i="2"/>
  <c r="O32" i="2"/>
  <c r="M5" i="2"/>
  <c r="M73" i="1"/>
  <c r="M78" i="1" s="1"/>
  <c r="M79" i="1" s="1"/>
  <c r="Y13" i="1"/>
  <c r="Y14" i="1" s="1"/>
  <c r="Y15" i="1" s="1"/>
  <c r="Y16" i="1" s="1"/>
  <c r="Y31" i="1" s="1"/>
  <c r="Z7" i="1"/>
  <c r="Y56" i="1"/>
  <c r="Y47" i="1" s="1"/>
  <c r="N39" i="1"/>
  <c r="N5" i="1"/>
  <c r="O37" i="1"/>
  <c r="P30" i="1"/>
  <c r="P32" i="1"/>
  <c r="M51" i="2" l="1"/>
  <c r="M52" i="2"/>
  <c r="M47" i="2"/>
  <c r="M76" i="2"/>
  <c r="M72" i="2"/>
  <c r="M60" i="2" s="1"/>
  <c r="M58" i="2"/>
  <c r="O33" i="2"/>
  <c r="O55" i="2" s="1"/>
  <c r="N43" i="2"/>
  <c r="N53" i="2" s="1"/>
  <c r="N62" i="2" s="1"/>
  <c r="N38" i="2"/>
  <c r="N45" i="2" s="1"/>
  <c r="N44" i="2" s="1"/>
  <c r="O43" i="1"/>
  <c r="O42" i="1" s="1"/>
  <c r="P33" i="1"/>
  <c r="N71" i="1"/>
  <c r="N60" i="1" s="1"/>
  <c r="N75" i="1"/>
  <c r="N58" i="1"/>
  <c r="N73" i="1" s="1"/>
  <c r="N78" i="1" s="1"/>
  <c r="N79" i="1" s="1"/>
  <c r="Z56" i="1"/>
  <c r="Z47" i="1" s="1"/>
  <c r="Z13" i="1"/>
  <c r="Z14" i="1" s="1"/>
  <c r="Z15" i="1" s="1"/>
  <c r="Z16" i="1" s="1"/>
  <c r="Z31" i="1" s="1"/>
  <c r="O38" i="1"/>
  <c r="O45" i="1" s="1"/>
  <c r="O44" i="1" s="1"/>
  <c r="M74" i="2" l="1"/>
  <c r="N42" i="2"/>
  <c r="N49" i="2"/>
  <c r="N50" i="2" s="1"/>
  <c r="M79" i="2"/>
  <c r="M80" i="2" s="1"/>
  <c r="N5" i="2"/>
  <c r="O37" i="2"/>
  <c r="P32" i="2"/>
  <c r="P30" i="2"/>
  <c r="N39" i="2"/>
  <c r="Q30" i="1"/>
  <c r="P37" i="1"/>
  <c r="P38" i="1"/>
  <c r="P45" i="1" s="1"/>
  <c r="P44" i="1" s="1"/>
  <c r="Q32" i="1"/>
  <c r="O39" i="1"/>
  <c r="O5" i="1"/>
  <c r="N51" i="2" l="1"/>
  <c r="N52" i="2"/>
  <c r="N47" i="2"/>
  <c r="P33" i="2"/>
  <c r="P55" i="2" s="1"/>
  <c r="O43" i="2"/>
  <c r="O53" i="2" s="1"/>
  <c r="O62" i="2" s="1"/>
  <c r="O38" i="2"/>
  <c r="O45" i="2" s="1"/>
  <c r="O44" i="2" s="1"/>
  <c r="N76" i="2"/>
  <c r="N72" i="2"/>
  <c r="N60" i="2" s="1"/>
  <c r="N58" i="2"/>
  <c r="O71" i="1"/>
  <c r="O60" i="1" s="1"/>
  <c r="O75" i="1"/>
  <c r="O58" i="1"/>
  <c r="O73" i="1" s="1"/>
  <c r="O78" i="1" s="1"/>
  <c r="O79" i="1" s="1"/>
  <c r="P43" i="1"/>
  <c r="P42" i="1" s="1"/>
  <c r="P5" i="1" s="1"/>
  <c r="P39" i="1"/>
  <c r="Q33" i="1"/>
  <c r="O42" i="2" l="1"/>
  <c r="O49" i="2"/>
  <c r="O50" i="2" s="1"/>
  <c r="N74" i="2"/>
  <c r="N79" i="2" s="1"/>
  <c r="N80" i="2" s="1"/>
  <c r="O5" i="2"/>
  <c r="O39" i="2"/>
  <c r="P37" i="2"/>
  <c r="P38" i="2" s="1"/>
  <c r="P45" i="2" s="1"/>
  <c r="P44" i="2" s="1"/>
  <c r="Q32" i="2"/>
  <c r="Q30" i="2"/>
  <c r="R32" i="1"/>
  <c r="R30" i="1"/>
  <c r="R33" i="1" s="1"/>
  <c r="Q37" i="1"/>
  <c r="P71" i="1"/>
  <c r="P60" i="1" s="1"/>
  <c r="P75" i="1"/>
  <c r="P58" i="1"/>
  <c r="P73" i="1" s="1"/>
  <c r="P78" i="1" s="1"/>
  <c r="P79" i="1" s="1"/>
  <c r="O52" i="2" l="1"/>
  <c r="O51" i="2"/>
  <c r="O47" i="2"/>
  <c r="Q33" i="2"/>
  <c r="Q55" i="2" s="1"/>
  <c r="P43" i="2"/>
  <c r="P53" i="2" s="1"/>
  <c r="P62" i="2" s="1"/>
  <c r="P39" i="2"/>
  <c r="O58" i="2"/>
  <c r="O76" i="2"/>
  <c r="O72" i="2"/>
  <c r="O60" i="2" s="1"/>
  <c r="R37" i="1"/>
  <c r="S30" i="1"/>
  <c r="R38" i="1"/>
  <c r="R45" i="1" s="1"/>
  <c r="R44" i="1" s="1"/>
  <c r="S32" i="1"/>
  <c r="Q43" i="1"/>
  <c r="Q42" i="1" s="1"/>
  <c r="Q38" i="1"/>
  <c r="Q45" i="1" s="1"/>
  <c r="Q44" i="1" s="1"/>
  <c r="P42" i="2" l="1"/>
  <c r="P5" i="2" s="1"/>
  <c r="P49" i="2"/>
  <c r="P50" i="2" s="1"/>
  <c r="R30" i="2"/>
  <c r="R32" i="2"/>
  <c r="R33" i="2" s="1"/>
  <c r="Q37" i="2"/>
  <c r="Q38" i="2" s="1"/>
  <c r="Q45" i="2" s="1"/>
  <c r="Q44" i="2" s="1"/>
  <c r="O74" i="2"/>
  <c r="O79" i="2" s="1"/>
  <c r="O80" i="2" s="1"/>
  <c r="P76" i="2"/>
  <c r="P72" i="2"/>
  <c r="P60" i="2" s="1"/>
  <c r="Q43" i="2"/>
  <c r="Q53" i="2" s="1"/>
  <c r="Q62" i="2" s="1"/>
  <c r="Q39" i="2"/>
  <c r="Q5" i="1"/>
  <c r="Q39" i="1"/>
  <c r="S33" i="1"/>
  <c r="R39" i="1"/>
  <c r="R43" i="1"/>
  <c r="R42" i="1" s="1"/>
  <c r="R5" i="1" s="1"/>
  <c r="R55" i="2" l="1"/>
  <c r="S30" i="2"/>
  <c r="S32" i="2"/>
  <c r="Q42" i="2"/>
  <c r="Q5" i="2" s="1"/>
  <c r="Q49" i="2"/>
  <c r="Q50" i="2" s="1"/>
  <c r="P51" i="2"/>
  <c r="P52" i="2"/>
  <c r="P47" i="2" s="1"/>
  <c r="P58" i="2" s="1"/>
  <c r="P74" i="2" s="1"/>
  <c r="P79" i="2" s="1"/>
  <c r="P80" i="2" s="1"/>
  <c r="R37" i="2"/>
  <c r="R38" i="2" s="1"/>
  <c r="R45" i="2" s="1"/>
  <c r="R44" i="2" s="1"/>
  <c r="S33" i="2"/>
  <c r="S55" i="2" s="1"/>
  <c r="Q76" i="2"/>
  <c r="Q72" i="2"/>
  <c r="Q60" i="2" s="1"/>
  <c r="T32" i="2"/>
  <c r="T30" i="2"/>
  <c r="S37" i="2"/>
  <c r="S38" i="2" s="1"/>
  <c r="S45" i="2" s="1"/>
  <c r="S44" i="2" s="1"/>
  <c r="R71" i="1"/>
  <c r="R60" i="1" s="1"/>
  <c r="R75" i="1"/>
  <c r="R58" i="1"/>
  <c r="R73" i="1" s="1"/>
  <c r="R78" i="1" s="1"/>
  <c r="R79" i="1" s="1"/>
  <c r="T30" i="1"/>
  <c r="S37" i="1"/>
  <c r="T32" i="1"/>
  <c r="Q71" i="1"/>
  <c r="Q60" i="1" s="1"/>
  <c r="Q58" i="1"/>
  <c r="Q75" i="1"/>
  <c r="Q52" i="2" l="1"/>
  <c r="Q51" i="2"/>
  <c r="Q47" i="2"/>
  <c r="Q58" i="2" s="1"/>
  <c r="R39" i="2"/>
  <c r="R43" i="2"/>
  <c r="R53" i="2" s="1"/>
  <c r="R62" i="2" s="1"/>
  <c r="T33" i="2"/>
  <c r="T55" i="2" s="1"/>
  <c r="Q74" i="2"/>
  <c r="Q79" i="2" s="1"/>
  <c r="Q80" i="2" s="1"/>
  <c r="S39" i="2"/>
  <c r="S43" i="2"/>
  <c r="S53" i="2" s="1"/>
  <c r="S62" i="2" s="1"/>
  <c r="T33" i="1"/>
  <c r="Q73" i="1"/>
  <c r="Q78" i="1" s="1"/>
  <c r="Q79" i="1" s="1"/>
  <c r="S43" i="1"/>
  <c r="S42" i="1" s="1"/>
  <c r="S38" i="1"/>
  <c r="S45" i="1" s="1"/>
  <c r="S44" i="1" s="1"/>
  <c r="S42" i="2" l="1"/>
  <c r="S5" i="2" s="1"/>
  <c r="S49" i="2"/>
  <c r="S50" i="2" s="1"/>
  <c r="R42" i="2"/>
  <c r="R5" i="2" s="1"/>
  <c r="R49" i="2"/>
  <c r="R50" i="2" s="1"/>
  <c r="S76" i="2"/>
  <c r="S72" i="2"/>
  <c r="S60" i="2" s="1"/>
  <c r="U30" i="2"/>
  <c r="U32" i="2"/>
  <c r="T37" i="2"/>
  <c r="S39" i="1"/>
  <c r="S5" i="1"/>
  <c r="U30" i="1"/>
  <c r="U32" i="1"/>
  <c r="T37" i="1"/>
  <c r="R51" i="2" l="1"/>
  <c r="R52" i="2"/>
  <c r="R47" i="2" s="1"/>
  <c r="R58" i="2" s="1"/>
  <c r="R76" i="2"/>
  <c r="R72" i="2"/>
  <c r="R60" i="2" s="1"/>
  <c r="S52" i="2"/>
  <c r="S51" i="2"/>
  <c r="S47" i="2"/>
  <c r="S58" i="2" s="1"/>
  <c r="S74" i="2" s="1"/>
  <c r="S79" i="2" s="1"/>
  <c r="S80" i="2" s="1"/>
  <c r="T43" i="2"/>
  <c r="T53" i="2" s="1"/>
  <c r="T62" i="2" s="1"/>
  <c r="T38" i="2"/>
  <c r="T45" i="2" s="1"/>
  <c r="T44" i="2" s="1"/>
  <c r="U33" i="2"/>
  <c r="U55" i="2" s="1"/>
  <c r="T43" i="1"/>
  <c r="T42" i="1" s="1"/>
  <c r="T38" i="1"/>
  <c r="T45" i="1" s="1"/>
  <c r="T44" i="1" s="1"/>
  <c r="U33" i="1"/>
  <c r="S71" i="1"/>
  <c r="S60" i="1" s="1"/>
  <c r="S75" i="1"/>
  <c r="S58" i="1"/>
  <c r="S73" i="1" s="1"/>
  <c r="S78" i="1" s="1"/>
  <c r="S79" i="1" s="1"/>
  <c r="R74" i="2" l="1"/>
  <c r="R79" i="2" s="1"/>
  <c r="R80" i="2" s="1"/>
  <c r="T42" i="2"/>
  <c r="T49" i="2"/>
  <c r="T50" i="2" s="1"/>
  <c r="T39" i="2"/>
  <c r="V30" i="2"/>
  <c r="V32" i="2"/>
  <c r="U37" i="2"/>
  <c r="T5" i="2"/>
  <c r="V32" i="1"/>
  <c r="U37" i="1"/>
  <c r="U38" i="1"/>
  <c r="U45" i="1" s="1"/>
  <c r="U44" i="1" s="1"/>
  <c r="V30" i="1"/>
  <c r="V33" i="1" s="1"/>
  <c r="T39" i="1"/>
  <c r="T5" i="1"/>
  <c r="T51" i="2" l="1"/>
  <c r="T52" i="2"/>
  <c r="T47" i="2"/>
  <c r="U43" i="2"/>
  <c r="U53" i="2" s="1"/>
  <c r="U62" i="2" s="1"/>
  <c r="T76" i="2"/>
  <c r="T72" i="2"/>
  <c r="T60" i="2" s="1"/>
  <c r="T58" i="2"/>
  <c r="U38" i="2"/>
  <c r="U45" i="2" s="1"/>
  <c r="U44" i="2" s="1"/>
  <c r="V33" i="2"/>
  <c r="V55" i="2" s="1"/>
  <c r="T75" i="1"/>
  <c r="T71" i="1"/>
  <c r="T60" i="1" s="1"/>
  <c r="T58" i="1"/>
  <c r="T73" i="1" s="1"/>
  <c r="T78" i="1" s="1"/>
  <c r="T79" i="1" s="1"/>
  <c r="V37" i="1"/>
  <c r="W32" i="1"/>
  <c r="W30" i="1"/>
  <c r="W33" i="1" s="1"/>
  <c r="U39" i="1"/>
  <c r="U43" i="1"/>
  <c r="U42" i="1" s="1"/>
  <c r="U5" i="1" s="1"/>
  <c r="U42" i="2" l="1"/>
  <c r="U49" i="2"/>
  <c r="U50" i="2" s="1"/>
  <c r="W30" i="2"/>
  <c r="W32" i="2"/>
  <c r="V37" i="2"/>
  <c r="T74" i="2"/>
  <c r="T79" i="2" s="1"/>
  <c r="T80" i="2" s="1"/>
  <c r="U39" i="2"/>
  <c r="U5" i="2"/>
  <c r="U75" i="1"/>
  <c r="U71" i="1"/>
  <c r="U60" i="1" s="1"/>
  <c r="U58" i="1"/>
  <c r="U73" i="1" s="1"/>
  <c r="U78" i="1" s="1"/>
  <c r="U79" i="1" s="1"/>
  <c r="W37" i="1"/>
  <c r="X32" i="1"/>
  <c r="X30" i="1"/>
  <c r="X33" i="1" s="1"/>
  <c r="V43" i="1"/>
  <c r="V42" i="1" s="1"/>
  <c r="V38" i="1"/>
  <c r="V45" i="1" s="1"/>
  <c r="V44" i="1" s="1"/>
  <c r="U51" i="2" l="1"/>
  <c r="U52" i="2"/>
  <c r="U47" i="2"/>
  <c r="U76" i="2"/>
  <c r="U72" i="2"/>
  <c r="U60" i="2" s="1"/>
  <c r="U58" i="2"/>
  <c r="V43" i="2"/>
  <c r="V53" i="2" s="1"/>
  <c r="V62" i="2" s="1"/>
  <c r="V38" i="2"/>
  <c r="V45" i="2" s="1"/>
  <c r="V44" i="2" s="1"/>
  <c r="W33" i="2"/>
  <c r="W55" i="2" s="1"/>
  <c r="V39" i="1"/>
  <c r="W43" i="1"/>
  <c r="W42" i="1" s="1"/>
  <c r="W38" i="1"/>
  <c r="W45" i="1" s="1"/>
  <c r="W44" i="1" s="1"/>
  <c r="V5" i="1"/>
  <c r="X37" i="1"/>
  <c r="Y32" i="1"/>
  <c r="Y30" i="1"/>
  <c r="V42" i="2" l="1"/>
  <c r="V49" i="2"/>
  <c r="V50" i="2" s="1"/>
  <c r="U74" i="2"/>
  <c r="U79" i="2" s="1"/>
  <c r="U80" i="2" s="1"/>
  <c r="V5" i="2"/>
  <c r="X32" i="2"/>
  <c r="W37" i="2"/>
  <c r="X30" i="2"/>
  <c r="V39" i="2"/>
  <c r="V71" i="1"/>
  <c r="V60" i="1" s="1"/>
  <c r="V75" i="1"/>
  <c r="V58" i="1"/>
  <c r="V73" i="1" s="1"/>
  <c r="V78" i="1" s="1"/>
  <c r="V79" i="1" s="1"/>
  <c r="Y33" i="1"/>
  <c r="X43" i="1"/>
  <c r="X42" i="1" s="1"/>
  <c r="X38" i="1"/>
  <c r="X45" i="1" s="1"/>
  <c r="X44" i="1" s="1"/>
  <c r="W5" i="1"/>
  <c r="W39" i="1"/>
  <c r="V51" i="2" l="1"/>
  <c r="V52" i="2"/>
  <c r="V47" i="2"/>
  <c r="X33" i="2"/>
  <c r="X55" i="2" s="1"/>
  <c r="W43" i="2"/>
  <c r="W53" i="2" s="1"/>
  <c r="W62" i="2" s="1"/>
  <c r="W38" i="2"/>
  <c r="W45" i="2" s="1"/>
  <c r="W44" i="2" s="1"/>
  <c r="V76" i="2"/>
  <c r="V58" i="2"/>
  <c r="V72" i="2"/>
  <c r="V60" i="2" s="1"/>
  <c r="X39" i="1"/>
  <c r="Y37" i="1"/>
  <c r="Z32" i="1"/>
  <c r="Z30" i="1"/>
  <c r="W75" i="1"/>
  <c r="W71" i="1"/>
  <c r="W60" i="1" s="1"/>
  <c r="W58" i="1"/>
  <c r="W73" i="1" s="1"/>
  <c r="W78" i="1" s="1"/>
  <c r="W79" i="1" s="1"/>
  <c r="X5" i="1"/>
  <c r="W42" i="2" l="1"/>
  <c r="W49" i="2"/>
  <c r="W50" i="2" s="1"/>
  <c r="Y30" i="2"/>
  <c r="Y32" i="2"/>
  <c r="X37" i="2"/>
  <c r="X38" i="2" s="1"/>
  <c r="X45" i="2" s="1"/>
  <c r="X44" i="2" s="1"/>
  <c r="V74" i="2"/>
  <c r="V79" i="2" s="1"/>
  <c r="V80" i="2" s="1"/>
  <c r="W5" i="2"/>
  <c r="W39" i="2"/>
  <c r="X75" i="1"/>
  <c r="X71" i="1"/>
  <c r="X60" i="1" s="1"/>
  <c r="X58" i="1"/>
  <c r="X73" i="1" s="1"/>
  <c r="X78" i="1" s="1"/>
  <c r="X79" i="1" s="1"/>
  <c r="Z33" i="1"/>
  <c r="Y43" i="1"/>
  <c r="Y42" i="1" s="1"/>
  <c r="Y38" i="1"/>
  <c r="Y45" i="1" s="1"/>
  <c r="Y44" i="1" s="1"/>
  <c r="X43" i="2" l="1"/>
  <c r="X53" i="2" s="1"/>
  <c r="X62" i="2" s="1"/>
  <c r="X39" i="2"/>
  <c r="X42" i="2"/>
  <c r="X5" i="2" s="1"/>
  <c r="X49" i="2"/>
  <c r="X50" i="2" s="1"/>
  <c r="W52" i="2"/>
  <c r="W51" i="2"/>
  <c r="W47" i="2" s="1"/>
  <c r="W58" i="2" s="1"/>
  <c r="Y33" i="2"/>
  <c r="Y55" i="2" s="1"/>
  <c r="Z32" i="2"/>
  <c r="X72" i="2"/>
  <c r="X60" i="2" s="1"/>
  <c r="X76" i="2"/>
  <c r="W72" i="2"/>
  <c r="W60" i="2" s="1"/>
  <c r="W76" i="2"/>
  <c r="Y5" i="1"/>
  <c r="Y39" i="1"/>
  <c r="Z37" i="1"/>
  <c r="Y37" i="2" l="1"/>
  <c r="Y43" i="2" s="1"/>
  <c r="Y53" i="2" s="1"/>
  <c r="Y62" i="2" s="1"/>
  <c r="Z30" i="2"/>
  <c r="Z33" i="2"/>
  <c r="Y38" i="2"/>
  <c r="Y45" i="2" s="1"/>
  <c r="Y44" i="2" s="1"/>
  <c r="Y42" i="2"/>
  <c r="Y49" i="2"/>
  <c r="Y50" i="2" s="1"/>
  <c r="X51" i="2"/>
  <c r="X52" i="2"/>
  <c r="X47" i="2"/>
  <c r="X58" i="2" s="1"/>
  <c r="X74" i="2" s="1"/>
  <c r="X79" i="2" s="1"/>
  <c r="X80" i="2" s="1"/>
  <c r="W74" i="2"/>
  <c r="Z37" i="2"/>
  <c r="Y39" i="2"/>
  <c r="Y5" i="2"/>
  <c r="W79" i="2"/>
  <c r="W80" i="2" s="1"/>
  <c r="Z43" i="1"/>
  <c r="Z42" i="1" s="1"/>
  <c r="Z38" i="1"/>
  <c r="Z45" i="1" s="1"/>
  <c r="Z44" i="1" s="1"/>
  <c r="Y71" i="1"/>
  <c r="Y60" i="1" s="1"/>
  <c r="Y75" i="1"/>
  <c r="Y58" i="1"/>
  <c r="Y73" i="1" s="1"/>
  <c r="Y78" i="1" s="1"/>
  <c r="Y79" i="1" s="1"/>
  <c r="Z55" i="2" l="1"/>
  <c r="AA32" i="2"/>
  <c r="AA30" i="2"/>
  <c r="Y51" i="2"/>
  <c r="Y52" i="2"/>
  <c r="Y72" i="2"/>
  <c r="Y60" i="2" s="1"/>
  <c r="Y76" i="2"/>
  <c r="Z43" i="2"/>
  <c r="Z53" i="2" s="1"/>
  <c r="Z62" i="2" s="1"/>
  <c r="Z38" i="2"/>
  <c r="Z45" i="2" s="1"/>
  <c r="Z44" i="2" s="1"/>
  <c r="Z39" i="1"/>
  <c r="Z5" i="1"/>
  <c r="AA33" i="2" l="1"/>
  <c r="AA37" i="2" s="1"/>
  <c r="AA38" i="2" s="1"/>
  <c r="AA45" i="2" s="1"/>
  <c r="AA44" i="2" s="1"/>
  <c r="AB32" i="2"/>
  <c r="AA55" i="2"/>
  <c r="Z42" i="2"/>
  <c r="Z49" i="2"/>
  <c r="Z50" i="2" s="1"/>
  <c r="Y47" i="2"/>
  <c r="Y58" i="2" s="1"/>
  <c r="Y74" i="2" s="1"/>
  <c r="Y79" i="2" s="1"/>
  <c r="Y80" i="2" s="1"/>
  <c r="Z39" i="2"/>
  <c r="Z5" i="2"/>
  <c r="Z75" i="1"/>
  <c r="Z58" i="1"/>
  <c r="Z71" i="1"/>
  <c r="Z60" i="1" s="1"/>
  <c r="AB30" i="2" l="1"/>
  <c r="AB33" i="2"/>
  <c r="AB37" i="2"/>
  <c r="AB38" i="2" s="1"/>
  <c r="AB45" i="2" s="1"/>
  <c r="AB44" i="2" s="1"/>
  <c r="AC30" i="2"/>
  <c r="AC32" i="2"/>
  <c r="AB55" i="2"/>
  <c r="AA39" i="2"/>
  <c r="AA43" i="2"/>
  <c r="Z51" i="2"/>
  <c r="Z52" i="2"/>
  <c r="Z47" i="2" s="1"/>
  <c r="Z58" i="2" s="1"/>
  <c r="Z72" i="2"/>
  <c r="Z60" i="2" s="1"/>
  <c r="Z76" i="2"/>
  <c r="Z73" i="1"/>
  <c r="Z78" i="1" s="1"/>
  <c r="Z79" i="1" s="1"/>
  <c r="AA53" i="2" l="1"/>
  <c r="AA62" i="2" s="1"/>
  <c r="AA49" i="2"/>
  <c r="AA50" i="2" s="1"/>
  <c r="AA42" i="2"/>
  <c r="AA5" i="2" s="1"/>
  <c r="AC33" i="2"/>
  <c r="AB43" i="2"/>
  <c r="AB39" i="2"/>
  <c r="Z74" i="2"/>
  <c r="Z79" i="2" s="1"/>
  <c r="Z80" i="2" s="1"/>
  <c r="AB53" i="2" l="1"/>
  <c r="AB62" i="2" s="1"/>
  <c r="AB42" i="2"/>
  <c r="AB5" i="2" s="1"/>
  <c r="AB49" i="2"/>
  <c r="AB50" i="2" s="1"/>
  <c r="AD30" i="2"/>
  <c r="AC37" i="2"/>
  <c r="AC38" i="2" s="1"/>
  <c r="AC45" i="2" s="1"/>
  <c r="AC44" i="2" s="1"/>
  <c r="AD32" i="2"/>
  <c r="AC55" i="2"/>
  <c r="AA76" i="2"/>
  <c r="AA72" i="2"/>
  <c r="AA60" i="2" s="1"/>
  <c r="AA51" i="2"/>
  <c r="AA52" i="2"/>
  <c r="AA47" i="2" l="1"/>
  <c r="AA58" i="2" s="1"/>
  <c r="AA74" i="2"/>
  <c r="AA79" i="2" s="1"/>
  <c r="AA80" i="2" s="1"/>
  <c r="AB52" i="2"/>
  <c r="AB51" i="2"/>
  <c r="AC43" i="2"/>
  <c r="AC39" i="2"/>
  <c r="AD33" i="2"/>
  <c r="AB76" i="2"/>
  <c r="AB72" i="2"/>
  <c r="AB60" i="2" s="1"/>
  <c r="AB47" i="2" l="1"/>
  <c r="AB58" i="2" s="1"/>
  <c r="AC53" i="2"/>
  <c r="AC62" i="2" s="1"/>
  <c r="AC49" i="2"/>
  <c r="AC50" i="2" s="1"/>
  <c r="AC42" i="2"/>
  <c r="AC5" i="2" s="1"/>
  <c r="AD55" i="2"/>
  <c r="AE32" i="2"/>
  <c r="AD37" i="2"/>
  <c r="AD38" i="2" s="1"/>
  <c r="AD45" i="2" s="1"/>
  <c r="AD44" i="2" s="1"/>
  <c r="AE30" i="2"/>
  <c r="AE33" i="2" s="1"/>
  <c r="AB74" i="2"/>
  <c r="AB79" i="2" s="1"/>
  <c r="AB80" i="2" s="1"/>
  <c r="AE55" i="2" l="1"/>
  <c r="AE37" i="2"/>
  <c r="AF30" i="2"/>
  <c r="AF32" i="2"/>
  <c r="AE38" i="2"/>
  <c r="AE45" i="2" s="1"/>
  <c r="AE44" i="2" s="1"/>
  <c r="AC52" i="2"/>
  <c r="AC51" i="2"/>
  <c r="AC47" i="2" s="1"/>
  <c r="AC58" i="2" s="1"/>
  <c r="AD39" i="2"/>
  <c r="AD43" i="2"/>
  <c r="AC76" i="2"/>
  <c r="AC72" i="2"/>
  <c r="AC60" i="2" s="1"/>
  <c r="AD53" i="2" l="1"/>
  <c r="AD62" i="2" s="1"/>
  <c r="AD42" i="2"/>
  <c r="AD5" i="2" s="1"/>
  <c r="AD49" i="2"/>
  <c r="AD50" i="2" s="1"/>
  <c r="AC74" i="2"/>
  <c r="AC79" i="2" s="1"/>
  <c r="AC80" i="2" s="1"/>
  <c r="AF33" i="2"/>
  <c r="AE43" i="2"/>
  <c r="AE39" i="2"/>
  <c r="AD52" i="2" l="1"/>
  <c r="AD51" i="2"/>
  <c r="AD47" i="2" s="1"/>
  <c r="AD58" i="2" s="1"/>
  <c r="AE53" i="2"/>
  <c r="AE62" i="2" s="1"/>
  <c r="AE49" i="2"/>
  <c r="AE50" i="2" s="1"/>
  <c r="AE42" i="2"/>
  <c r="AE5" i="2" s="1"/>
  <c r="AG30" i="2"/>
  <c r="AF55" i="2"/>
  <c r="AG32" i="2"/>
  <c r="AF37" i="2"/>
  <c r="AD72" i="2"/>
  <c r="AD60" i="2" s="1"/>
  <c r="AD76" i="2"/>
  <c r="AF38" i="2" l="1"/>
  <c r="AF45" i="2" s="1"/>
  <c r="AF44" i="2" s="1"/>
  <c r="AF43" i="2"/>
  <c r="AF39" i="2"/>
  <c r="AG33" i="2"/>
  <c r="AE72" i="2"/>
  <c r="AE60" i="2" s="1"/>
  <c r="AE76" i="2"/>
  <c r="AE52" i="2"/>
  <c r="AE51" i="2"/>
  <c r="AE47" i="2" s="1"/>
  <c r="AE58" i="2" s="1"/>
  <c r="AE74" i="2" s="1"/>
  <c r="AE79" i="2" s="1"/>
  <c r="AE80" i="2" s="1"/>
  <c r="AD74" i="2"/>
  <c r="AD79" i="2" s="1"/>
  <c r="AD80" i="2" s="1"/>
  <c r="AH30" i="2" l="1"/>
  <c r="AG55" i="2"/>
  <c r="AH32" i="2"/>
  <c r="AG37" i="2"/>
  <c r="AF53" i="2"/>
  <c r="AF62" i="2" s="1"/>
  <c r="AF42" i="2"/>
  <c r="AF5" i="2" s="1"/>
  <c r="AF49" i="2"/>
  <c r="AF50" i="2" s="1"/>
  <c r="AF52" i="2" l="1"/>
  <c r="AF51" i="2"/>
  <c r="AF47" i="2" s="1"/>
  <c r="AF58" i="2" s="1"/>
  <c r="AF76" i="2"/>
  <c r="AF72" i="2"/>
  <c r="AF60" i="2" s="1"/>
  <c r="AG43" i="2"/>
  <c r="AG38" i="2"/>
  <c r="AG45" i="2" s="1"/>
  <c r="AG44" i="2" s="1"/>
  <c r="AH33" i="2"/>
  <c r="AH55" i="2" l="1"/>
  <c r="AI32" i="2"/>
  <c r="AH37" i="2"/>
  <c r="AI30" i="2"/>
  <c r="AI33" i="2" s="1"/>
  <c r="AH38" i="2"/>
  <c r="AH45" i="2" s="1"/>
  <c r="AH44" i="2" s="1"/>
  <c r="AG39" i="2"/>
  <c r="AG53" i="2"/>
  <c r="AG62" i="2" s="1"/>
  <c r="AG49" i="2"/>
  <c r="AG50" i="2" s="1"/>
  <c r="AG42" i="2"/>
  <c r="AG5" i="2" s="1"/>
  <c r="AF74" i="2"/>
  <c r="AF79" i="2" s="1"/>
  <c r="AF80" i="2" s="1"/>
  <c r="AG52" i="2" l="1"/>
  <c r="AG51" i="2"/>
  <c r="AI37" i="2"/>
  <c r="AJ30" i="2"/>
  <c r="AI55" i="2"/>
  <c r="AJ32" i="2"/>
  <c r="AI38" i="2"/>
  <c r="AI45" i="2" s="1"/>
  <c r="AI44" i="2" s="1"/>
  <c r="AG76" i="2"/>
  <c r="AG72" i="2"/>
  <c r="AG60" i="2" s="1"/>
  <c r="AH43" i="2"/>
  <c r="AH39" i="2"/>
  <c r="AG47" i="2" l="1"/>
  <c r="AG58" i="2" s="1"/>
  <c r="AH53" i="2"/>
  <c r="AH62" i="2" s="1"/>
  <c r="AH49" i="2"/>
  <c r="AH50" i="2" s="1"/>
  <c r="AH42" i="2"/>
  <c r="AH5" i="2" s="1"/>
  <c r="AJ33" i="2"/>
  <c r="AI43" i="2"/>
  <c r="AI39" i="2"/>
  <c r="AG74" i="2"/>
  <c r="AG79" i="2" s="1"/>
  <c r="AG80" i="2" s="1"/>
  <c r="AH52" i="2" l="1"/>
  <c r="AH51" i="2"/>
  <c r="AI53" i="2"/>
  <c r="AI62" i="2" s="1"/>
  <c r="AI49" i="2"/>
  <c r="AI50" i="2" s="1"/>
  <c r="AI42" i="2"/>
  <c r="AI5" i="2" s="1"/>
  <c r="AK32" i="2"/>
  <c r="AJ37" i="2"/>
  <c r="AK30" i="2"/>
  <c r="AJ55" i="2"/>
  <c r="AH72" i="2"/>
  <c r="AH60" i="2" s="1"/>
  <c r="AH76" i="2"/>
  <c r="AH47" i="2" l="1"/>
  <c r="AH58" i="2" s="1"/>
  <c r="AK33" i="2"/>
  <c r="AJ43" i="2"/>
  <c r="AJ38" i="2"/>
  <c r="AJ45" i="2" s="1"/>
  <c r="AJ44" i="2" s="1"/>
  <c r="AK37" i="2"/>
  <c r="AK55" i="2"/>
  <c r="AL32" i="2"/>
  <c r="AL30" i="2"/>
  <c r="AK38" i="2"/>
  <c r="AK45" i="2" s="1"/>
  <c r="AK44" i="2" s="1"/>
  <c r="AI72" i="2"/>
  <c r="AI60" i="2" s="1"/>
  <c r="AI76" i="2"/>
  <c r="AI51" i="2"/>
  <c r="AI52" i="2"/>
  <c r="AH74" i="2"/>
  <c r="AH79" i="2" s="1"/>
  <c r="AH80" i="2" s="1"/>
  <c r="AI47" i="2" l="1"/>
  <c r="AI58" i="2" s="1"/>
  <c r="AI74" i="2" s="1"/>
  <c r="AI79" i="2" s="1"/>
  <c r="AI80" i="2" s="1"/>
  <c r="AL33" i="2"/>
  <c r="AL55" i="2" s="1"/>
  <c r="AL37" i="2"/>
  <c r="AL38" i="2" s="1"/>
  <c r="AL45" i="2" s="1"/>
  <c r="AL44" i="2" s="1"/>
  <c r="AK43" i="2"/>
  <c r="AK39" i="2"/>
  <c r="AJ39" i="2"/>
  <c r="AJ53" i="2"/>
  <c r="AJ62" i="2" s="1"/>
  <c r="AJ49" i="2"/>
  <c r="AJ50" i="2" s="1"/>
  <c r="AJ42" i="2"/>
  <c r="AJ5" i="2" s="1"/>
  <c r="AJ52" i="2" l="1"/>
  <c r="AJ51" i="2"/>
  <c r="AJ47" i="2" s="1"/>
  <c r="AJ58" i="2" s="1"/>
  <c r="AK53" i="2"/>
  <c r="AK62" i="2" s="1"/>
  <c r="AK49" i="2"/>
  <c r="AK50" i="2" s="1"/>
  <c r="AK42" i="2"/>
  <c r="AK5" i="2" s="1"/>
  <c r="AJ72" i="2"/>
  <c r="AJ60" i="2" s="1"/>
  <c r="AJ76" i="2"/>
  <c r="AL43" i="2"/>
  <c r="AL39" i="2"/>
  <c r="AL53" i="2" l="1"/>
  <c r="AL62" i="2" s="1"/>
  <c r="AL49" i="2"/>
  <c r="AL50" i="2" s="1"/>
  <c r="AL42" i="2"/>
  <c r="AL5" i="2" s="1"/>
  <c r="AK51" i="2"/>
  <c r="AK52" i="2"/>
  <c r="AK47" i="2" s="1"/>
  <c r="AK58" i="2" s="1"/>
  <c r="AK72" i="2"/>
  <c r="AK60" i="2" s="1"/>
  <c r="AK76" i="2"/>
  <c r="AJ74" i="2"/>
  <c r="AJ79" i="2" s="1"/>
  <c r="AJ80" i="2" s="1"/>
  <c r="AL51" i="2" l="1"/>
  <c r="AL52" i="2"/>
  <c r="AL47" i="2"/>
  <c r="AL58" i="2" s="1"/>
  <c r="AK74" i="2"/>
  <c r="AK79" i="2" s="1"/>
  <c r="AK80" i="2" s="1"/>
  <c r="AL72" i="2"/>
  <c r="AL60" i="2" s="1"/>
  <c r="AL76" i="2"/>
  <c r="AL74" i="2" l="1"/>
  <c r="AL79" i="2" s="1"/>
  <c r="AL8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Софья Зименкова</author>
  </authors>
  <commentList>
    <comment ref="B9" authorId="0" shapeId="0" xr:uid="{F1C84EB0-BA6C-4BC1-978D-A152E9E960F6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насколько реалистично взять конверсию за константу и не менять ее? скорее всего с ростом количества клиентов конверсия начнет падать.</t>
        </r>
      </text>
    </comment>
    <comment ref="B13" authorId="0" shapeId="0" xr:uid="{AADA0461-7A3C-4C79-A3CF-6C6CFEE9275F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предполагается стабильный рост количества посетителей без сезонности (а в образовании наверняка будет сезонность), что очень оптимистично</t>
        </r>
      </text>
    </comment>
    <comment ref="B18" authorId="0" shapeId="0" xr:uid="{B2962C75-1189-4238-814C-B017FDC3BA1F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2 года это большой срок. стоимость рекламы вырастет за это время.</t>
        </r>
      </text>
    </comment>
    <comment ref="B32" authorId="0" shapeId="0" xr:uid="{07545805-4877-4A94-B603-95878A00DBE8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возможно, 14% на протяжении всего времени - слишком оптимистично.</t>
        </r>
      </text>
    </comment>
    <comment ref="B49" authorId="0" shapeId="0" xr:uid="{94DFDF6A-B713-4B1D-AD4A-EAFB02A81ECE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количество преподавателей не увеличивается несмотря на рост кол-ва учеников</t>
        </r>
      </text>
    </comment>
    <comment ref="G53" authorId="0" shapeId="0" xr:uid="{01225A30-BBE5-4261-96A3-B46CC3FAB6C8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вот тут ученики уже перестают влезать в класс</t>
        </r>
      </text>
    </comment>
    <comment ref="C55" authorId="0" shapeId="0" xr:uid="{4CDD0698-7159-4310-A7D7-3E7C81924DD6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тут абсолютная ссылка, вся строка рассчитывается по первому месяцу</t>
        </r>
      </text>
    </comment>
    <comment ref="B60" authorId="0" shapeId="0" xr:uid="{C2A3D792-25BB-4A2C-A2D0-BC8466D6D199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а где бухгалтеры, юристы, кадровики, директоры, методисты программ?</t>
        </r>
      </text>
    </comment>
    <comment ref="B65" authorId="0" shapeId="0" xr:uid="{B5259CAC-7B32-4C7B-A933-848C2ACF5E46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менеджер отдела продаж тоже один, не учитывается рост количества клиентов</t>
        </r>
      </text>
    </comment>
    <comment ref="B76" authorId="0" shapeId="0" xr:uid="{D19E55E8-A7D2-46C9-A6D2-8172F78FB428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здесь пустая ячейка в формуле, и даже если бы там было значение - ссылка абсолютная, не учитывается износ оборудования и тд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Софья Зименкова</author>
  </authors>
  <commentList>
    <comment ref="G53" authorId="0" shapeId="0" xr:uid="{FA3380F2-2FA7-40D8-8891-26678EC1D4D6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вот тут ученики уже перестают влезать в класс</t>
        </r>
      </text>
    </comment>
    <comment ref="C55" authorId="0" shapeId="0" xr:uid="{42DDCF93-EC81-407D-9FF9-0B0AD99193AE}">
      <text>
        <r>
          <rPr>
            <b/>
            <sz val="9"/>
            <color indexed="81"/>
            <rFont val="Tahoma"/>
            <charset val="1"/>
          </rPr>
          <t>Софья Зименкова:</t>
        </r>
        <r>
          <rPr>
            <sz val="9"/>
            <color indexed="81"/>
            <rFont val="Tahoma"/>
            <charset val="1"/>
          </rPr>
          <t xml:space="preserve">
тут абсолютная ссылка, вся строка рассчитывается по первому месяцу</t>
        </r>
      </text>
    </comment>
    <comment ref="A66" authorId="0" shapeId="0" xr:uid="{E7A063AC-8E29-4687-A7EA-84022A5A8071}">
      <text>
        <r>
          <rPr>
            <b/>
            <sz val="9"/>
            <color indexed="81"/>
            <rFont val="Tahoma"/>
            <family val="2"/>
            <charset val="204"/>
          </rPr>
          <t>Софья Зименкова:</t>
        </r>
        <r>
          <rPr>
            <sz val="9"/>
            <color indexed="81"/>
            <rFont val="Tahoma"/>
            <family val="2"/>
            <charset val="204"/>
          </rPr>
          <t xml:space="preserve">
предположим, что сотрудника в штате нет, пользуются услугами внешнего специалиста
</t>
        </r>
      </text>
    </comment>
    <comment ref="B77" authorId="0" shapeId="0" xr:uid="{F58D2BA8-4E4E-4B51-AC77-7ACBEAF7B764}">
      <text>
        <r>
          <rPr>
            <b/>
            <sz val="9"/>
            <color indexed="81"/>
            <rFont val="Tahoma"/>
            <family val="2"/>
            <charset val="204"/>
          </rPr>
          <t>Софья Зименкова:</t>
        </r>
        <r>
          <rPr>
            <sz val="9"/>
            <color indexed="81"/>
            <rFont val="Tahoma"/>
            <family val="2"/>
            <charset val="204"/>
          </rPr>
          <t xml:space="preserve">
для расчета амортизации не хватает входящих данных, поэтому не стала придумывать</t>
        </r>
      </text>
    </comment>
  </commentList>
</comments>
</file>

<file path=xl/sharedStrings.xml><?xml version="1.0" encoding="utf-8"?>
<sst xmlns="http://schemas.openxmlformats.org/spreadsheetml/2006/main" count="125" uniqueCount="62">
  <si>
    <t>Месяц</t>
  </si>
  <si>
    <t>Отчет о прибылях и убытках</t>
  </si>
  <si>
    <t>ВЫРУЧКА</t>
  </si>
  <si>
    <t>Бюджет на рекламу (Яндекс Директ)</t>
  </si>
  <si>
    <t>Стоимость клика</t>
  </si>
  <si>
    <t>Конверсия 1 (посетители — заявка)</t>
  </si>
  <si>
    <t>Конверсия 2 (заявка — тестовое занятие)</t>
  </si>
  <si>
    <t>Конверсия 3 (тестовое занятие — покупка)</t>
  </si>
  <si>
    <t>Посетителей на сайте</t>
  </si>
  <si>
    <t>Количество заявок</t>
  </si>
  <si>
    <t>Количество приходов на тестовое занятие</t>
  </si>
  <si>
    <t>Количество покупок</t>
  </si>
  <si>
    <t>Бюджет на рекламу (соцсети)</t>
  </si>
  <si>
    <t>CPM (цена 1000 показов)</t>
  </si>
  <si>
    <t>CTR</t>
  </si>
  <si>
    <t>Конверсия 1 (заявка — тестовое занятие)</t>
  </si>
  <si>
    <t>Конверсия 2 (тестовое занятие — покупка)</t>
  </si>
  <si>
    <t>Показов</t>
  </si>
  <si>
    <t>Переходов на сайт</t>
  </si>
  <si>
    <t>Количество новых покупок</t>
  </si>
  <si>
    <t>База учеников</t>
  </si>
  <si>
    <t>Количество учеников (начало)</t>
  </si>
  <si>
    <t>Новых</t>
  </si>
  <si>
    <t>Отток</t>
  </si>
  <si>
    <t>Итого учеников</t>
  </si>
  <si>
    <t>Распределение выручки</t>
  </si>
  <si>
    <t>Курс «Базовый»</t>
  </si>
  <si>
    <t>Курс «Продвинутый»</t>
  </si>
  <si>
    <t>Выручка от продаж</t>
  </si>
  <si>
    <t>Стоимость курса «Базовый»</t>
  </si>
  <si>
    <t>Количество учеников</t>
  </si>
  <si>
    <t>Стоимость курса «Продвинутый»</t>
  </si>
  <si>
    <t>ПРЯМЫЕ ЗАТРАТЫ</t>
  </si>
  <si>
    <t>Количество преподавателей</t>
  </si>
  <si>
    <t>Оплата труда преподавателя</t>
  </si>
  <si>
    <t>НДФЛ</t>
  </si>
  <si>
    <t>Страховые взносы</t>
  </si>
  <si>
    <t>Аренда класса на 40 учеников в месяц</t>
  </si>
  <si>
    <t>Стоимость ИТ-сервисов на одного ученика</t>
  </si>
  <si>
    <t>Реклама в интернете, социальных сетях</t>
  </si>
  <si>
    <t>ВАЛОВАЯ ПРИБЫЛЬ</t>
  </si>
  <si>
    <t>ПОСТОЯННЫЕ РАСХОДЫ</t>
  </si>
  <si>
    <t>Коммунальные расходы</t>
  </si>
  <si>
    <t>Уборка на 1 класс в месяц</t>
  </si>
  <si>
    <t>ИТ, связь и интернет</t>
  </si>
  <si>
    <t>Менеджер отдела продаж</t>
  </si>
  <si>
    <t>Интернет</t>
  </si>
  <si>
    <t>Сотовая связь</t>
  </si>
  <si>
    <t>Техническая поддержка сайта</t>
  </si>
  <si>
    <t>Аренда веб-хостинга</t>
  </si>
  <si>
    <t>SMM</t>
  </si>
  <si>
    <t>Прочее</t>
  </si>
  <si>
    <t>ПРИБЫЛЬ (EBITDA)</t>
  </si>
  <si>
    <t>Налоги (УСН)</t>
  </si>
  <si>
    <t>Амортизация</t>
  </si>
  <si>
    <t>ЧИСТАЯ ПРИБЫЛЬ (УБЫТОК)</t>
  </si>
  <si>
    <t>Рентабельность чистой прибыли</t>
  </si>
  <si>
    <t>не уверена как именно должен выглядеть рост посетителей, это пример</t>
  </si>
  <si>
    <t>в ручном режиме посчитала, как удерживать стоимость клика, но менять бюджет, удерживая его в пределах 250 тыс.</t>
  </si>
  <si>
    <t>смоделировала вручную, не знаю как должно быть на самом деле</t>
  </si>
  <si>
    <t>Услуги юриста, бухгалтера</t>
  </si>
  <si>
    <t>это уже чуть реалистичнее… в зависимости от конверсии и количества посетителей этот график может пойти вниз в середине, поэтому нужно учитывать еще большое количество параметров. мне не хватает опыта для их расчетов.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</si>
</sst>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13" x14ac:knownFonts="1">
    <font>
      <sz val="10"/>
      <color rgb="FF000000"/>
      <name val="Calibri"/>
      <scheme val="minor"/>
    </font>
    <font>
      <sz val="10"/>
      <color theme="1"/>
      <name val="Century Gothic"/>
    </font>
    <font>
      <b/>
      <sz val="10"/>
      <color theme="1"/>
      <name val="Century Gothic"/>
    </font>
    <font>
      <b/>
      <sz val="10"/>
      <color theme="0"/>
      <name val="Century Gothic"/>
    </font>
    <font>
      <sz val="10"/>
      <color rgb="FF7F7F7F"/>
      <name val="Century Gothic"/>
    </font>
    <font>
      <b/>
      <sz val="10"/>
      <color rgb="FF7F7F7F"/>
      <name val="Century Gothic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04"/>
    </font>
    <font>
      <b/>
      <sz val="10"/>
      <name val="Century Gothic"/>
      <family val="2"/>
      <charset val="204"/>
    </font>
    <font>
      <sz val="10"/>
      <color theme="1"/>
      <name val="Century Gothic"/>
      <family val="2"/>
      <charset val="204"/>
    </font>
    <font>
      <sz val="10"/>
      <color rgb="FF00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BDD6EE"/>
        <bgColor rgb="FFBDD6EE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2" borderId="2" xfId="0" applyFont="1" applyFill="1" applyBorder="1"/>
    <xf numFmtId="164" fontId="3" fillId="2" borderId="2" xfId="0" applyNumberFormat="1" applyFont="1" applyFill="1" applyBorder="1"/>
    <xf numFmtId="164" fontId="2" fillId="3" borderId="2" xfId="0" applyNumberFormat="1" applyFont="1" applyFill="1" applyBorder="1" applyAlignment="1"/>
    <xf numFmtId="0" fontId="2" fillId="0" borderId="0" xfId="0" applyFont="1" applyAlignment="1"/>
    <xf numFmtId="164" fontId="2" fillId="0" borderId="0" xfId="0" applyNumberFormat="1" applyFont="1"/>
    <xf numFmtId="164" fontId="1" fillId="3" borderId="2" xfId="0" applyNumberFormat="1" applyFont="1" applyFill="1" applyBorder="1" applyAlignment="1"/>
    <xf numFmtId="164" fontId="1" fillId="0" borderId="0" xfId="0" applyNumberFormat="1" applyFont="1"/>
    <xf numFmtId="9" fontId="1" fillId="3" borderId="2" xfId="0" applyNumberFormat="1" applyFont="1" applyFill="1" applyBorder="1" applyAlignment="1"/>
    <xf numFmtId="0" fontId="1" fillId="0" borderId="0" xfId="0" applyFont="1" applyAlignment="1"/>
    <xf numFmtId="9" fontId="1" fillId="0" borderId="0" xfId="0" applyNumberFormat="1" applyFont="1"/>
    <xf numFmtId="10" fontId="1" fillId="3" borderId="2" xfId="0" applyNumberFormat="1" applyFont="1" applyFill="1" applyBorder="1" applyAlignment="1"/>
    <xf numFmtId="10" fontId="1" fillId="0" borderId="0" xfId="0" applyNumberFormat="1" applyFont="1"/>
    <xf numFmtId="164" fontId="1" fillId="0" borderId="0" xfId="0" applyNumberFormat="1" applyFont="1" applyAlignment="1"/>
    <xf numFmtId="9" fontId="1" fillId="4" borderId="2" xfId="0" applyNumberFormat="1" applyFont="1" applyFill="1" applyBorder="1" applyAlignment="1"/>
    <xf numFmtId="164" fontId="1" fillId="3" borderId="2" xfId="0" applyNumberFormat="1" applyFont="1" applyFill="1" applyBorder="1"/>
    <xf numFmtId="9" fontId="1" fillId="3" borderId="2" xfId="0" applyNumberFormat="1" applyFont="1" applyFill="1" applyBorder="1"/>
    <xf numFmtId="0" fontId="1" fillId="0" borderId="0" xfId="0" applyFont="1" applyAlignment="1">
      <alignment horizontal="left"/>
    </xf>
    <xf numFmtId="164" fontId="3" fillId="2" borderId="2" xfId="0" applyNumberFormat="1" applyFont="1" applyFill="1" applyBorder="1" applyAlignment="1">
      <alignment vertical="center"/>
    </xf>
    <xf numFmtId="0" fontId="4" fillId="0" borderId="0" xfId="0" applyFont="1"/>
    <xf numFmtId="9" fontId="4" fillId="0" borderId="0" xfId="0" applyNumberFormat="1" applyFont="1" applyAlignment="1">
      <alignment horizontal="right" vertical="center"/>
    </xf>
    <xf numFmtId="0" fontId="5" fillId="0" borderId="0" xfId="0" applyFont="1"/>
    <xf numFmtId="164" fontId="4" fillId="0" borderId="0" xfId="0" applyNumberFormat="1" applyFont="1"/>
    <xf numFmtId="164" fontId="9" fillId="2" borderId="2" xfId="0" applyNumberFormat="1" applyFont="1" applyFill="1" applyBorder="1"/>
    <xf numFmtId="0" fontId="11" fillId="0" borderId="0" xfId="0" applyFon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PL!$B$78</c:f>
              <c:strCache>
                <c:ptCount val="1"/>
                <c:pt idx="0">
                  <c:v>ЧИСТАЯ ПРИБЫЛЬ (УБЫТОК)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PL!$C$2:$Z$2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PL!$C$78:$Z$78</c:f>
              <c:numCache>
                <c:formatCode>_-* #.##0_-;\-* #.##0_-;_-* "-"??_-;_-@</c:formatCode>
                <c:ptCount val="24"/>
                <c:pt idx="0">
                  <c:v>-215826</c:v>
                </c:pt>
                <c:pt idx="1">
                  <c:v>-59946</c:v>
                </c:pt>
                <c:pt idx="2">
                  <c:v>87222</c:v>
                </c:pt>
                <c:pt idx="3">
                  <c:v>225678</c:v>
                </c:pt>
                <c:pt idx="4">
                  <c:v>337910</c:v>
                </c:pt>
                <c:pt idx="5">
                  <c:v>441430</c:v>
                </c:pt>
                <c:pt idx="6">
                  <c:v>536238</c:v>
                </c:pt>
                <c:pt idx="7">
                  <c:v>631046</c:v>
                </c:pt>
                <c:pt idx="8">
                  <c:v>699630</c:v>
                </c:pt>
                <c:pt idx="9">
                  <c:v>768214</c:v>
                </c:pt>
                <c:pt idx="10">
                  <c:v>836798</c:v>
                </c:pt>
                <c:pt idx="11">
                  <c:v>896670</c:v>
                </c:pt>
                <c:pt idx="12">
                  <c:v>956542</c:v>
                </c:pt>
                <c:pt idx="13">
                  <c:v>1016414</c:v>
                </c:pt>
                <c:pt idx="14">
                  <c:v>1067486</c:v>
                </c:pt>
                <c:pt idx="15">
                  <c:v>1118646</c:v>
                </c:pt>
                <c:pt idx="16">
                  <c:v>1161006</c:v>
                </c:pt>
                <c:pt idx="17">
                  <c:v>1220878</c:v>
                </c:pt>
                <c:pt idx="18">
                  <c:v>1272038</c:v>
                </c:pt>
                <c:pt idx="19">
                  <c:v>1314398</c:v>
                </c:pt>
                <c:pt idx="20">
                  <c:v>1348046</c:v>
                </c:pt>
                <c:pt idx="21">
                  <c:v>1399206</c:v>
                </c:pt>
                <c:pt idx="22">
                  <c:v>1432854</c:v>
                </c:pt>
                <c:pt idx="23">
                  <c:v>1484014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F-478A-AF20-7B13CB58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12031"/>
        <c:axId val="1807208703"/>
      </c:lineChart>
      <c:catAx>
        <c:axId val="18072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08703"/>
        <c:crosses val="autoZero"/>
        <c:auto val="1"/>
        <c:lblAlgn val="ctr"/>
        <c:lblOffset val="100"/>
        <c:noMultiLvlLbl val="0"/>
      </c:catAx>
      <c:valAx>
        <c:axId val="18072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.##0_-;\-* #.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PL!$B$7</c:f>
              <c:strCache>
                <c:ptCount val="1"/>
                <c:pt idx="0">
                  <c:v>Бюджет на рекламу (Яндекс Директ)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PL!$C$2:$Z$2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PL!$C$7:$Z$7</c:f>
              <c:numCache>
                <c:formatCode>_-* #.##0_-;\-* #.##0_-;_-* "-"??_-;_-@</c:formatCode>
                <c:ptCount val="24"/>
                <c:pt idx="0">
                  <c:v>100000</c:v>
                </c:pt>
                <c:pt idx="1">
                  <c:v>110000</c:v>
                </c:pt>
                <c:pt idx="2">
                  <c:v>120000</c:v>
                </c:pt>
                <c:pt idx="3">
                  <c:v>130000</c:v>
                </c:pt>
                <c:pt idx="4">
                  <c:v>140000</c:v>
                </c:pt>
                <c:pt idx="5">
                  <c:v>150000</c:v>
                </c:pt>
                <c:pt idx="6">
                  <c:v>160000</c:v>
                </c:pt>
                <c:pt idx="7">
                  <c:v>170000</c:v>
                </c:pt>
                <c:pt idx="8">
                  <c:v>180000</c:v>
                </c:pt>
                <c:pt idx="9">
                  <c:v>190000</c:v>
                </c:pt>
                <c:pt idx="10">
                  <c:v>200000</c:v>
                </c:pt>
                <c:pt idx="11">
                  <c:v>210000</c:v>
                </c:pt>
                <c:pt idx="12">
                  <c:v>220000</c:v>
                </c:pt>
                <c:pt idx="13">
                  <c:v>230000</c:v>
                </c:pt>
                <c:pt idx="14">
                  <c:v>240000</c:v>
                </c:pt>
                <c:pt idx="15">
                  <c:v>250000</c:v>
                </c:pt>
                <c:pt idx="16">
                  <c:v>260000</c:v>
                </c:pt>
                <c:pt idx="17">
                  <c:v>270000</c:v>
                </c:pt>
                <c:pt idx="18">
                  <c:v>280000</c:v>
                </c:pt>
                <c:pt idx="19">
                  <c:v>290000</c:v>
                </c:pt>
                <c:pt idx="20">
                  <c:v>300000</c:v>
                </c:pt>
                <c:pt idx="21">
                  <c:v>310000</c:v>
                </c:pt>
                <c:pt idx="22">
                  <c:v>320000</c:v>
                </c:pt>
                <c:pt idx="23">
                  <c:v>330000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0-4B6D-8A45-7280CB1B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12031"/>
        <c:axId val="1807208703"/>
      </c:lineChart>
      <c:catAx>
        <c:axId val="18072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08703"/>
        <c:crosses val="autoZero"/>
        <c:auto val="1"/>
        <c:lblAlgn val="ctr"/>
        <c:lblOffset val="100"/>
        <c:noMultiLvlLbl val="0"/>
      </c:catAx>
      <c:valAx>
        <c:axId val="18072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.##0_-;\-* #.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PL!$B$33</c:f>
              <c:strCache>
                <c:ptCount val="1"/>
                <c:pt idx="0">
                  <c:v>Итого учеников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PL!$C$2:$Z$2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PL!$C$33:$Z$33</c:f>
              <c:numCache>
                <c:formatCode>_-* #.##0_-;\-* #.##0_-;_-* "-"??_-;_-@</c:formatCode>
                <c:ptCount val="24"/>
                <c:pt idx="0">
                  <c:v>17</c:v>
                </c:pt>
                <c:pt idx="1">
                  <c:v>32</c:v>
                </c:pt>
                <c:pt idx="2">
                  <c:v>46</c:v>
                </c:pt>
                <c:pt idx="3">
                  <c:v>59</c:v>
                </c:pt>
                <c:pt idx="4">
                  <c:v>70</c:v>
                </c:pt>
                <c:pt idx="5">
                  <c:v>80</c:v>
                </c:pt>
                <c:pt idx="6">
                  <c:v>89</c:v>
                </c:pt>
                <c:pt idx="7">
                  <c:v>98</c:v>
                </c:pt>
                <c:pt idx="8">
                  <c:v>105</c:v>
                </c:pt>
                <c:pt idx="9">
                  <c:v>112</c:v>
                </c:pt>
                <c:pt idx="10">
                  <c:v>119</c:v>
                </c:pt>
                <c:pt idx="11">
                  <c:v>125</c:v>
                </c:pt>
                <c:pt idx="12">
                  <c:v>131</c:v>
                </c:pt>
                <c:pt idx="13">
                  <c:v>137</c:v>
                </c:pt>
                <c:pt idx="14">
                  <c:v>143</c:v>
                </c:pt>
                <c:pt idx="15">
                  <c:v>148</c:v>
                </c:pt>
                <c:pt idx="16">
                  <c:v>153</c:v>
                </c:pt>
                <c:pt idx="17">
                  <c:v>159</c:v>
                </c:pt>
                <c:pt idx="18">
                  <c:v>164</c:v>
                </c:pt>
                <c:pt idx="19">
                  <c:v>169</c:v>
                </c:pt>
                <c:pt idx="20">
                  <c:v>173</c:v>
                </c:pt>
                <c:pt idx="21">
                  <c:v>178</c:v>
                </c:pt>
                <c:pt idx="22">
                  <c:v>182</c:v>
                </c:pt>
                <c:pt idx="23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C8-431E-B2F2-ADFE06D79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12031"/>
        <c:axId val="1807208703"/>
      </c:lineChart>
      <c:catAx>
        <c:axId val="18072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08703"/>
        <c:crosses val="autoZero"/>
        <c:auto val="1"/>
        <c:lblAlgn val="ctr"/>
        <c:lblOffset val="100"/>
        <c:noMultiLvlLbl val="0"/>
      </c:catAx>
      <c:valAx>
        <c:axId val="18072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.##0_-;\-* #.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'Не так оптимистично'!$B$79</c:f>
              <c:strCache>
                <c:ptCount val="1"/>
                <c:pt idx="0">
                  <c:v>ЧИСТАЯ ПРИБЫЛЬ (УБЫТОК)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PL!$C$2:$Z$2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'Не так оптимистично'!$C$79:$Z$79</c:f>
              <c:numCache>
                <c:formatCode>_-* #\ ##0_-;\-* #\ ##0_-;_-* "-"??_-;_-@</c:formatCode>
                <c:ptCount val="24"/>
                <c:pt idx="0">
                  <c:v>-275826</c:v>
                </c:pt>
                <c:pt idx="1">
                  <c:v>-129796</c:v>
                </c:pt>
                <c:pt idx="2">
                  <c:v>-29210.000000000007</c:v>
                </c:pt>
                <c:pt idx="3">
                  <c:v>93654</c:v>
                </c:pt>
                <c:pt idx="4">
                  <c:v>78974</c:v>
                </c:pt>
                <c:pt idx="5">
                  <c:v>161072</c:v>
                </c:pt>
                <c:pt idx="6">
                  <c:v>229248</c:v>
                </c:pt>
                <c:pt idx="7">
                  <c:v>288624</c:v>
                </c:pt>
                <c:pt idx="8">
                  <c:v>364522</c:v>
                </c:pt>
                <c:pt idx="9">
                  <c:v>446176</c:v>
                </c:pt>
                <c:pt idx="10">
                  <c:v>503586</c:v>
                </c:pt>
                <c:pt idx="11">
                  <c:v>432252</c:v>
                </c:pt>
                <c:pt idx="12">
                  <c:v>466496</c:v>
                </c:pt>
                <c:pt idx="13">
                  <c:v>469218</c:v>
                </c:pt>
                <c:pt idx="14">
                  <c:v>471940</c:v>
                </c:pt>
                <c:pt idx="15">
                  <c:v>483462</c:v>
                </c:pt>
                <c:pt idx="16">
                  <c:v>486184</c:v>
                </c:pt>
                <c:pt idx="17">
                  <c:v>505428</c:v>
                </c:pt>
                <c:pt idx="18">
                  <c:v>500872</c:v>
                </c:pt>
                <c:pt idx="19">
                  <c:v>505116</c:v>
                </c:pt>
                <c:pt idx="20">
                  <c:v>487082</c:v>
                </c:pt>
                <c:pt idx="21">
                  <c:v>529048</c:v>
                </c:pt>
                <c:pt idx="22">
                  <c:v>576770</c:v>
                </c:pt>
                <c:pt idx="23">
                  <c:v>594492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4-46D7-9CDF-F2A920B5D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12031"/>
        <c:axId val="1807208703"/>
      </c:lineChart>
      <c:catAx>
        <c:axId val="18072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08703"/>
        <c:crosses val="autoZero"/>
        <c:auto val="1"/>
        <c:lblAlgn val="ctr"/>
        <c:lblOffset val="100"/>
        <c:noMultiLvlLbl val="0"/>
      </c:catAx>
      <c:valAx>
        <c:axId val="18072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'Не так оптимистично'!$B$13</c:f>
              <c:strCache>
                <c:ptCount val="1"/>
                <c:pt idx="0">
                  <c:v>Посетителей на сайте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PL!$C$2:$Z$2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'Не так оптимистично'!$C$13:$AL$13</c:f>
              <c:numCache>
                <c:formatCode>_-* #\ ##0_-;\-* #\ ##0_-;_-* "-"??_-;_-@</c:formatCode>
                <c:ptCount val="36"/>
                <c:pt idx="0">
                  <c:v>952</c:v>
                </c:pt>
                <c:pt idx="1">
                  <c:v>972</c:v>
                </c:pt>
                <c:pt idx="2">
                  <c:v>1012</c:v>
                </c:pt>
                <c:pt idx="3">
                  <c:v>1062</c:v>
                </c:pt>
                <c:pt idx="4">
                  <c:v>1112</c:v>
                </c:pt>
                <c:pt idx="5">
                  <c:v>1162</c:v>
                </c:pt>
                <c:pt idx="6">
                  <c:v>1262</c:v>
                </c:pt>
                <c:pt idx="7">
                  <c:v>1462</c:v>
                </c:pt>
                <c:pt idx="8">
                  <c:v>1762</c:v>
                </c:pt>
                <c:pt idx="9">
                  <c:v>1662</c:v>
                </c:pt>
                <c:pt idx="10">
                  <c:v>1512</c:v>
                </c:pt>
                <c:pt idx="11">
                  <c:v>1362</c:v>
                </c:pt>
                <c:pt idx="12">
                  <c:v>1362</c:v>
                </c:pt>
                <c:pt idx="13">
                  <c:v>1382</c:v>
                </c:pt>
                <c:pt idx="14">
                  <c:v>1422</c:v>
                </c:pt>
                <c:pt idx="15">
                  <c:v>1472</c:v>
                </c:pt>
                <c:pt idx="16">
                  <c:v>1522</c:v>
                </c:pt>
                <c:pt idx="17">
                  <c:v>1572</c:v>
                </c:pt>
                <c:pt idx="18">
                  <c:v>1672</c:v>
                </c:pt>
                <c:pt idx="19">
                  <c:v>1872</c:v>
                </c:pt>
                <c:pt idx="20">
                  <c:v>2172</c:v>
                </c:pt>
                <c:pt idx="21">
                  <c:v>2072</c:v>
                </c:pt>
                <c:pt idx="22">
                  <c:v>1922</c:v>
                </c:pt>
                <c:pt idx="23">
                  <c:v>1772</c:v>
                </c:pt>
                <c:pt idx="24">
                  <c:v>1772</c:v>
                </c:pt>
                <c:pt idx="25">
                  <c:v>1792</c:v>
                </c:pt>
                <c:pt idx="26">
                  <c:v>1832</c:v>
                </c:pt>
                <c:pt idx="27">
                  <c:v>1882</c:v>
                </c:pt>
                <c:pt idx="28">
                  <c:v>1932</c:v>
                </c:pt>
                <c:pt idx="29">
                  <c:v>1982</c:v>
                </c:pt>
                <c:pt idx="30">
                  <c:v>2082</c:v>
                </c:pt>
                <c:pt idx="31">
                  <c:v>2282</c:v>
                </c:pt>
                <c:pt idx="32">
                  <c:v>2582</c:v>
                </c:pt>
                <c:pt idx="33">
                  <c:v>2482</c:v>
                </c:pt>
                <c:pt idx="34">
                  <c:v>2332</c:v>
                </c:pt>
                <c:pt idx="35">
                  <c:v>2182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DD-4713-ADDD-008368A6D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12031"/>
        <c:axId val="1807208703"/>
      </c:lineChart>
      <c:catAx>
        <c:axId val="18072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08703"/>
        <c:crosses val="autoZero"/>
        <c:auto val="1"/>
        <c:lblAlgn val="ctr"/>
        <c:lblOffset val="100"/>
        <c:noMultiLvlLbl val="0"/>
      </c:catAx>
      <c:valAx>
        <c:axId val="18072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'Не так оптимистично'!$B$7</c:f>
              <c:strCache>
                <c:ptCount val="1"/>
                <c:pt idx="0">
                  <c:v>Бюджет на рекламу (Яндекс Директ)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PL!$C$2:$Z$2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'Не так оптимистично'!$C$7:$AL$7</c:f>
              <c:numCache>
                <c:formatCode>_-* #\ ##0_-;\-* #\ ##0_-;_-* "-"??_-;_-@</c:formatCode>
                <c:ptCount val="36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145000</c:v>
                </c:pt>
                <c:pt idx="7">
                  <c:v>165000</c:v>
                </c:pt>
                <c:pt idx="8">
                  <c:v>185000</c:v>
                </c:pt>
                <c:pt idx="9">
                  <c:v>175000</c:v>
                </c:pt>
                <c:pt idx="10">
                  <c:v>165000</c:v>
                </c:pt>
                <c:pt idx="11">
                  <c:v>155000</c:v>
                </c:pt>
                <c:pt idx="12">
                  <c:v>145000</c:v>
                </c:pt>
                <c:pt idx="13">
                  <c:v>150000</c:v>
                </c:pt>
                <c:pt idx="14">
                  <c:v>155000</c:v>
                </c:pt>
                <c:pt idx="15">
                  <c:v>160000</c:v>
                </c:pt>
                <c:pt idx="16">
                  <c:v>165000</c:v>
                </c:pt>
                <c:pt idx="17">
                  <c:v>170000</c:v>
                </c:pt>
                <c:pt idx="18">
                  <c:v>190000</c:v>
                </c:pt>
                <c:pt idx="19">
                  <c:v>210000</c:v>
                </c:pt>
                <c:pt idx="20">
                  <c:v>230000</c:v>
                </c:pt>
                <c:pt idx="21">
                  <c:v>220000</c:v>
                </c:pt>
                <c:pt idx="22">
                  <c:v>210000</c:v>
                </c:pt>
                <c:pt idx="23">
                  <c:v>200000</c:v>
                </c:pt>
                <c:pt idx="24">
                  <c:v>190000</c:v>
                </c:pt>
                <c:pt idx="25">
                  <c:v>195000</c:v>
                </c:pt>
                <c:pt idx="26">
                  <c:v>200000</c:v>
                </c:pt>
                <c:pt idx="27">
                  <c:v>205000</c:v>
                </c:pt>
                <c:pt idx="28">
                  <c:v>210000</c:v>
                </c:pt>
                <c:pt idx="29">
                  <c:v>215000</c:v>
                </c:pt>
                <c:pt idx="30">
                  <c:v>235000</c:v>
                </c:pt>
                <c:pt idx="31">
                  <c:v>255000</c:v>
                </c:pt>
                <c:pt idx="32">
                  <c:v>275000</c:v>
                </c:pt>
                <c:pt idx="33">
                  <c:v>265000</c:v>
                </c:pt>
                <c:pt idx="34">
                  <c:v>255000</c:v>
                </c:pt>
                <c:pt idx="35">
                  <c:v>245000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06-4FA7-8BEA-191D3A4D6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12031"/>
        <c:axId val="1807208703"/>
      </c:lineChart>
      <c:catAx>
        <c:axId val="18072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08703"/>
        <c:crosses val="autoZero"/>
        <c:auto val="1"/>
        <c:lblAlgn val="ctr"/>
        <c:lblOffset val="100"/>
        <c:noMultiLvlLbl val="0"/>
      </c:catAx>
      <c:valAx>
        <c:axId val="18072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'Не так оптимистично'!$B$33</c:f>
              <c:strCache>
                <c:ptCount val="1"/>
                <c:pt idx="0">
                  <c:v>Итого учеников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'Не так оптимистично'!$C$2:$AL$2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'Не так оптимистично'!$C$33:$AL$33</c:f>
              <c:numCache>
                <c:formatCode>_-* #\ ##0_-;\-* #\ ##0_-;_-* "-"??_-;_-@</c:formatCode>
                <c:ptCount val="36"/>
                <c:pt idx="0">
                  <c:v>17</c:v>
                </c:pt>
                <c:pt idx="1">
                  <c:v>32</c:v>
                </c:pt>
                <c:pt idx="2">
                  <c:v>45</c:v>
                </c:pt>
                <c:pt idx="3">
                  <c:v>57</c:v>
                </c:pt>
                <c:pt idx="4">
                  <c:v>67</c:v>
                </c:pt>
                <c:pt idx="5">
                  <c:v>76</c:v>
                </c:pt>
                <c:pt idx="6">
                  <c:v>84</c:v>
                </c:pt>
                <c:pt idx="7">
                  <c:v>92</c:v>
                </c:pt>
                <c:pt idx="8">
                  <c:v>101</c:v>
                </c:pt>
                <c:pt idx="9">
                  <c:v>108</c:v>
                </c:pt>
                <c:pt idx="10">
                  <c:v>113</c:v>
                </c:pt>
                <c:pt idx="11">
                  <c:v>116</c:v>
                </c:pt>
                <c:pt idx="12">
                  <c:v>118</c:v>
                </c:pt>
                <c:pt idx="13">
                  <c:v>119</c:v>
                </c:pt>
                <c:pt idx="14">
                  <c:v>120</c:v>
                </c:pt>
                <c:pt idx="15">
                  <c:v>121</c:v>
                </c:pt>
                <c:pt idx="16">
                  <c:v>122</c:v>
                </c:pt>
                <c:pt idx="17">
                  <c:v>124</c:v>
                </c:pt>
                <c:pt idx="18">
                  <c:v>126</c:v>
                </c:pt>
                <c:pt idx="19">
                  <c:v>128</c:v>
                </c:pt>
                <c:pt idx="20">
                  <c:v>131</c:v>
                </c:pt>
                <c:pt idx="21">
                  <c:v>134</c:v>
                </c:pt>
                <c:pt idx="22">
                  <c:v>135</c:v>
                </c:pt>
                <c:pt idx="23">
                  <c:v>136</c:v>
                </c:pt>
                <c:pt idx="24">
                  <c:v>135</c:v>
                </c:pt>
                <c:pt idx="25">
                  <c:v>134</c:v>
                </c:pt>
                <c:pt idx="26">
                  <c:v>133</c:v>
                </c:pt>
                <c:pt idx="27">
                  <c:v>132</c:v>
                </c:pt>
                <c:pt idx="28">
                  <c:v>132</c:v>
                </c:pt>
                <c:pt idx="29">
                  <c:v>132</c:v>
                </c:pt>
                <c:pt idx="30">
                  <c:v>133</c:v>
                </c:pt>
                <c:pt idx="31">
                  <c:v>133</c:v>
                </c:pt>
                <c:pt idx="32">
                  <c:v>134</c:v>
                </c:pt>
                <c:pt idx="33">
                  <c:v>135</c:v>
                </c:pt>
                <c:pt idx="34">
                  <c:v>136</c:v>
                </c:pt>
                <c:pt idx="35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9A-4808-BBED-2D471BE98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12031"/>
        <c:axId val="1807208703"/>
      </c:lineChart>
      <c:catAx>
        <c:axId val="18072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08703"/>
        <c:crosses val="autoZero"/>
        <c:auto val="1"/>
        <c:lblAlgn val="ctr"/>
        <c:lblOffset val="100"/>
        <c:noMultiLvlLbl val="0"/>
      </c:catAx>
      <c:valAx>
        <c:axId val="18072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72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521725</xdr:colOff>
      <xdr:row>64</xdr:row>
      <xdr:rowOff>46325</xdr:rowOff>
    </xdr:from>
    <xdr:to>
      <xdr:col>31</xdr:col>
      <xdr:colOff>331225</xdr:colOff>
      <xdr:row>80</xdr:row>
      <xdr:rowOff>122525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946468-A16E-4B73-830A-2D8738146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658091</xdr:colOff>
      <xdr:row>3</xdr:row>
      <xdr:rowOff>17318</xdr:rowOff>
    </xdr:from>
    <xdr:to>
      <xdr:col>31</xdr:col>
      <xdr:colOff>467591</xdr:colOff>
      <xdr:row>19</xdr:row>
      <xdr:rowOff>93518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42642A1-585A-4291-841A-A5BFACC35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606136</xdr:colOff>
      <xdr:row>21</xdr:row>
      <xdr:rowOff>86592</xdr:rowOff>
    </xdr:from>
    <xdr:to>
      <xdr:col>31</xdr:col>
      <xdr:colOff>415636</xdr:colOff>
      <xdr:row>38</xdr:row>
      <xdr:rowOff>6928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F79E42D-3CBD-4A96-918F-01C47BE43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917864</xdr:colOff>
      <xdr:row>66</xdr:row>
      <xdr:rowOff>17318</xdr:rowOff>
    </xdr:from>
    <xdr:to>
      <xdr:col>43</xdr:col>
      <xdr:colOff>727364</xdr:colOff>
      <xdr:row>82</xdr:row>
      <xdr:rowOff>93517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D637807-5B4E-474E-AB3B-662CC4CD6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692727</xdr:colOff>
      <xdr:row>11</xdr:row>
      <xdr:rowOff>138545</xdr:rowOff>
    </xdr:from>
    <xdr:to>
      <xdr:col>43</xdr:col>
      <xdr:colOff>502227</xdr:colOff>
      <xdr:row>28</xdr:row>
      <xdr:rowOff>58881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CD43895-A72B-4EA2-91A1-8F39432D5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710045</xdr:colOff>
      <xdr:row>2</xdr:row>
      <xdr:rowOff>86591</xdr:rowOff>
    </xdr:from>
    <xdr:to>
      <xdr:col>48</xdr:col>
      <xdr:colOff>519545</xdr:colOff>
      <xdr:row>19</xdr:row>
      <xdr:rowOff>6927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1621FA3-06A9-43A9-BA1B-F0AC67C0B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658090</xdr:colOff>
      <xdr:row>32</xdr:row>
      <xdr:rowOff>0</xdr:rowOff>
    </xdr:from>
    <xdr:to>
      <xdr:col>43</xdr:col>
      <xdr:colOff>467590</xdr:colOff>
      <xdr:row>48</xdr:row>
      <xdr:rowOff>76199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9308AAA-EAEF-420F-AAFE-F8F171B1D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showGridLines="0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6" sqref="C56"/>
    </sheetView>
  </sheetViews>
  <sheetFormatPr defaultColWidth="14.42578125" defaultRowHeight="15.75" customHeight="1" outlineLevelRow="1" x14ac:dyDescent="0.2"/>
  <cols>
    <col min="1" max="1" width="12.7109375" customWidth="1"/>
    <col min="2" max="2" width="50.28515625" customWidth="1"/>
    <col min="3" max="26" width="12.710937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2" t="s">
        <v>0</v>
      </c>
      <c r="C2" s="3">
        <v>1</v>
      </c>
      <c r="D2" s="3">
        <f t="shared" ref="D2:Z2" si="0">C2+1</f>
        <v>2</v>
      </c>
      <c r="E2" s="3">
        <f t="shared" si="0"/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>
        <f t="shared" si="0"/>
        <v>11</v>
      </c>
      <c r="N2" s="3">
        <f t="shared" si="0"/>
        <v>12</v>
      </c>
      <c r="O2" s="3">
        <f t="shared" si="0"/>
        <v>13</v>
      </c>
      <c r="P2" s="3">
        <f t="shared" si="0"/>
        <v>14</v>
      </c>
      <c r="Q2" s="3">
        <f t="shared" si="0"/>
        <v>15</v>
      </c>
      <c r="R2" s="3">
        <f t="shared" si="0"/>
        <v>16</v>
      </c>
      <c r="S2" s="3">
        <f t="shared" si="0"/>
        <v>17</v>
      </c>
      <c r="T2" s="3">
        <f t="shared" si="0"/>
        <v>18</v>
      </c>
      <c r="U2" s="3">
        <f t="shared" si="0"/>
        <v>19</v>
      </c>
      <c r="V2" s="3">
        <f t="shared" si="0"/>
        <v>20</v>
      </c>
      <c r="W2" s="3">
        <f t="shared" si="0"/>
        <v>21</v>
      </c>
      <c r="X2" s="3">
        <f t="shared" si="0"/>
        <v>22</v>
      </c>
      <c r="Y2" s="3">
        <f t="shared" si="0"/>
        <v>23</v>
      </c>
      <c r="Z2" s="3">
        <f t="shared" si="0"/>
        <v>24</v>
      </c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4"/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1"/>
      <c r="B5" s="5" t="s">
        <v>2</v>
      </c>
      <c r="C5" s="6">
        <f t="shared" ref="C5:Z5" si="1">C42+C44</f>
        <v>228300</v>
      </c>
      <c r="D5" s="6">
        <f t="shared" si="1"/>
        <v>416800</v>
      </c>
      <c r="E5" s="6">
        <f t="shared" si="1"/>
        <v>595400</v>
      </c>
      <c r="F5" s="6">
        <f t="shared" si="1"/>
        <v>764100</v>
      </c>
      <c r="G5" s="6">
        <f t="shared" si="1"/>
        <v>903000</v>
      </c>
      <c r="H5" s="6">
        <f t="shared" si="1"/>
        <v>1032000</v>
      </c>
      <c r="I5" s="6">
        <f t="shared" si="1"/>
        <v>1151100</v>
      </c>
      <c r="J5" s="6">
        <f t="shared" si="1"/>
        <v>1270200</v>
      </c>
      <c r="K5" s="6">
        <f t="shared" si="1"/>
        <v>1359500</v>
      </c>
      <c r="L5" s="6">
        <f t="shared" si="1"/>
        <v>1448800</v>
      </c>
      <c r="M5" s="6">
        <f t="shared" si="1"/>
        <v>1538100</v>
      </c>
      <c r="N5" s="6">
        <f t="shared" si="1"/>
        <v>1617500</v>
      </c>
      <c r="O5" s="6">
        <f t="shared" si="1"/>
        <v>1696900</v>
      </c>
      <c r="P5" s="6">
        <f t="shared" si="1"/>
        <v>1776300</v>
      </c>
      <c r="Q5" s="6">
        <f t="shared" si="1"/>
        <v>1845700</v>
      </c>
      <c r="R5" s="6">
        <f t="shared" si="1"/>
        <v>1915200</v>
      </c>
      <c r="S5" s="6">
        <f t="shared" si="1"/>
        <v>1974700</v>
      </c>
      <c r="T5" s="6">
        <f t="shared" si="1"/>
        <v>2054100</v>
      </c>
      <c r="U5" s="6">
        <f t="shared" si="1"/>
        <v>2123600</v>
      </c>
      <c r="V5" s="6">
        <f t="shared" si="1"/>
        <v>2183100</v>
      </c>
      <c r="W5" s="6">
        <f t="shared" si="1"/>
        <v>2232700</v>
      </c>
      <c r="X5" s="6">
        <f t="shared" si="1"/>
        <v>2302200</v>
      </c>
      <c r="Y5" s="6">
        <f t="shared" si="1"/>
        <v>2351800</v>
      </c>
      <c r="Z5" s="6">
        <f t="shared" si="1"/>
        <v>2421300</v>
      </c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outlineLevel="1" x14ac:dyDescent="0.2">
      <c r="A7" s="7">
        <v>100000</v>
      </c>
      <c r="B7" s="8" t="s">
        <v>3</v>
      </c>
      <c r="C7" s="9">
        <f>$A$7</f>
        <v>100000</v>
      </c>
      <c r="D7" s="9">
        <f t="shared" ref="D7:Z7" si="2">C7+10000</f>
        <v>110000</v>
      </c>
      <c r="E7" s="9">
        <f t="shared" si="2"/>
        <v>120000</v>
      </c>
      <c r="F7" s="9">
        <f t="shared" si="2"/>
        <v>130000</v>
      </c>
      <c r="G7" s="9">
        <f t="shared" si="2"/>
        <v>140000</v>
      </c>
      <c r="H7" s="9">
        <f t="shared" si="2"/>
        <v>150000</v>
      </c>
      <c r="I7" s="9">
        <f t="shared" si="2"/>
        <v>160000</v>
      </c>
      <c r="J7" s="9">
        <f t="shared" si="2"/>
        <v>170000</v>
      </c>
      <c r="K7" s="9">
        <f t="shared" si="2"/>
        <v>180000</v>
      </c>
      <c r="L7" s="9">
        <f t="shared" si="2"/>
        <v>190000</v>
      </c>
      <c r="M7" s="9">
        <f t="shared" si="2"/>
        <v>200000</v>
      </c>
      <c r="N7" s="9">
        <f t="shared" si="2"/>
        <v>210000</v>
      </c>
      <c r="O7" s="9">
        <f t="shared" si="2"/>
        <v>220000</v>
      </c>
      <c r="P7" s="9">
        <f t="shared" si="2"/>
        <v>230000</v>
      </c>
      <c r="Q7" s="9">
        <f t="shared" si="2"/>
        <v>240000</v>
      </c>
      <c r="R7" s="9">
        <f t="shared" si="2"/>
        <v>250000</v>
      </c>
      <c r="S7" s="9">
        <f t="shared" si="2"/>
        <v>260000</v>
      </c>
      <c r="T7" s="9">
        <f t="shared" si="2"/>
        <v>270000</v>
      </c>
      <c r="U7" s="9">
        <f t="shared" si="2"/>
        <v>280000</v>
      </c>
      <c r="V7" s="9">
        <f t="shared" si="2"/>
        <v>290000</v>
      </c>
      <c r="W7" s="9">
        <f t="shared" si="2"/>
        <v>300000</v>
      </c>
      <c r="X7" s="9">
        <f t="shared" si="2"/>
        <v>310000</v>
      </c>
      <c r="Y7" s="9">
        <f t="shared" si="2"/>
        <v>320000</v>
      </c>
      <c r="Z7" s="9">
        <f t="shared" si="2"/>
        <v>330000</v>
      </c>
    </row>
    <row r="8" spans="1:26" ht="12.75" customHeight="1" outlineLevel="1" x14ac:dyDescent="0.25">
      <c r="A8" s="10">
        <v>105</v>
      </c>
      <c r="B8" s="1" t="s">
        <v>4</v>
      </c>
      <c r="C8" s="11">
        <f t="shared" ref="C8:Z8" si="3">$A$8</f>
        <v>105</v>
      </c>
      <c r="D8" s="11">
        <f t="shared" si="3"/>
        <v>105</v>
      </c>
      <c r="E8" s="11">
        <f t="shared" si="3"/>
        <v>105</v>
      </c>
      <c r="F8" s="11">
        <f t="shared" si="3"/>
        <v>105</v>
      </c>
      <c r="G8" s="11">
        <f t="shared" si="3"/>
        <v>105</v>
      </c>
      <c r="H8" s="11">
        <f t="shared" si="3"/>
        <v>105</v>
      </c>
      <c r="I8" s="11">
        <f t="shared" si="3"/>
        <v>105</v>
      </c>
      <c r="J8" s="11">
        <f t="shared" si="3"/>
        <v>105</v>
      </c>
      <c r="K8" s="11">
        <f t="shared" si="3"/>
        <v>105</v>
      </c>
      <c r="L8" s="11">
        <f t="shared" si="3"/>
        <v>105</v>
      </c>
      <c r="M8" s="11">
        <f t="shared" si="3"/>
        <v>105</v>
      </c>
      <c r="N8" s="11">
        <f t="shared" si="3"/>
        <v>105</v>
      </c>
      <c r="O8" s="11">
        <f t="shared" si="3"/>
        <v>105</v>
      </c>
      <c r="P8" s="11">
        <f t="shared" si="3"/>
        <v>105</v>
      </c>
      <c r="Q8" s="11">
        <f t="shared" si="3"/>
        <v>105</v>
      </c>
      <c r="R8" s="11">
        <f t="shared" si="3"/>
        <v>105</v>
      </c>
      <c r="S8" s="11">
        <f t="shared" si="3"/>
        <v>105</v>
      </c>
      <c r="T8" s="11">
        <f t="shared" si="3"/>
        <v>105</v>
      </c>
      <c r="U8" s="11">
        <f t="shared" si="3"/>
        <v>105</v>
      </c>
      <c r="V8" s="11">
        <f t="shared" si="3"/>
        <v>105</v>
      </c>
      <c r="W8" s="11">
        <f t="shared" si="3"/>
        <v>105</v>
      </c>
      <c r="X8" s="11">
        <f t="shared" si="3"/>
        <v>105</v>
      </c>
      <c r="Y8" s="11">
        <f t="shared" si="3"/>
        <v>105</v>
      </c>
      <c r="Z8" s="11">
        <f t="shared" si="3"/>
        <v>105</v>
      </c>
    </row>
    <row r="9" spans="1:26" ht="12.75" customHeight="1" outlineLevel="1" x14ac:dyDescent="0.25">
      <c r="A9" s="12">
        <v>0.12</v>
      </c>
      <c r="B9" s="13" t="s">
        <v>5</v>
      </c>
      <c r="C9" s="14">
        <f t="shared" ref="C9:Z9" si="4">$A$9</f>
        <v>0.12</v>
      </c>
      <c r="D9" s="14">
        <f t="shared" si="4"/>
        <v>0.12</v>
      </c>
      <c r="E9" s="14">
        <f t="shared" si="4"/>
        <v>0.12</v>
      </c>
      <c r="F9" s="14">
        <f t="shared" si="4"/>
        <v>0.12</v>
      </c>
      <c r="G9" s="14">
        <f t="shared" si="4"/>
        <v>0.12</v>
      </c>
      <c r="H9" s="14">
        <f t="shared" si="4"/>
        <v>0.12</v>
      </c>
      <c r="I9" s="14">
        <f t="shared" si="4"/>
        <v>0.12</v>
      </c>
      <c r="J9" s="14">
        <f t="shared" si="4"/>
        <v>0.12</v>
      </c>
      <c r="K9" s="14">
        <f t="shared" si="4"/>
        <v>0.12</v>
      </c>
      <c r="L9" s="14">
        <f t="shared" si="4"/>
        <v>0.12</v>
      </c>
      <c r="M9" s="14">
        <f t="shared" si="4"/>
        <v>0.12</v>
      </c>
      <c r="N9" s="14">
        <f t="shared" si="4"/>
        <v>0.12</v>
      </c>
      <c r="O9" s="14">
        <f t="shared" si="4"/>
        <v>0.12</v>
      </c>
      <c r="P9" s="14">
        <f t="shared" si="4"/>
        <v>0.12</v>
      </c>
      <c r="Q9" s="14">
        <f t="shared" si="4"/>
        <v>0.12</v>
      </c>
      <c r="R9" s="14">
        <f t="shared" si="4"/>
        <v>0.12</v>
      </c>
      <c r="S9" s="14">
        <f t="shared" si="4"/>
        <v>0.12</v>
      </c>
      <c r="T9" s="14">
        <f t="shared" si="4"/>
        <v>0.12</v>
      </c>
      <c r="U9" s="14">
        <f t="shared" si="4"/>
        <v>0.12</v>
      </c>
      <c r="V9" s="14">
        <f t="shared" si="4"/>
        <v>0.12</v>
      </c>
      <c r="W9" s="14">
        <f t="shared" si="4"/>
        <v>0.12</v>
      </c>
      <c r="X9" s="14">
        <f t="shared" si="4"/>
        <v>0.12</v>
      </c>
      <c r="Y9" s="14">
        <f t="shared" si="4"/>
        <v>0.12</v>
      </c>
      <c r="Z9" s="14">
        <f t="shared" si="4"/>
        <v>0.12</v>
      </c>
    </row>
    <row r="10" spans="1:26" ht="12.75" customHeight="1" outlineLevel="1" x14ac:dyDescent="0.25">
      <c r="A10" s="12">
        <v>0.15</v>
      </c>
      <c r="B10" s="13" t="s">
        <v>6</v>
      </c>
      <c r="C10" s="14">
        <f t="shared" ref="C10:Z10" si="5">$A$10</f>
        <v>0.15</v>
      </c>
      <c r="D10" s="14">
        <f t="shared" si="5"/>
        <v>0.15</v>
      </c>
      <c r="E10" s="14">
        <f t="shared" si="5"/>
        <v>0.15</v>
      </c>
      <c r="F10" s="14">
        <f t="shared" si="5"/>
        <v>0.15</v>
      </c>
      <c r="G10" s="14">
        <f t="shared" si="5"/>
        <v>0.15</v>
      </c>
      <c r="H10" s="14">
        <f t="shared" si="5"/>
        <v>0.15</v>
      </c>
      <c r="I10" s="14">
        <f t="shared" si="5"/>
        <v>0.15</v>
      </c>
      <c r="J10" s="14">
        <f t="shared" si="5"/>
        <v>0.15</v>
      </c>
      <c r="K10" s="14">
        <f t="shared" si="5"/>
        <v>0.15</v>
      </c>
      <c r="L10" s="14">
        <f t="shared" si="5"/>
        <v>0.15</v>
      </c>
      <c r="M10" s="14">
        <f t="shared" si="5"/>
        <v>0.15</v>
      </c>
      <c r="N10" s="14">
        <f t="shared" si="5"/>
        <v>0.15</v>
      </c>
      <c r="O10" s="14">
        <f t="shared" si="5"/>
        <v>0.15</v>
      </c>
      <c r="P10" s="14">
        <f t="shared" si="5"/>
        <v>0.15</v>
      </c>
      <c r="Q10" s="14">
        <f t="shared" si="5"/>
        <v>0.15</v>
      </c>
      <c r="R10" s="14">
        <f t="shared" si="5"/>
        <v>0.15</v>
      </c>
      <c r="S10" s="14">
        <f t="shared" si="5"/>
        <v>0.15</v>
      </c>
      <c r="T10" s="14">
        <f t="shared" si="5"/>
        <v>0.15</v>
      </c>
      <c r="U10" s="14">
        <f t="shared" si="5"/>
        <v>0.15</v>
      </c>
      <c r="V10" s="14">
        <f t="shared" si="5"/>
        <v>0.15</v>
      </c>
      <c r="W10" s="14">
        <f t="shared" si="5"/>
        <v>0.15</v>
      </c>
      <c r="X10" s="14">
        <f t="shared" si="5"/>
        <v>0.15</v>
      </c>
      <c r="Y10" s="14">
        <f t="shared" si="5"/>
        <v>0.15</v>
      </c>
      <c r="Z10" s="14">
        <f t="shared" si="5"/>
        <v>0.15</v>
      </c>
    </row>
    <row r="11" spans="1:26" ht="12.75" customHeight="1" outlineLevel="1" x14ac:dyDescent="0.25">
      <c r="A11" s="12">
        <v>0.33</v>
      </c>
      <c r="B11" s="13" t="s">
        <v>7</v>
      </c>
      <c r="C11" s="14">
        <f t="shared" ref="C11:Z11" si="6">$A$11</f>
        <v>0.33</v>
      </c>
      <c r="D11" s="14">
        <f t="shared" si="6"/>
        <v>0.33</v>
      </c>
      <c r="E11" s="14">
        <f t="shared" si="6"/>
        <v>0.33</v>
      </c>
      <c r="F11" s="14">
        <f t="shared" si="6"/>
        <v>0.33</v>
      </c>
      <c r="G11" s="14">
        <f t="shared" si="6"/>
        <v>0.33</v>
      </c>
      <c r="H11" s="14">
        <f t="shared" si="6"/>
        <v>0.33</v>
      </c>
      <c r="I11" s="14">
        <f t="shared" si="6"/>
        <v>0.33</v>
      </c>
      <c r="J11" s="14">
        <f t="shared" si="6"/>
        <v>0.33</v>
      </c>
      <c r="K11" s="14">
        <f t="shared" si="6"/>
        <v>0.33</v>
      </c>
      <c r="L11" s="14">
        <f t="shared" si="6"/>
        <v>0.33</v>
      </c>
      <c r="M11" s="14">
        <f t="shared" si="6"/>
        <v>0.33</v>
      </c>
      <c r="N11" s="14">
        <f t="shared" si="6"/>
        <v>0.33</v>
      </c>
      <c r="O11" s="14">
        <f t="shared" si="6"/>
        <v>0.33</v>
      </c>
      <c r="P11" s="14">
        <f t="shared" si="6"/>
        <v>0.33</v>
      </c>
      <c r="Q11" s="14">
        <f t="shared" si="6"/>
        <v>0.33</v>
      </c>
      <c r="R11" s="14">
        <f t="shared" si="6"/>
        <v>0.33</v>
      </c>
      <c r="S11" s="14">
        <f t="shared" si="6"/>
        <v>0.33</v>
      </c>
      <c r="T11" s="14">
        <f t="shared" si="6"/>
        <v>0.33</v>
      </c>
      <c r="U11" s="14">
        <f t="shared" si="6"/>
        <v>0.33</v>
      </c>
      <c r="V11" s="14">
        <f t="shared" si="6"/>
        <v>0.33</v>
      </c>
      <c r="W11" s="14">
        <f t="shared" si="6"/>
        <v>0.33</v>
      </c>
      <c r="X11" s="14">
        <f t="shared" si="6"/>
        <v>0.33</v>
      </c>
      <c r="Y11" s="14">
        <f t="shared" si="6"/>
        <v>0.33</v>
      </c>
      <c r="Z11" s="14">
        <f t="shared" si="6"/>
        <v>0.33</v>
      </c>
    </row>
    <row r="12" spans="1:26" ht="12.75" customHeight="1" outlineLevel="1" x14ac:dyDescent="0.25">
      <c r="A12" s="1"/>
      <c r="B12" s="1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outlineLevel="1" x14ac:dyDescent="0.2">
      <c r="A13" s="4"/>
      <c r="B13" s="8" t="s">
        <v>8</v>
      </c>
      <c r="C13" s="9">
        <f t="shared" ref="C13:Z13" si="7">C7/C8</f>
        <v>952.38095238095241</v>
      </c>
      <c r="D13" s="9">
        <f t="shared" si="7"/>
        <v>1047.6190476190477</v>
      </c>
      <c r="E13" s="9">
        <f t="shared" si="7"/>
        <v>1142.8571428571429</v>
      </c>
      <c r="F13" s="9">
        <f t="shared" si="7"/>
        <v>1238.0952380952381</v>
      </c>
      <c r="G13" s="9">
        <f t="shared" si="7"/>
        <v>1333.3333333333333</v>
      </c>
      <c r="H13" s="9">
        <f t="shared" si="7"/>
        <v>1428.5714285714287</v>
      </c>
      <c r="I13" s="9">
        <f t="shared" si="7"/>
        <v>1523.8095238095239</v>
      </c>
      <c r="J13" s="9">
        <f t="shared" si="7"/>
        <v>1619.047619047619</v>
      </c>
      <c r="K13" s="9">
        <f t="shared" si="7"/>
        <v>1714.2857142857142</v>
      </c>
      <c r="L13" s="9">
        <f t="shared" si="7"/>
        <v>1809.5238095238096</v>
      </c>
      <c r="M13" s="9">
        <f t="shared" si="7"/>
        <v>1904.7619047619048</v>
      </c>
      <c r="N13" s="9">
        <f t="shared" si="7"/>
        <v>2000</v>
      </c>
      <c r="O13" s="9">
        <f t="shared" si="7"/>
        <v>2095.2380952380954</v>
      </c>
      <c r="P13" s="9">
        <f t="shared" si="7"/>
        <v>2190.4761904761904</v>
      </c>
      <c r="Q13" s="9">
        <f t="shared" si="7"/>
        <v>2285.7142857142858</v>
      </c>
      <c r="R13" s="9">
        <f t="shared" si="7"/>
        <v>2380.9523809523807</v>
      </c>
      <c r="S13" s="9">
        <f t="shared" si="7"/>
        <v>2476.1904761904761</v>
      </c>
      <c r="T13" s="9">
        <f t="shared" si="7"/>
        <v>2571.4285714285716</v>
      </c>
      <c r="U13" s="9">
        <f t="shared" si="7"/>
        <v>2666.6666666666665</v>
      </c>
      <c r="V13" s="9">
        <f t="shared" si="7"/>
        <v>2761.9047619047619</v>
      </c>
      <c r="W13" s="9">
        <f t="shared" si="7"/>
        <v>2857.1428571428573</v>
      </c>
      <c r="X13" s="9">
        <f t="shared" si="7"/>
        <v>2952.3809523809523</v>
      </c>
      <c r="Y13" s="9">
        <f t="shared" si="7"/>
        <v>3047.6190476190477</v>
      </c>
      <c r="Z13" s="9">
        <f t="shared" si="7"/>
        <v>3142.8571428571427</v>
      </c>
    </row>
    <row r="14" spans="1:26" ht="12.75" customHeight="1" outlineLevel="1" x14ac:dyDescent="0.25">
      <c r="A14" s="1"/>
      <c r="B14" s="1" t="s">
        <v>9</v>
      </c>
      <c r="C14" s="11">
        <f t="shared" ref="C14:Z14" si="8">C13*C9</f>
        <v>114.28571428571429</v>
      </c>
      <c r="D14" s="11">
        <f t="shared" si="8"/>
        <v>125.71428571428572</v>
      </c>
      <c r="E14" s="11">
        <f t="shared" si="8"/>
        <v>137.14285714285714</v>
      </c>
      <c r="F14" s="11">
        <f t="shared" si="8"/>
        <v>148.57142857142856</v>
      </c>
      <c r="G14" s="11">
        <f t="shared" si="8"/>
        <v>159.99999999999997</v>
      </c>
      <c r="H14" s="11">
        <f t="shared" si="8"/>
        <v>171.42857142857144</v>
      </c>
      <c r="I14" s="11">
        <f t="shared" si="8"/>
        <v>182.85714285714286</v>
      </c>
      <c r="J14" s="11">
        <f t="shared" si="8"/>
        <v>194.28571428571428</v>
      </c>
      <c r="K14" s="11">
        <f t="shared" si="8"/>
        <v>205.71428571428569</v>
      </c>
      <c r="L14" s="11">
        <f t="shared" si="8"/>
        <v>217.14285714285714</v>
      </c>
      <c r="M14" s="11">
        <f t="shared" si="8"/>
        <v>228.57142857142858</v>
      </c>
      <c r="N14" s="11">
        <f t="shared" si="8"/>
        <v>240</v>
      </c>
      <c r="O14" s="11">
        <f t="shared" si="8"/>
        <v>251.42857142857144</v>
      </c>
      <c r="P14" s="11">
        <f t="shared" si="8"/>
        <v>262.85714285714283</v>
      </c>
      <c r="Q14" s="11">
        <f t="shared" si="8"/>
        <v>274.28571428571428</v>
      </c>
      <c r="R14" s="11">
        <f t="shared" si="8"/>
        <v>285.71428571428567</v>
      </c>
      <c r="S14" s="11">
        <f t="shared" si="8"/>
        <v>297.14285714285711</v>
      </c>
      <c r="T14" s="11">
        <f t="shared" si="8"/>
        <v>308.57142857142856</v>
      </c>
      <c r="U14" s="11">
        <f t="shared" si="8"/>
        <v>319.99999999999994</v>
      </c>
      <c r="V14" s="11">
        <f t="shared" si="8"/>
        <v>331.42857142857144</v>
      </c>
      <c r="W14" s="11">
        <f t="shared" si="8"/>
        <v>342.85714285714289</v>
      </c>
      <c r="X14" s="11">
        <f t="shared" si="8"/>
        <v>354.28571428571428</v>
      </c>
      <c r="Y14" s="11">
        <f t="shared" si="8"/>
        <v>365.71428571428572</v>
      </c>
      <c r="Z14" s="11">
        <f t="shared" si="8"/>
        <v>377.14285714285711</v>
      </c>
    </row>
    <row r="15" spans="1:26" ht="12.75" customHeight="1" outlineLevel="1" x14ac:dyDescent="0.25">
      <c r="A15" s="1"/>
      <c r="B15" s="13" t="s">
        <v>10</v>
      </c>
      <c r="C15" s="11">
        <f t="shared" ref="C15:Z15" si="9">ROUNDDOWN(C14*C10,0)</f>
        <v>17</v>
      </c>
      <c r="D15" s="11">
        <f t="shared" si="9"/>
        <v>18</v>
      </c>
      <c r="E15" s="11">
        <f t="shared" si="9"/>
        <v>20</v>
      </c>
      <c r="F15" s="11">
        <f t="shared" si="9"/>
        <v>22</v>
      </c>
      <c r="G15" s="11">
        <f t="shared" si="9"/>
        <v>24</v>
      </c>
      <c r="H15" s="11">
        <f t="shared" si="9"/>
        <v>25</v>
      </c>
      <c r="I15" s="11">
        <f t="shared" si="9"/>
        <v>27</v>
      </c>
      <c r="J15" s="11">
        <f t="shared" si="9"/>
        <v>29</v>
      </c>
      <c r="K15" s="11">
        <f t="shared" si="9"/>
        <v>30</v>
      </c>
      <c r="L15" s="11">
        <f t="shared" si="9"/>
        <v>32</v>
      </c>
      <c r="M15" s="11">
        <f t="shared" si="9"/>
        <v>34</v>
      </c>
      <c r="N15" s="11">
        <f t="shared" si="9"/>
        <v>36</v>
      </c>
      <c r="O15" s="11">
        <f t="shared" si="9"/>
        <v>37</v>
      </c>
      <c r="P15" s="11">
        <f t="shared" si="9"/>
        <v>39</v>
      </c>
      <c r="Q15" s="11">
        <f t="shared" si="9"/>
        <v>41</v>
      </c>
      <c r="R15" s="11">
        <f t="shared" si="9"/>
        <v>42</v>
      </c>
      <c r="S15" s="11">
        <f t="shared" si="9"/>
        <v>44</v>
      </c>
      <c r="T15" s="11">
        <f t="shared" si="9"/>
        <v>46</v>
      </c>
      <c r="U15" s="11">
        <f t="shared" si="9"/>
        <v>48</v>
      </c>
      <c r="V15" s="11">
        <f t="shared" si="9"/>
        <v>49</v>
      </c>
      <c r="W15" s="11">
        <f t="shared" si="9"/>
        <v>51</v>
      </c>
      <c r="X15" s="11">
        <f t="shared" si="9"/>
        <v>53</v>
      </c>
      <c r="Y15" s="11">
        <f t="shared" si="9"/>
        <v>54</v>
      </c>
      <c r="Z15" s="11">
        <f t="shared" si="9"/>
        <v>56</v>
      </c>
    </row>
    <row r="16" spans="1:26" ht="12.75" customHeight="1" outlineLevel="1" x14ac:dyDescent="0.25">
      <c r="A16" s="1"/>
      <c r="B16" s="13" t="s">
        <v>11</v>
      </c>
      <c r="C16" s="11">
        <f t="shared" ref="C16:Z16" si="10">ROUNDDOWN(C15*C11,0)</f>
        <v>5</v>
      </c>
      <c r="D16" s="11">
        <f t="shared" si="10"/>
        <v>5</v>
      </c>
      <c r="E16" s="11">
        <f t="shared" si="10"/>
        <v>6</v>
      </c>
      <c r="F16" s="11">
        <f t="shared" si="10"/>
        <v>7</v>
      </c>
      <c r="G16" s="11">
        <f t="shared" si="10"/>
        <v>7</v>
      </c>
      <c r="H16" s="11">
        <f t="shared" si="10"/>
        <v>8</v>
      </c>
      <c r="I16" s="11">
        <f t="shared" si="10"/>
        <v>8</v>
      </c>
      <c r="J16" s="11">
        <f t="shared" si="10"/>
        <v>9</v>
      </c>
      <c r="K16" s="11">
        <f t="shared" si="10"/>
        <v>9</v>
      </c>
      <c r="L16" s="11">
        <f t="shared" si="10"/>
        <v>10</v>
      </c>
      <c r="M16" s="11">
        <f t="shared" si="10"/>
        <v>11</v>
      </c>
      <c r="N16" s="11">
        <f t="shared" si="10"/>
        <v>11</v>
      </c>
      <c r="O16" s="11">
        <f t="shared" si="10"/>
        <v>12</v>
      </c>
      <c r="P16" s="11">
        <f t="shared" si="10"/>
        <v>12</v>
      </c>
      <c r="Q16" s="11">
        <f t="shared" si="10"/>
        <v>13</v>
      </c>
      <c r="R16" s="11">
        <f t="shared" si="10"/>
        <v>13</v>
      </c>
      <c r="S16" s="11">
        <f t="shared" si="10"/>
        <v>14</v>
      </c>
      <c r="T16" s="11">
        <f t="shared" si="10"/>
        <v>15</v>
      </c>
      <c r="U16" s="11">
        <f t="shared" si="10"/>
        <v>15</v>
      </c>
      <c r="V16" s="11">
        <f t="shared" si="10"/>
        <v>16</v>
      </c>
      <c r="W16" s="11">
        <f t="shared" si="10"/>
        <v>16</v>
      </c>
      <c r="X16" s="11">
        <f t="shared" si="10"/>
        <v>17</v>
      </c>
      <c r="Y16" s="11">
        <f t="shared" si="10"/>
        <v>17</v>
      </c>
      <c r="Z16" s="11">
        <f t="shared" si="10"/>
        <v>18</v>
      </c>
    </row>
    <row r="17" spans="1:26" ht="12.75" customHeight="1" outlineLevel="1" x14ac:dyDescent="0.25">
      <c r="A17" s="1"/>
      <c r="B17" s="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 customHeight="1" outlineLevel="1" x14ac:dyDescent="0.2">
      <c r="A18" s="7">
        <v>75000</v>
      </c>
      <c r="B18" s="8" t="s">
        <v>12</v>
      </c>
      <c r="C18" s="9">
        <f t="shared" ref="C18:Z18" si="11">$A$18</f>
        <v>75000</v>
      </c>
      <c r="D18" s="9">
        <f t="shared" si="11"/>
        <v>75000</v>
      </c>
      <c r="E18" s="9">
        <f t="shared" si="11"/>
        <v>75000</v>
      </c>
      <c r="F18" s="9">
        <f t="shared" si="11"/>
        <v>75000</v>
      </c>
      <c r="G18" s="9">
        <f t="shared" si="11"/>
        <v>75000</v>
      </c>
      <c r="H18" s="9">
        <f t="shared" si="11"/>
        <v>75000</v>
      </c>
      <c r="I18" s="9">
        <f t="shared" si="11"/>
        <v>75000</v>
      </c>
      <c r="J18" s="9">
        <f t="shared" si="11"/>
        <v>75000</v>
      </c>
      <c r="K18" s="9">
        <f t="shared" si="11"/>
        <v>75000</v>
      </c>
      <c r="L18" s="9">
        <f t="shared" si="11"/>
        <v>75000</v>
      </c>
      <c r="M18" s="9">
        <f t="shared" si="11"/>
        <v>75000</v>
      </c>
      <c r="N18" s="9">
        <f t="shared" si="11"/>
        <v>75000</v>
      </c>
      <c r="O18" s="9">
        <f t="shared" si="11"/>
        <v>75000</v>
      </c>
      <c r="P18" s="9">
        <f t="shared" si="11"/>
        <v>75000</v>
      </c>
      <c r="Q18" s="9">
        <f t="shared" si="11"/>
        <v>75000</v>
      </c>
      <c r="R18" s="9">
        <f t="shared" si="11"/>
        <v>75000</v>
      </c>
      <c r="S18" s="9">
        <f t="shared" si="11"/>
        <v>75000</v>
      </c>
      <c r="T18" s="9">
        <f t="shared" si="11"/>
        <v>75000</v>
      </c>
      <c r="U18" s="9">
        <f t="shared" si="11"/>
        <v>75000</v>
      </c>
      <c r="V18" s="9">
        <f t="shared" si="11"/>
        <v>75000</v>
      </c>
      <c r="W18" s="9">
        <f t="shared" si="11"/>
        <v>75000</v>
      </c>
      <c r="X18" s="9">
        <f t="shared" si="11"/>
        <v>75000</v>
      </c>
      <c r="Y18" s="9">
        <f t="shared" si="11"/>
        <v>75000</v>
      </c>
      <c r="Z18" s="9">
        <f t="shared" si="11"/>
        <v>75000</v>
      </c>
    </row>
    <row r="19" spans="1:26" ht="12.75" customHeight="1" outlineLevel="1" x14ac:dyDescent="0.25">
      <c r="A19" s="10">
        <v>950</v>
      </c>
      <c r="B19" s="1" t="s">
        <v>13</v>
      </c>
      <c r="C19" s="11">
        <f t="shared" ref="C19:Z19" si="12">$A$19</f>
        <v>950</v>
      </c>
      <c r="D19" s="11">
        <f t="shared" si="12"/>
        <v>950</v>
      </c>
      <c r="E19" s="11">
        <f t="shared" si="12"/>
        <v>950</v>
      </c>
      <c r="F19" s="11">
        <f t="shared" si="12"/>
        <v>950</v>
      </c>
      <c r="G19" s="11">
        <f t="shared" si="12"/>
        <v>950</v>
      </c>
      <c r="H19" s="11">
        <f t="shared" si="12"/>
        <v>950</v>
      </c>
      <c r="I19" s="11">
        <f t="shared" si="12"/>
        <v>950</v>
      </c>
      <c r="J19" s="11">
        <f t="shared" si="12"/>
        <v>950</v>
      </c>
      <c r="K19" s="11">
        <f t="shared" si="12"/>
        <v>950</v>
      </c>
      <c r="L19" s="11">
        <f t="shared" si="12"/>
        <v>950</v>
      </c>
      <c r="M19" s="11">
        <f t="shared" si="12"/>
        <v>950</v>
      </c>
      <c r="N19" s="11">
        <f t="shared" si="12"/>
        <v>950</v>
      </c>
      <c r="O19" s="11">
        <f t="shared" si="12"/>
        <v>950</v>
      </c>
      <c r="P19" s="11">
        <f t="shared" si="12"/>
        <v>950</v>
      </c>
      <c r="Q19" s="11">
        <f t="shared" si="12"/>
        <v>950</v>
      </c>
      <c r="R19" s="11">
        <f t="shared" si="12"/>
        <v>950</v>
      </c>
      <c r="S19" s="11">
        <f t="shared" si="12"/>
        <v>950</v>
      </c>
      <c r="T19" s="11">
        <f t="shared" si="12"/>
        <v>950</v>
      </c>
      <c r="U19" s="11">
        <f t="shared" si="12"/>
        <v>950</v>
      </c>
      <c r="V19" s="11">
        <f t="shared" si="12"/>
        <v>950</v>
      </c>
      <c r="W19" s="11">
        <f t="shared" si="12"/>
        <v>950</v>
      </c>
      <c r="X19" s="11">
        <f t="shared" si="12"/>
        <v>950</v>
      </c>
      <c r="Y19" s="11">
        <f t="shared" si="12"/>
        <v>950</v>
      </c>
      <c r="Z19" s="11">
        <f t="shared" si="12"/>
        <v>950</v>
      </c>
    </row>
    <row r="20" spans="1:26" ht="12.75" customHeight="1" outlineLevel="1" x14ac:dyDescent="0.25">
      <c r="A20" s="15">
        <v>0.01</v>
      </c>
      <c r="B20" s="1" t="s">
        <v>14</v>
      </c>
      <c r="C20" s="16">
        <f t="shared" ref="C20:Z20" si="13">$A$20</f>
        <v>0.01</v>
      </c>
      <c r="D20" s="16">
        <f t="shared" si="13"/>
        <v>0.01</v>
      </c>
      <c r="E20" s="16">
        <f t="shared" si="13"/>
        <v>0.01</v>
      </c>
      <c r="F20" s="16">
        <f t="shared" si="13"/>
        <v>0.01</v>
      </c>
      <c r="G20" s="16">
        <f t="shared" si="13"/>
        <v>0.01</v>
      </c>
      <c r="H20" s="16">
        <f t="shared" si="13"/>
        <v>0.01</v>
      </c>
      <c r="I20" s="16">
        <f t="shared" si="13"/>
        <v>0.01</v>
      </c>
      <c r="J20" s="16">
        <f t="shared" si="13"/>
        <v>0.01</v>
      </c>
      <c r="K20" s="16">
        <f t="shared" si="13"/>
        <v>0.01</v>
      </c>
      <c r="L20" s="16">
        <f t="shared" si="13"/>
        <v>0.01</v>
      </c>
      <c r="M20" s="16">
        <f t="shared" si="13"/>
        <v>0.01</v>
      </c>
      <c r="N20" s="16">
        <f t="shared" si="13"/>
        <v>0.01</v>
      </c>
      <c r="O20" s="16">
        <f t="shared" si="13"/>
        <v>0.01</v>
      </c>
      <c r="P20" s="16">
        <f t="shared" si="13"/>
        <v>0.01</v>
      </c>
      <c r="Q20" s="16">
        <f t="shared" si="13"/>
        <v>0.01</v>
      </c>
      <c r="R20" s="16">
        <f t="shared" si="13"/>
        <v>0.01</v>
      </c>
      <c r="S20" s="16">
        <f t="shared" si="13"/>
        <v>0.01</v>
      </c>
      <c r="T20" s="16">
        <f t="shared" si="13"/>
        <v>0.01</v>
      </c>
      <c r="U20" s="16">
        <f t="shared" si="13"/>
        <v>0.01</v>
      </c>
      <c r="V20" s="16">
        <f t="shared" si="13"/>
        <v>0.01</v>
      </c>
      <c r="W20" s="16">
        <f t="shared" si="13"/>
        <v>0.01</v>
      </c>
      <c r="X20" s="16">
        <f t="shared" si="13"/>
        <v>0.01</v>
      </c>
      <c r="Y20" s="16">
        <f t="shared" si="13"/>
        <v>0.01</v>
      </c>
      <c r="Z20" s="16">
        <f t="shared" si="13"/>
        <v>0.01</v>
      </c>
    </row>
    <row r="21" spans="1:26" ht="12.75" customHeight="1" outlineLevel="1" x14ac:dyDescent="0.25">
      <c r="A21" s="12">
        <v>0.05</v>
      </c>
      <c r="B21" s="13" t="s">
        <v>15</v>
      </c>
      <c r="C21" s="14">
        <f t="shared" ref="C21:Z21" si="14">$A$21</f>
        <v>0.05</v>
      </c>
      <c r="D21" s="14">
        <f t="shared" si="14"/>
        <v>0.05</v>
      </c>
      <c r="E21" s="14">
        <f t="shared" si="14"/>
        <v>0.05</v>
      </c>
      <c r="F21" s="14">
        <f t="shared" si="14"/>
        <v>0.05</v>
      </c>
      <c r="G21" s="14">
        <f t="shared" si="14"/>
        <v>0.05</v>
      </c>
      <c r="H21" s="14">
        <f t="shared" si="14"/>
        <v>0.05</v>
      </c>
      <c r="I21" s="14">
        <f t="shared" si="14"/>
        <v>0.05</v>
      </c>
      <c r="J21" s="14">
        <f t="shared" si="14"/>
        <v>0.05</v>
      </c>
      <c r="K21" s="14">
        <f t="shared" si="14"/>
        <v>0.05</v>
      </c>
      <c r="L21" s="14">
        <f t="shared" si="14"/>
        <v>0.05</v>
      </c>
      <c r="M21" s="14">
        <f t="shared" si="14"/>
        <v>0.05</v>
      </c>
      <c r="N21" s="14">
        <f t="shared" si="14"/>
        <v>0.05</v>
      </c>
      <c r="O21" s="14">
        <f t="shared" si="14"/>
        <v>0.05</v>
      </c>
      <c r="P21" s="14">
        <f t="shared" si="14"/>
        <v>0.05</v>
      </c>
      <c r="Q21" s="14">
        <f t="shared" si="14"/>
        <v>0.05</v>
      </c>
      <c r="R21" s="14">
        <f t="shared" si="14"/>
        <v>0.05</v>
      </c>
      <c r="S21" s="14">
        <f t="shared" si="14"/>
        <v>0.05</v>
      </c>
      <c r="T21" s="14">
        <f t="shared" si="14"/>
        <v>0.05</v>
      </c>
      <c r="U21" s="14">
        <f t="shared" si="14"/>
        <v>0.05</v>
      </c>
      <c r="V21" s="14">
        <f t="shared" si="14"/>
        <v>0.05</v>
      </c>
      <c r="W21" s="14">
        <f t="shared" si="14"/>
        <v>0.05</v>
      </c>
      <c r="X21" s="14">
        <f t="shared" si="14"/>
        <v>0.05</v>
      </c>
      <c r="Y21" s="14">
        <f t="shared" si="14"/>
        <v>0.05</v>
      </c>
      <c r="Z21" s="14">
        <f t="shared" si="14"/>
        <v>0.05</v>
      </c>
    </row>
    <row r="22" spans="1:26" ht="12.75" customHeight="1" outlineLevel="1" x14ac:dyDescent="0.25">
      <c r="A22" s="12">
        <v>0.33</v>
      </c>
      <c r="B22" s="13" t="s">
        <v>16</v>
      </c>
      <c r="C22" s="14">
        <f t="shared" ref="C22:Z22" si="15">$A$11</f>
        <v>0.33</v>
      </c>
      <c r="D22" s="14">
        <f t="shared" si="15"/>
        <v>0.33</v>
      </c>
      <c r="E22" s="14">
        <f t="shared" si="15"/>
        <v>0.33</v>
      </c>
      <c r="F22" s="14">
        <f t="shared" si="15"/>
        <v>0.33</v>
      </c>
      <c r="G22" s="14">
        <f t="shared" si="15"/>
        <v>0.33</v>
      </c>
      <c r="H22" s="14">
        <f t="shared" si="15"/>
        <v>0.33</v>
      </c>
      <c r="I22" s="14">
        <f t="shared" si="15"/>
        <v>0.33</v>
      </c>
      <c r="J22" s="14">
        <f t="shared" si="15"/>
        <v>0.33</v>
      </c>
      <c r="K22" s="14">
        <f t="shared" si="15"/>
        <v>0.33</v>
      </c>
      <c r="L22" s="14">
        <f t="shared" si="15"/>
        <v>0.33</v>
      </c>
      <c r="M22" s="14">
        <f t="shared" si="15"/>
        <v>0.33</v>
      </c>
      <c r="N22" s="14">
        <f t="shared" si="15"/>
        <v>0.33</v>
      </c>
      <c r="O22" s="14">
        <f t="shared" si="15"/>
        <v>0.33</v>
      </c>
      <c r="P22" s="14">
        <f t="shared" si="15"/>
        <v>0.33</v>
      </c>
      <c r="Q22" s="14">
        <f t="shared" si="15"/>
        <v>0.33</v>
      </c>
      <c r="R22" s="14">
        <f t="shared" si="15"/>
        <v>0.33</v>
      </c>
      <c r="S22" s="14">
        <f t="shared" si="15"/>
        <v>0.33</v>
      </c>
      <c r="T22" s="14">
        <f t="shared" si="15"/>
        <v>0.33</v>
      </c>
      <c r="U22" s="14">
        <f t="shared" si="15"/>
        <v>0.33</v>
      </c>
      <c r="V22" s="14">
        <f t="shared" si="15"/>
        <v>0.33</v>
      </c>
      <c r="W22" s="14">
        <f t="shared" si="15"/>
        <v>0.33</v>
      </c>
      <c r="X22" s="14">
        <f t="shared" si="15"/>
        <v>0.33</v>
      </c>
      <c r="Y22" s="14">
        <f t="shared" si="15"/>
        <v>0.33</v>
      </c>
      <c r="Z22" s="14">
        <f t="shared" si="15"/>
        <v>0.33</v>
      </c>
    </row>
    <row r="23" spans="1:26" ht="12.75" customHeight="1" outlineLevel="1" x14ac:dyDescent="0.25">
      <c r="A23" s="1"/>
      <c r="B23" s="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 outlineLevel="1" x14ac:dyDescent="0.2">
      <c r="A24" s="4"/>
      <c r="B24" s="4" t="s">
        <v>17</v>
      </c>
      <c r="C24" s="9">
        <f t="shared" ref="C24:Z24" si="16">C18/C19*1000</f>
        <v>78947.368421052626</v>
      </c>
      <c r="D24" s="9">
        <f t="shared" si="16"/>
        <v>78947.368421052626</v>
      </c>
      <c r="E24" s="9">
        <f t="shared" si="16"/>
        <v>78947.368421052626</v>
      </c>
      <c r="F24" s="9">
        <f t="shared" si="16"/>
        <v>78947.368421052626</v>
      </c>
      <c r="G24" s="9">
        <f t="shared" si="16"/>
        <v>78947.368421052626</v>
      </c>
      <c r="H24" s="9">
        <f t="shared" si="16"/>
        <v>78947.368421052626</v>
      </c>
      <c r="I24" s="9">
        <f t="shared" si="16"/>
        <v>78947.368421052626</v>
      </c>
      <c r="J24" s="9">
        <f t="shared" si="16"/>
        <v>78947.368421052626</v>
      </c>
      <c r="K24" s="9">
        <f t="shared" si="16"/>
        <v>78947.368421052626</v>
      </c>
      <c r="L24" s="9">
        <f t="shared" si="16"/>
        <v>78947.368421052626</v>
      </c>
      <c r="M24" s="9">
        <f t="shared" si="16"/>
        <v>78947.368421052626</v>
      </c>
      <c r="N24" s="9">
        <f t="shared" si="16"/>
        <v>78947.368421052626</v>
      </c>
      <c r="O24" s="9">
        <f t="shared" si="16"/>
        <v>78947.368421052626</v>
      </c>
      <c r="P24" s="9">
        <f t="shared" si="16"/>
        <v>78947.368421052626</v>
      </c>
      <c r="Q24" s="9">
        <f t="shared" si="16"/>
        <v>78947.368421052626</v>
      </c>
      <c r="R24" s="9">
        <f t="shared" si="16"/>
        <v>78947.368421052626</v>
      </c>
      <c r="S24" s="9">
        <f t="shared" si="16"/>
        <v>78947.368421052626</v>
      </c>
      <c r="T24" s="9">
        <f t="shared" si="16"/>
        <v>78947.368421052626</v>
      </c>
      <c r="U24" s="9">
        <f t="shared" si="16"/>
        <v>78947.368421052626</v>
      </c>
      <c r="V24" s="9">
        <f t="shared" si="16"/>
        <v>78947.368421052626</v>
      </c>
      <c r="W24" s="9">
        <f t="shared" si="16"/>
        <v>78947.368421052626</v>
      </c>
      <c r="X24" s="9">
        <f t="shared" si="16"/>
        <v>78947.368421052626</v>
      </c>
      <c r="Y24" s="9">
        <f t="shared" si="16"/>
        <v>78947.368421052626</v>
      </c>
      <c r="Z24" s="9">
        <f t="shared" si="16"/>
        <v>78947.368421052626</v>
      </c>
    </row>
    <row r="25" spans="1:26" ht="12.75" customHeight="1" outlineLevel="1" x14ac:dyDescent="0.25">
      <c r="A25" s="1"/>
      <c r="B25" s="1" t="s">
        <v>18</v>
      </c>
      <c r="C25" s="11">
        <f t="shared" ref="C25:Z25" si="17">C24*C20</f>
        <v>789.47368421052624</v>
      </c>
      <c r="D25" s="11">
        <f t="shared" si="17"/>
        <v>789.47368421052624</v>
      </c>
      <c r="E25" s="11">
        <f t="shared" si="17"/>
        <v>789.47368421052624</v>
      </c>
      <c r="F25" s="11">
        <f t="shared" si="17"/>
        <v>789.47368421052624</v>
      </c>
      <c r="G25" s="11">
        <f t="shared" si="17"/>
        <v>789.47368421052624</v>
      </c>
      <c r="H25" s="11">
        <f t="shared" si="17"/>
        <v>789.47368421052624</v>
      </c>
      <c r="I25" s="11">
        <f t="shared" si="17"/>
        <v>789.47368421052624</v>
      </c>
      <c r="J25" s="11">
        <f t="shared" si="17"/>
        <v>789.47368421052624</v>
      </c>
      <c r="K25" s="11">
        <f t="shared" si="17"/>
        <v>789.47368421052624</v>
      </c>
      <c r="L25" s="11">
        <f t="shared" si="17"/>
        <v>789.47368421052624</v>
      </c>
      <c r="M25" s="11">
        <f t="shared" si="17"/>
        <v>789.47368421052624</v>
      </c>
      <c r="N25" s="11">
        <f t="shared" si="17"/>
        <v>789.47368421052624</v>
      </c>
      <c r="O25" s="11">
        <f t="shared" si="17"/>
        <v>789.47368421052624</v>
      </c>
      <c r="P25" s="11">
        <f t="shared" si="17"/>
        <v>789.47368421052624</v>
      </c>
      <c r="Q25" s="11">
        <f t="shared" si="17"/>
        <v>789.47368421052624</v>
      </c>
      <c r="R25" s="11">
        <f t="shared" si="17"/>
        <v>789.47368421052624</v>
      </c>
      <c r="S25" s="11">
        <f t="shared" si="17"/>
        <v>789.47368421052624</v>
      </c>
      <c r="T25" s="11">
        <f t="shared" si="17"/>
        <v>789.47368421052624</v>
      </c>
      <c r="U25" s="11">
        <f t="shared" si="17"/>
        <v>789.47368421052624</v>
      </c>
      <c r="V25" s="11">
        <f t="shared" si="17"/>
        <v>789.47368421052624</v>
      </c>
      <c r="W25" s="11">
        <f t="shared" si="17"/>
        <v>789.47368421052624</v>
      </c>
      <c r="X25" s="11">
        <f t="shared" si="17"/>
        <v>789.47368421052624</v>
      </c>
      <c r="Y25" s="11">
        <f t="shared" si="17"/>
        <v>789.47368421052624</v>
      </c>
      <c r="Z25" s="11">
        <f t="shared" si="17"/>
        <v>789.47368421052624</v>
      </c>
    </row>
    <row r="26" spans="1:26" ht="12.75" customHeight="1" outlineLevel="1" x14ac:dyDescent="0.25">
      <c r="A26" s="1"/>
      <c r="B26" s="1" t="s">
        <v>19</v>
      </c>
      <c r="C26" s="11">
        <f t="shared" ref="C26:Z26" si="18">ROUNDDOWN(C25*C21,0)</f>
        <v>39</v>
      </c>
      <c r="D26" s="11">
        <f t="shared" si="18"/>
        <v>39</v>
      </c>
      <c r="E26" s="11">
        <f t="shared" si="18"/>
        <v>39</v>
      </c>
      <c r="F26" s="11">
        <f t="shared" si="18"/>
        <v>39</v>
      </c>
      <c r="G26" s="11">
        <f t="shared" si="18"/>
        <v>39</v>
      </c>
      <c r="H26" s="11">
        <f t="shared" si="18"/>
        <v>39</v>
      </c>
      <c r="I26" s="11">
        <f t="shared" si="18"/>
        <v>39</v>
      </c>
      <c r="J26" s="11">
        <f t="shared" si="18"/>
        <v>39</v>
      </c>
      <c r="K26" s="11">
        <f t="shared" si="18"/>
        <v>39</v>
      </c>
      <c r="L26" s="11">
        <f t="shared" si="18"/>
        <v>39</v>
      </c>
      <c r="M26" s="11">
        <f t="shared" si="18"/>
        <v>39</v>
      </c>
      <c r="N26" s="11">
        <f t="shared" si="18"/>
        <v>39</v>
      </c>
      <c r="O26" s="11">
        <f t="shared" si="18"/>
        <v>39</v>
      </c>
      <c r="P26" s="11">
        <f t="shared" si="18"/>
        <v>39</v>
      </c>
      <c r="Q26" s="11">
        <f t="shared" si="18"/>
        <v>39</v>
      </c>
      <c r="R26" s="11">
        <f t="shared" si="18"/>
        <v>39</v>
      </c>
      <c r="S26" s="11">
        <f t="shared" si="18"/>
        <v>39</v>
      </c>
      <c r="T26" s="11">
        <f t="shared" si="18"/>
        <v>39</v>
      </c>
      <c r="U26" s="11">
        <f t="shared" si="18"/>
        <v>39</v>
      </c>
      <c r="V26" s="11">
        <f t="shared" si="18"/>
        <v>39</v>
      </c>
      <c r="W26" s="11">
        <f t="shared" si="18"/>
        <v>39</v>
      </c>
      <c r="X26" s="11">
        <f t="shared" si="18"/>
        <v>39</v>
      </c>
      <c r="Y26" s="11">
        <f t="shared" si="18"/>
        <v>39</v>
      </c>
      <c r="Z26" s="11">
        <f t="shared" si="18"/>
        <v>39</v>
      </c>
    </row>
    <row r="27" spans="1:26" ht="12.75" customHeight="1" outlineLevel="1" x14ac:dyDescent="0.25">
      <c r="A27" s="1"/>
      <c r="B27" s="13" t="s">
        <v>11</v>
      </c>
      <c r="C27" s="11">
        <f t="shared" ref="C27:Z27" si="19">ROUNDDOWN(C26*C22,0)</f>
        <v>12</v>
      </c>
      <c r="D27" s="11">
        <f t="shared" si="19"/>
        <v>12</v>
      </c>
      <c r="E27" s="11">
        <f t="shared" si="19"/>
        <v>12</v>
      </c>
      <c r="F27" s="11">
        <f t="shared" si="19"/>
        <v>12</v>
      </c>
      <c r="G27" s="11">
        <f t="shared" si="19"/>
        <v>12</v>
      </c>
      <c r="H27" s="11">
        <f t="shared" si="19"/>
        <v>12</v>
      </c>
      <c r="I27" s="11">
        <f t="shared" si="19"/>
        <v>12</v>
      </c>
      <c r="J27" s="11">
        <f t="shared" si="19"/>
        <v>12</v>
      </c>
      <c r="K27" s="11">
        <f t="shared" si="19"/>
        <v>12</v>
      </c>
      <c r="L27" s="11">
        <f t="shared" si="19"/>
        <v>12</v>
      </c>
      <c r="M27" s="11">
        <f t="shared" si="19"/>
        <v>12</v>
      </c>
      <c r="N27" s="11">
        <f t="shared" si="19"/>
        <v>12</v>
      </c>
      <c r="O27" s="11">
        <f t="shared" si="19"/>
        <v>12</v>
      </c>
      <c r="P27" s="11">
        <f t="shared" si="19"/>
        <v>12</v>
      </c>
      <c r="Q27" s="11">
        <f t="shared" si="19"/>
        <v>12</v>
      </c>
      <c r="R27" s="11">
        <f t="shared" si="19"/>
        <v>12</v>
      </c>
      <c r="S27" s="11">
        <f t="shared" si="19"/>
        <v>12</v>
      </c>
      <c r="T27" s="11">
        <f t="shared" si="19"/>
        <v>12</v>
      </c>
      <c r="U27" s="11">
        <f t="shared" si="19"/>
        <v>12</v>
      </c>
      <c r="V27" s="11">
        <f t="shared" si="19"/>
        <v>12</v>
      </c>
      <c r="W27" s="11">
        <f t="shared" si="19"/>
        <v>12</v>
      </c>
      <c r="X27" s="11">
        <f t="shared" si="19"/>
        <v>12</v>
      </c>
      <c r="Y27" s="11">
        <f t="shared" si="19"/>
        <v>12</v>
      </c>
      <c r="Z27" s="11">
        <f t="shared" si="19"/>
        <v>12</v>
      </c>
    </row>
    <row r="28" spans="1:26" ht="12.75" customHeight="1" outlineLevel="1" x14ac:dyDescent="0.25">
      <c r="A28" s="1"/>
      <c r="B28" s="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 outlineLevel="1" x14ac:dyDescent="0.25">
      <c r="A29" s="1"/>
      <c r="B29" s="8" t="s">
        <v>20</v>
      </c>
      <c r="C29" s="17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 outlineLevel="1" x14ac:dyDescent="0.25">
      <c r="A30" s="1"/>
      <c r="B30" s="13" t="s">
        <v>21</v>
      </c>
      <c r="C30" s="11">
        <v>0</v>
      </c>
      <c r="D30" s="11">
        <f t="shared" ref="D30:Z30" si="20">C33</f>
        <v>17</v>
      </c>
      <c r="E30" s="11">
        <f t="shared" si="20"/>
        <v>32</v>
      </c>
      <c r="F30" s="11">
        <f t="shared" si="20"/>
        <v>46</v>
      </c>
      <c r="G30" s="11">
        <f t="shared" si="20"/>
        <v>59</v>
      </c>
      <c r="H30" s="11">
        <f t="shared" si="20"/>
        <v>70</v>
      </c>
      <c r="I30" s="11">
        <f t="shared" si="20"/>
        <v>80</v>
      </c>
      <c r="J30" s="11">
        <f t="shared" si="20"/>
        <v>89</v>
      </c>
      <c r="K30" s="11">
        <f t="shared" si="20"/>
        <v>98</v>
      </c>
      <c r="L30" s="11">
        <f t="shared" si="20"/>
        <v>105</v>
      </c>
      <c r="M30" s="11">
        <f t="shared" si="20"/>
        <v>112</v>
      </c>
      <c r="N30" s="11">
        <f t="shared" si="20"/>
        <v>119</v>
      </c>
      <c r="O30" s="11">
        <f t="shared" si="20"/>
        <v>125</v>
      </c>
      <c r="P30" s="11">
        <f t="shared" si="20"/>
        <v>131</v>
      </c>
      <c r="Q30" s="11">
        <f t="shared" si="20"/>
        <v>137</v>
      </c>
      <c r="R30" s="11">
        <f t="shared" si="20"/>
        <v>143</v>
      </c>
      <c r="S30" s="11">
        <f t="shared" si="20"/>
        <v>148</v>
      </c>
      <c r="T30" s="11">
        <f t="shared" si="20"/>
        <v>153</v>
      </c>
      <c r="U30" s="11">
        <f t="shared" si="20"/>
        <v>159</v>
      </c>
      <c r="V30" s="11">
        <f t="shared" si="20"/>
        <v>164</v>
      </c>
      <c r="W30" s="11">
        <f t="shared" si="20"/>
        <v>169</v>
      </c>
      <c r="X30" s="11">
        <f t="shared" si="20"/>
        <v>173</v>
      </c>
      <c r="Y30" s="11">
        <f t="shared" si="20"/>
        <v>178</v>
      </c>
      <c r="Z30" s="11">
        <f t="shared" si="20"/>
        <v>182</v>
      </c>
    </row>
    <row r="31" spans="1:26" ht="12.75" customHeight="1" outlineLevel="1" x14ac:dyDescent="0.25">
      <c r="A31" s="1"/>
      <c r="B31" s="13" t="s">
        <v>22</v>
      </c>
      <c r="C31" s="11">
        <f t="shared" ref="C31:Z31" si="21">C27+C16</f>
        <v>17</v>
      </c>
      <c r="D31" s="11">
        <f t="shared" si="21"/>
        <v>17</v>
      </c>
      <c r="E31" s="11">
        <f t="shared" si="21"/>
        <v>18</v>
      </c>
      <c r="F31" s="11">
        <f t="shared" si="21"/>
        <v>19</v>
      </c>
      <c r="G31" s="11">
        <f t="shared" si="21"/>
        <v>19</v>
      </c>
      <c r="H31" s="11">
        <f t="shared" si="21"/>
        <v>20</v>
      </c>
      <c r="I31" s="11">
        <f t="shared" si="21"/>
        <v>20</v>
      </c>
      <c r="J31" s="11">
        <f t="shared" si="21"/>
        <v>21</v>
      </c>
      <c r="K31" s="11">
        <f t="shared" si="21"/>
        <v>21</v>
      </c>
      <c r="L31" s="11">
        <f t="shared" si="21"/>
        <v>22</v>
      </c>
      <c r="M31" s="11">
        <f t="shared" si="21"/>
        <v>23</v>
      </c>
      <c r="N31" s="11">
        <f t="shared" si="21"/>
        <v>23</v>
      </c>
      <c r="O31" s="11">
        <f t="shared" si="21"/>
        <v>24</v>
      </c>
      <c r="P31" s="11">
        <f t="shared" si="21"/>
        <v>24</v>
      </c>
      <c r="Q31" s="11">
        <f t="shared" si="21"/>
        <v>25</v>
      </c>
      <c r="R31" s="11">
        <f t="shared" si="21"/>
        <v>25</v>
      </c>
      <c r="S31" s="11">
        <f t="shared" si="21"/>
        <v>26</v>
      </c>
      <c r="T31" s="11">
        <f t="shared" si="21"/>
        <v>27</v>
      </c>
      <c r="U31" s="11">
        <f t="shared" si="21"/>
        <v>27</v>
      </c>
      <c r="V31" s="11">
        <f t="shared" si="21"/>
        <v>28</v>
      </c>
      <c r="W31" s="11">
        <f t="shared" si="21"/>
        <v>28</v>
      </c>
      <c r="X31" s="11">
        <f t="shared" si="21"/>
        <v>29</v>
      </c>
      <c r="Y31" s="11">
        <f t="shared" si="21"/>
        <v>29</v>
      </c>
      <c r="Z31" s="11">
        <f t="shared" si="21"/>
        <v>30</v>
      </c>
    </row>
    <row r="32" spans="1:26" ht="12.75" customHeight="1" outlineLevel="1" x14ac:dyDescent="0.25">
      <c r="A32" s="12">
        <v>0.14000000000000001</v>
      </c>
      <c r="B32" s="13" t="s">
        <v>23</v>
      </c>
      <c r="C32" s="11"/>
      <c r="D32" s="11">
        <f t="shared" ref="D32:Z32" si="22">-ROUND(C33*($A$32),0)</f>
        <v>-2</v>
      </c>
      <c r="E32" s="11">
        <f t="shared" si="22"/>
        <v>-4</v>
      </c>
      <c r="F32" s="11">
        <f t="shared" si="22"/>
        <v>-6</v>
      </c>
      <c r="G32" s="11">
        <f t="shared" si="22"/>
        <v>-8</v>
      </c>
      <c r="H32" s="11">
        <f t="shared" si="22"/>
        <v>-10</v>
      </c>
      <c r="I32" s="11">
        <f t="shared" si="22"/>
        <v>-11</v>
      </c>
      <c r="J32" s="11">
        <f t="shared" si="22"/>
        <v>-12</v>
      </c>
      <c r="K32" s="11">
        <f t="shared" si="22"/>
        <v>-14</v>
      </c>
      <c r="L32" s="11">
        <f t="shared" si="22"/>
        <v>-15</v>
      </c>
      <c r="M32" s="11">
        <f t="shared" si="22"/>
        <v>-16</v>
      </c>
      <c r="N32" s="11">
        <f t="shared" si="22"/>
        <v>-17</v>
      </c>
      <c r="O32" s="11">
        <f t="shared" si="22"/>
        <v>-18</v>
      </c>
      <c r="P32" s="11">
        <f t="shared" si="22"/>
        <v>-18</v>
      </c>
      <c r="Q32" s="11">
        <f t="shared" si="22"/>
        <v>-19</v>
      </c>
      <c r="R32" s="11">
        <f t="shared" si="22"/>
        <v>-20</v>
      </c>
      <c r="S32" s="11">
        <f t="shared" si="22"/>
        <v>-21</v>
      </c>
      <c r="T32" s="11">
        <f t="shared" si="22"/>
        <v>-21</v>
      </c>
      <c r="U32" s="11">
        <f t="shared" si="22"/>
        <v>-22</v>
      </c>
      <c r="V32" s="11">
        <f t="shared" si="22"/>
        <v>-23</v>
      </c>
      <c r="W32" s="11">
        <f t="shared" si="22"/>
        <v>-24</v>
      </c>
      <c r="X32" s="11">
        <f t="shared" si="22"/>
        <v>-24</v>
      </c>
      <c r="Y32" s="11">
        <f t="shared" si="22"/>
        <v>-25</v>
      </c>
      <c r="Z32" s="11">
        <f t="shared" si="22"/>
        <v>-25</v>
      </c>
    </row>
    <row r="33" spans="1:26" ht="12.75" customHeight="1" outlineLevel="1" x14ac:dyDescent="0.2">
      <c r="A33" s="4"/>
      <c r="B33" s="8" t="s">
        <v>24</v>
      </c>
      <c r="C33" s="9">
        <f t="shared" ref="C33:Z33" si="23">SUM(C30:C32)</f>
        <v>17</v>
      </c>
      <c r="D33" s="9">
        <f t="shared" si="23"/>
        <v>32</v>
      </c>
      <c r="E33" s="9">
        <f t="shared" si="23"/>
        <v>46</v>
      </c>
      <c r="F33" s="9">
        <f t="shared" si="23"/>
        <v>59</v>
      </c>
      <c r="G33" s="9">
        <f t="shared" si="23"/>
        <v>70</v>
      </c>
      <c r="H33" s="9">
        <f t="shared" si="23"/>
        <v>80</v>
      </c>
      <c r="I33" s="9">
        <f t="shared" si="23"/>
        <v>89</v>
      </c>
      <c r="J33" s="9">
        <f t="shared" si="23"/>
        <v>98</v>
      </c>
      <c r="K33" s="9">
        <f t="shared" si="23"/>
        <v>105</v>
      </c>
      <c r="L33" s="9">
        <f t="shared" si="23"/>
        <v>112</v>
      </c>
      <c r="M33" s="9">
        <f t="shared" si="23"/>
        <v>119</v>
      </c>
      <c r="N33" s="9">
        <f t="shared" si="23"/>
        <v>125</v>
      </c>
      <c r="O33" s="9">
        <f t="shared" si="23"/>
        <v>131</v>
      </c>
      <c r="P33" s="9">
        <f t="shared" si="23"/>
        <v>137</v>
      </c>
      <c r="Q33" s="9">
        <f t="shared" si="23"/>
        <v>143</v>
      </c>
      <c r="R33" s="9">
        <f t="shared" si="23"/>
        <v>148</v>
      </c>
      <c r="S33" s="9">
        <f t="shared" si="23"/>
        <v>153</v>
      </c>
      <c r="T33" s="9">
        <f t="shared" si="23"/>
        <v>159</v>
      </c>
      <c r="U33" s="9">
        <f t="shared" si="23"/>
        <v>164</v>
      </c>
      <c r="V33" s="9">
        <f t="shared" si="23"/>
        <v>169</v>
      </c>
      <c r="W33" s="9">
        <f t="shared" si="23"/>
        <v>173</v>
      </c>
      <c r="X33" s="9">
        <f t="shared" si="23"/>
        <v>178</v>
      </c>
      <c r="Y33" s="9">
        <f t="shared" si="23"/>
        <v>182</v>
      </c>
      <c r="Z33" s="9">
        <f t="shared" si="23"/>
        <v>187</v>
      </c>
    </row>
    <row r="34" spans="1:26" ht="12.75" customHeight="1" outlineLevel="1" x14ac:dyDescent="0.25">
      <c r="A34" s="1"/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 outlineLevel="1" x14ac:dyDescent="0.25">
      <c r="A35" s="1"/>
      <c r="B35" s="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 outlineLevel="1" x14ac:dyDescent="0.2">
      <c r="A36" s="4"/>
      <c r="B36" s="4" t="s">
        <v>25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.75" customHeight="1" outlineLevel="1" x14ac:dyDescent="0.25">
      <c r="A37" s="12">
        <v>0.7</v>
      </c>
      <c r="B37" s="13" t="s">
        <v>26</v>
      </c>
      <c r="C37" s="11">
        <f t="shared" ref="C37:Z37" si="24">ROUNDDOWN(C33*$A37,0)</f>
        <v>11</v>
      </c>
      <c r="D37" s="11">
        <f t="shared" si="24"/>
        <v>22</v>
      </c>
      <c r="E37" s="11">
        <f t="shared" si="24"/>
        <v>32</v>
      </c>
      <c r="F37" s="11">
        <f t="shared" si="24"/>
        <v>41</v>
      </c>
      <c r="G37" s="11">
        <f t="shared" si="24"/>
        <v>49</v>
      </c>
      <c r="H37" s="11">
        <f t="shared" si="24"/>
        <v>56</v>
      </c>
      <c r="I37" s="11">
        <f t="shared" si="24"/>
        <v>62</v>
      </c>
      <c r="J37" s="11">
        <f t="shared" si="24"/>
        <v>68</v>
      </c>
      <c r="K37" s="11">
        <f t="shared" si="24"/>
        <v>73</v>
      </c>
      <c r="L37" s="11">
        <f t="shared" si="24"/>
        <v>78</v>
      </c>
      <c r="M37" s="11">
        <f t="shared" si="24"/>
        <v>83</v>
      </c>
      <c r="N37" s="11">
        <f t="shared" si="24"/>
        <v>87</v>
      </c>
      <c r="O37" s="11">
        <f t="shared" si="24"/>
        <v>91</v>
      </c>
      <c r="P37" s="11">
        <f t="shared" si="24"/>
        <v>95</v>
      </c>
      <c r="Q37" s="11">
        <f t="shared" si="24"/>
        <v>100</v>
      </c>
      <c r="R37" s="11">
        <f t="shared" si="24"/>
        <v>103</v>
      </c>
      <c r="S37" s="11">
        <f t="shared" si="24"/>
        <v>107</v>
      </c>
      <c r="T37" s="11">
        <f t="shared" si="24"/>
        <v>111</v>
      </c>
      <c r="U37" s="11">
        <f t="shared" si="24"/>
        <v>114</v>
      </c>
      <c r="V37" s="11">
        <f t="shared" si="24"/>
        <v>118</v>
      </c>
      <c r="W37" s="11">
        <f t="shared" si="24"/>
        <v>121</v>
      </c>
      <c r="X37" s="11">
        <f t="shared" si="24"/>
        <v>124</v>
      </c>
      <c r="Y37" s="11">
        <f t="shared" si="24"/>
        <v>127</v>
      </c>
      <c r="Z37" s="11">
        <f t="shared" si="24"/>
        <v>130</v>
      </c>
    </row>
    <row r="38" spans="1:26" ht="12.75" customHeight="1" outlineLevel="1" x14ac:dyDescent="0.25">
      <c r="A38" s="18">
        <f>100%-A37</f>
        <v>0.30000000000000004</v>
      </c>
      <c r="B38" s="13" t="s">
        <v>27</v>
      </c>
      <c r="C38" s="11">
        <f t="shared" ref="C38:Z38" si="25">C33-C37</f>
        <v>6</v>
      </c>
      <c r="D38" s="11">
        <f t="shared" si="25"/>
        <v>10</v>
      </c>
      <c r="E38" s="11">
        <f t="shared" si="25"/>
        <v>14</v>
      </c>
      <c r="F38" s="11">
        <f t="shared" si="25"/>
        <v>18</v>
      </c>
      <c r="G38" s="11">
        <f t="shared" si="25"/>
        <v>21</v>
      </c>
      <c r="H38" s="11">
        <f t="shared" si="25"/>
        <v>24</v>
      </c>
      <c r="I38" s="11">
        <f t="shared" si="25"/>
        <v>27</v>
      </c>
      <c r="J38" s="11">
        <f t="shared" si="25"/>
        <v>30</v>
      </c>
      <c r="K38" s="11">
        <f t="shared" si="25"/>
        <v>32</v>
      </c>
      <c r="L38" s="11">
        <f t="shared" si="25"/>
        <v>34</v>
      </c>
      <c r="M38" s="11">
        <f t="shared" si="25"/>
        <v>36</v>
      </c>
      <c r="N38" s="11">
        <f t="shared" si="25"/>
        <v>38</v>
      </c>
      <c r="O38" s="11">
        <f t="shared" si="25"/>
        <v>40</v>
      </c>
      <c r="P38" s="11">
        <f t="shared" si="25"/>
        <v>42</v>
      </c>
      <c r="Q38" s="11">
        <f t="shared" si="25"/>
        <v>43</v>
      </c>
      <c r="R38" s="11">
        <f t="shared" si="25"/>
        <v>45</v>
      </c>
      <c r="S38" s="11">
        <f t="shared" si="25"/>
        <v>46</v>
      </c>
      <c r="T38" s="11">
        <f t="shared" si="25"/>
        <v>48</v>
      </c>
      <c r="U38" s="11">
        <f t="shared" si="25"/>
        <v>50</v>
      </c>
      <c r="V38" s="11">
        <f t="shared" si="25"/>
        <v>51</v>
      </c>
      <c r="W38" s="11">
        <f t="shared" si="25"/>
        <v>52</v>
      </c>
      <c r="X38" s="11">
        <f t="shared" si="25"/>
        <v>54</v>
      </c>
      <c r="Y38" s="11">
        <f t="shared" si="25"/>
        <v>55</v>
      </c>
      <c r="Z38" s="11">
        <f t="shared" si="25"/>
        <v>57</v>
      </c>
    </row>
    <row r="39" spans="1:26" ht="12.75" customHeight="1" outlineLevel="1" x14ac:dyDescent="0.25">
      <c r="A39" s="14">
        <f>SUM(A37:A38)</f>
        <v>1</v>
      </c>
      <c r="B39" s="1" t="s">
        <v>11</v>
      </c>
      <c r="C39" s="11">
        <f t="shared" ref="C39:Z39" si="26">SUM(C37:C38)</f>
        <v>17</v>
      </c>
      <c r="D39" s="11">
        <f t="shared" si="26"/>
        <v>32</v>
      </c>
      <c r="E39" s="11">
        <f t="shared" si="26"/>
        <v>46</v>
      </c>
      <c r="F39" s="11">
        <f t="shared" si="26"/>
        <v>59</v>
      </c>
      <c r="G39" s="11">
        <f t="shared" si="26"/>
        <v>70</v>
      </c>
      <c r="H39" s="11">
        <f t="shared" si="26"/>
        <v>80</v>
      </c>
      <c r="I39" s="11">
        <f t="shared" si="26"/>
        <v>89</v>
      </c>
      <c r="J39" s="11">
        <f t="shared" si="26"/>
        <v>98</v>
      </c>
      <c r="K39" s="11">
        <f t="shared" si="26"/>
        <v>105</v>
      </c>
      <c r="L39" s="11">
        <f t="shared" si="26"/>
        <v>112</v>
      </c>
      <c r="M39" s="11">
        <f t="shared" si="26"/>
        <v>119</v>
      </c>
      <c r="N39" s="11">
        <f t="shared" si="26"/>
        <v>125</v>
      </c>
      <c r="O39" s="11">
        <f t="shared" si="26"/>
        <v>131</v>
      </c>
      <c r="P39" s="11">
        <f t="shared" si="26"/>
        <v>137</v>
      </c>
      <c r="Q39" s="11">
        <f t="shared" si="26"/>
        <v>143</v>
      </c>
      <c r="R39" s="11">
        <f t="shared" si="26"/>
        <v>148</v>
      </c>
      <c r="S39" s="11">
        <f t="shared" si="26"/>
        <v>153</v>
      </c>
      <c r="T39" s="11">
        <f t="shared" si="26"/>
        <v>159</v>
      </c>
      <c r="U39" s="11">
        <f t="shared" si="26"/>
        <v>164</v>
      </c>
      <c r="V39" s="11">
        <f t="shared" si="26"/>
        <v>169</v>
      </c>
      <c r="W39" s="11">
        <f t="shared" si="26"/>
        <v>173</v>
      </c>
      <c r="X39" s="11">
        <f t="shared" si="26"/>
        <v>178</v>
      </c>
      <c r="Y39" s="11">
        <f t="shared" si="26"/>
        <v>182</v>
      </c>
      <c r="Z39" s="11">
        <f t="shared" si="26"/>
        <v>187</v>
      </c>
    </row>
    <row r="40" spans="1:26" ht="12.75" customHeight="1" outlineLevel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4"/>
      <c r="B41" s="4" t="s">
        <v>28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10">
        <v>9900</v>
      </c>
      <c r="B42" s="13" t="s">
        <v>29</v>
      </c>
      <c r="C42" s="11">
        <f t="shared" ref="C42:Z42" si="27">$A$42*C43</f>
        <v>108900</v>
      </c>
      <c r="D42" s="11">
        <f t="shared" si="27"/>
        <v>217800</v>
      </c>
      <c r="E42" s="11">
        <f t="shared" si="27"/>
        <v>316800</v>
      </c>
      <c r="F42" s="11">
        <f t="shared" si="27"/>
        <v>405900</v>
      </c>
      <c r="G42" s="11">
        <f t="shared" si="27"/>
        <v>485100</v>
      </c>
      <c r="H42" s="11">
        <f t="shared" si="27"/>
        <v>554400</v>
      </c>
      <c r="I42" s="11">
        <f t="shared" si="27"/>
        <v>613800</v>
      </c>
      <c r="J42" s="11">
        <f t="shared" si="27"/>
        <v>673200</v>
      </c>
      <c r="K42" s="11">
        <f t="shared" si="27"/>
        <v>722700</v>
      </c>
      <c r="L42" s="11">
        <f t="shared" si="27"/>
        <v>772200</v>
      </c>
      <c r="M42" s="11">
        <f t="shared" si="27"/>
        <v>821700</v>
      </c>
      <c r="N42" s="11">
        <f t="shared" si="27"/>
        <v>861300</v>
      </c>
      <c r="O42" s="11">
        <f t="shared" si="27"/>
        <v>900900</v>
      </c>
      <c r="P42" s="11">
        <f t="shared" si="27"/>
        <v>940500</v>
      </c>
      <c r="Q42" s="11">
        <f t="shared" si="27"/>
        <v>990000</v>
      </c>
      <c r="R42" s="11">
        <f t="shared" si="27"/>
        <v>1019700</v>
      </c>
      <c r="S42" s="11">
        <f t="shared" si="27"/>
        <v>1059300</v>
      </c>
      <c r="T42" s="11">
        <f t="shared" si="27"/>
        <v>1098900</v>
      </c>
      <c r="U42" s="11">
        <f t="shared" si="27"/>
        <v>1128600</v>
      </c>
      <c r="V42" s="11">
        <f t="shared" si="27"/>
        <v>1168200</v>
      </c>
      <c r="W42" s="11">
        <f t="shared" si="27"/>
        <v>1197900</v>
      </c>
      <c r="X42" s="11">
        <f t="shared" si="27"/>
        <v>1227600</v>
      </c>
      <c r="Y42" s="11">
        <f t="shared" si="27"/>
        <v>1257300</v>
      </c>
      <c r="Z42" s="11">
        <f t="shared" si="27"/>
        <v>1287000</v>
      </c>
    </row>
    <row r="43" spans="1:26" ht="12.75" customHeight="1" x14ac:dyDescent="0.25">
      <c r="A43" s="1"/>
      <c r="B43" s="13" t="s">
        <v>30</v>
      </c>
      <c r="C43" s="11">
        <f t="shared" ref="C43:Z43" si="28">C37</f>
        <v>11</v>
      </c>
      <c r="D43" s="11">
        <f t="shared" si="28"/>
        <v>22</v>
      </c>
      <c r="E43" s="11">
        <f t="shared" si="28"/>
        <v>32</v>
      </c>
      <c r="F43" s="11">
        <f t="shared" si="28"/>
        <v>41</v>
      </c>
      <c r="G43" s="11">
        <f t="shared" si="28"/>
        <v>49</v>
      </c>
      <c r="H43" s="11">
        <f t="shared" si="28"/>
        <v>56</v>
      </c>
      <c r="I43" s="11">
        <f t="shared" si="28"/>
        <v>62</v>
      </c>
      <c r="J43" s="11">
        <f t="shared" si="28"/>
        <v>68</v>
      </c>
      <c r="K43" s="11">
        <f t="shared" si="28"/>
        <v>73</v>
      </c>
      <c r="L43" s="11">
        <f t="shared" si="28"/>
        <v>78</v>
      </c>
      <c r="M43" s="11">
        <f t="shared" si="28"/>
        <v>83</v>
      </c>
      <c r="N43" s="11">
        <f t="shared" si="28"/>
        <v>87</v>
      </c>
      <c r="O43" s="11">
        <f t="shared" si="28"/>
        <v>91</v>
      </c>
      <c r="P43" s="11">
        <f t="shared" si="28"/>
        <v>95</v>
      </c>
      <c r="Q43" s="11">
        <f t="shared" si="28"/>
        <v>100</v>
      </c>
      <c r="R43" s="11">
        <f t="shared" si="28"/>
        <v>103</v>
      </c>
      <c r="S43" s="11">
        <f t="shared" si="28"/>
        <v>107</v>
      </c>
      <c r="T43" s="11">
        <f t="shared" si="28"/>
        <v>111</v>
      </c>
      <c r="U43" s="11">
        <f t="shared" si="28"/>
        <v>114</v>
      </c>
      <c r="V43" s="11">
        <f t="shared" si="28"/>
        <v>118</v>
      </c>
      <c r="W43" s="11">
        <f t="shared" si="28"/>
        <v>121</v>
      </c>
      <c r="X43" s="11">
        <f t="shared" si="28"/>
        <v>124</v>
      </c>
      <c r="Y43" s="11">
        <f t="shared" si="28"/>
        <v>127</v>
      </c>
      <c r="Z43" s="11">
        <f t="shared" si="28"/>
        <v>130</v>
      </c>
    </row>
    <row r="44" spans="1:26" ht="12.75" customHeight="1" x14ac:dyDescent="0.25">
      <c r="A44" s="10">
        <v>19900</v>
      </c>
      <c r="B44" s="13" t="s">
        <v>31</v>
      </c>
      <c r="C44" s="11">
        <f t="shared" ref="C44:Z44" si="29">$A$44*C45</f>
        <v>119400</v>
      </c>
      <c r="D44" s="11">
        <f t="shared" si="29"/>
        <v>199000</v>
      </c>
      <c r="E44" s="11">
        <f t="shared" si="29"/>
        <v>278600</v>
      </c>
      <c r="F44" s="11">
        <f t="shared" si="29"/>
        <v>358200</v>
      </c>
      <c r="G44" s="11">
        <f t="shared" si="29"/>
        <v>417900</v>
      </c>
      <c r="H44" s="11">
        <f t="shared" si="29"/>
        <v>477600</v>
      </c>
      <c r="I44" s="11">
        <f t="shared" si="29"/>
        <v>537300</v>
      </c>
      <c r="J44" s="11">
        <f t="shared" si="29"/>
        <v>597000</v>
      </c>
      <c r="K44" s="11">
        <f t="shared" si="29"/>
        <v>636800</v>
      </c>
      <c r="L44" s="11">
        <f t="shared" si="29"/>
        <v>676600</v>
      </c>
      <c r="M44" s="11">
        <f t="shared" si="29"/>
        <v>716400</v>
      </c>
      <c r="N44" s="11">
        <f t="shared" si="29"/>
        <v>756200</v>
      </c>
      <c r="O44" s="11">
        <f t="shared" si="29"/>
        <v>796000</v>
      </c>
      <c r="P44" s="11">
        <f t="shared" si="29"/>
        <v>835800</v>
      </c>
      <c r="Q44" s="11">
        <f t="shared" si="29"/>
        <v>855700</v>
      </c>
      <c r="R44" s="11">
        <f t="shared" si="29"/>
        <v>895500</v>
      </c>
      <c r="S44" s="11">
        <f t="shared" si="29"/>
        <v>915400</v>
      </c>
      <c r="T44" s="11">
        <f t="shared" si="29"/>
        <v>955200</v>
      </c>
      <c r="U44" s="11">
        <f t="shared" si="29"/>
        <v>995000</v>
      </c>
      <c r="V44" s="11">
        <f t="shared" si="29"/>
        <v>1014900</v>
      </c>
      <c r="W44" s="11">
        <f t="shared" si="29"/>
        <v>1034800</v>
      </c>
      <c r="X44" s="11">
        <f t="shared" si="29"/>
        <v>1074600</v>
      </c>
      <c r="Y44" s="11">
        <f t="shared" si="29"/>
        <v>1094500</v>
      </c>
      <c r="Z44" s="11">
        <f t="shared" si="29"/>
        <v>1134300</v>
      </c>
    </row>
    <row r="45" spans="1:26" ht="12.75" customHeight="1" x14ac:dyDescent="0.25">
      <c r="A45" s="1"/>
      <c r="B45" s="13" t="s">
        <v>30</v>
      </c>
      <c r="C45" s="11">
        <f t="shared" ref="C45:Z45" si="30">C38</f>
        <v>6</v>
      </c>
      <c r="D45" s="11">
        <f t="shared" si="30"/>
        <v>10</v>
      </c>
      <c r="E45" s="11">
        <f t="shared" si="30"/>
        <v>14</v>
      </c>
      <c r="F45" s="11">
        <f t="shared" si="30"/>
        <v>18</v>
      </c>
      <c r="G45" s="11">
        <f t="shared" si="30"/>
        <v>21</v>
      </c>
      <c r="H45" s="11">
        <f t="shared" si="30"/>
        <v>24</v>
      </c>
      <c r="I45" s="11">
        <f t="shared" si="30"/>
        <v>27</v>
      </c>
      <c r="J45" s="11">
        <f t="shared" si="30"/>
        <v>30</v>
      </c>
      <c r="K45" s="11">
        <f t="shared" si="30"/>
        <v>32</v>
      </c>
      <c r="L45" s="11">
        <f t="shared" si="30"/>
        <v>34</v>
      </c>
      <c r="M45" s="11">
        <f t="shared" si="30"/>
        <v>36</v>
      </c>
      <c r="N45" s="11">
        <f t="shared" si="30"/>
        <v>38</v>
      </c>
      <c r="O45" s="11">
        <f t="shared" si="30"/>
        <v>40</v>
      </c>
      <c r="P45" s="11">
        <f t="shared" si="30"/>
        <v>42</v>
      </c>
      <c r="Q45" s="11">
        <f t="shared" si="30"/>
        <v>43</v>
      </c>
      <c r="R45" s="11">
        <f t="shared" si="30"/>
        <v>45</v>
      </c>
      <c r="S45" s="11">
        <f t="shared" si="30"/>
        <v>46</v>
      </c>
      <c r="T45" s="11">
        <f t="shared" si="30"/>
        <v>48</v>
      </c>
      <c r="U45" s="11">
        <f t="shared" si="30"/>
        <v>50</v>
      </c>
      <c r="V45" s="11">
        <f t="shared" si="30"/>
        <v>51</v>
      </c>
      <c r="W45" s="11">
        <f t="shared" si="30"/>
        <v>52</v>
      </c>
      <c r="X45" s="11">
        <f t="shared" si="30"/>
        <v>54</v>
      </c>
      <c r="Y45" s="11">
        <f t="shared" si="30"/>
        <v>55</v>
      </c>
      <c r="Z45" s="11">
        <f t="shared" si="30"/>
        <v>57</v>
      </c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5" t="s">
        <v>32</v>
      </c>
      <c r="C47" s="6">
        <f t="shared" ref="C47:Z47" si="31">SUM(C50:C57)</f>
        <v>302630</v>
      </c>
      <c r="D47" s="6">
        <f t="shared" si="31"/>
        <v>312630</v>
      </c>
      <c r="E47" s="6">
        <f t="shared" si="31"/>
        <v>322630</v>
      </c>
      <c r="F47" s="6">
        <f t="shared" si="31"/>
        <v>332630</v>
      </c>
      <c r="G47" s="6">
        <f t="shared" si="31"/>
        <v>342630</v>
      </c>
      <c r="H47" s="6">
        <f t="shared" si="31"/>
        <v>352630</v>
      </c>
      <c r="I47" s="6">
        <f t="shared" si="31"/>
        <v>362630</v>
      </c>
      <c r="J47" s="6">
        <f t="shared" si="31"/>
        <v>372630</v>
      </c>
      <c r="K47" s="6">
        <f t="shared" si="31"/>
        <v>382630</v>
      </c>
      <c r="L47" s="6">
        <f t="shared" si="31"/>
        <v>392630</v>
      </c>
      <c r="M47" s="6">
        <f t="shared" si="31"/>
        <v>402630</v>
      </c>
      <c r="N47" s="6">
        <f t="shared" si="31"/>
        <v>412630</v>
      </c>
      <c r="O47" s="6">
        <f t="shared" si="31"/>
        <v>422630</v>
      </c>
      <c r="P47" s="6">
        <f t="shared" si="31"/>
        <v>432630</v>
      </c>
      <c r="Q47" s="6">
        <f t="shared" si="31"/>
        <v>442630</v>
      </c>
      <c r="R47" s="6">
        <f t="shared" si="31"/>
        <v>452630</v>
      </c>
      <c r="S47" s="6">
        <f t="shared" si="31"/>
        <v>462630</v>
      </c>
      <c r="T47" s="6">
        <f t="shared" si="31"/>
        <v>472630</v>
      </c>
      <c r="U47" s="6">
        <f t="shared" si="31"/>
        <v>482630</v>
      </c>
      <c r="V47" s="6">
        <f t="shared" si="31"/>
        <v>492630</v>
      </c>
      <c r="W47" s="6">
        <f t="shared" si="31"/>
        <v>502630</v>
      </c>
      <c r="X47" s="6">
        <f t="shared" si="31"/>
        <v>512630</v>
      </c>
      <c r="Y47" s="6">
        <f t="shared" si="31"/>
        <v>522630</v>
      </c>
      <c r="Z47" s="6">
        <f t="shared" si="31"/>
        <v>532630</v>
      </c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9">
        <v>1</v>
      </c>
      <c r="B49" s="1" t="s">
        <v>33</v>
      </c>
      <c r="C49" s="11">
        <f t="shared" ref="C49:Z49" si="32">$A$49</f>
        <v>1</v>
      </c>
      <c r="D49" s="11">
        <f t="shared" si="32"/>
        <v>1</v>
      </c>
      <c r="E49" s="11">
        <f t="shared" si="32"/>
        <v>1</v>
      </c>
      <c r="F49" s="11">
        <f t="shared" si="32"/>
        <v>1</v>
      </c>
      <c r="G49" s="11">
        <f t="shared" si="32"/>
        <v>1</v>
      </c>
      <c r="H49" s="11">
        <f t="shared" si="32"/>
        <v>1</v>
      </c>
      <c r="I49" s="11">
        <f t="shared" si="32"/>
        <v>1</v>
      </c>
      <c r="J49" s="11">
        <f t="shared" si="32"/>
        <v>1</v>
      </c>
      <c r="K49" s="11">
        <f t="shared" si="32"/>
        <v>1</v>
      </c>
      <c r="L49" s="11">
        <f t="shared" si="32"/>
        <v>1</v>
      </c>
      <c r="M49" s="11">
        <f t="shared" si="32"/>
        <v>1</v>
      </c>
      <c r="N49" s="11">
        <f t="shared" si="32"/>
        <v>1</v>
      </c>
      <c r="O49" s="11">
        <f t="shared" si="32"/>
        <v>1</v>
      </c>
      <c r="P49" s="11">
        <f t="shared" si="32"/>
        <v>1</v>
      </c>
      <c r="Q49" s="11">
        <f t="shared" si="32"/>
        <v>1</v>
      </c>
      <c r="R49" s="11">
        <f t="shared" si="32"/>
        <v>1</v>
      </c>
      <c r="S49" s="11">
        <f t="shared" si="32"/>
        <v>1</v>
      </c>
      <c r="T49" s="11">
        <f t="shared" si="32"/>
        <v>1</v>
      </c>
      <c r="U49" s="11">
        <f t="shared" si="32"/>
        <v>1</v>
      </c>
      <c r="V49" s="11">
        <f t="shared" si="32"/>
        <v>1</v>
      </c>
      <c r="W49" s="11">
        <f t="shared" si="32"/>
        <v>1</v>
      </c>
      <c r="X49" s="11">
        <f t="shared" si="32"/>
        <v>1</v>
      </c>
      <c r="Y49" s="11">
        <f t="shared" si="32"/>
        <v>1</v>
      </c>
      <c r="Z49" s="11">
        <f t="shared" si="32"/>
        <v>1</v>
      </c>
    </row>
    <row r="50" spans="1:26" ht="12.75" customHeight="1" x14ac:dyDescent="0.25">
      <c r="A50" s="19">
        <v>60000</v>
      </c>
      <c r="B50" s="1" t="s">
        <v>34</v>
      </c>
      <c r="C50" s="11">
        <f t="shared" ref="C50:Z50" si="33">$A$50*C49</f>
        <v>60000</v>
      </c>
      <c r="D50" s="11">
        <f t="shared" si="33"/>
        <v>60000</v>
      </c>
      <c r="E50" s="11">
        <f t="shared" si="33"/>
        <v>60000</v>
      </c>
      <c r="F50" s="11">
        <f t="shared" si="33"/>
        <v>60000</v>
      </c>
      <c r="G50" s="11">
        <f t="shared" si="33"/>
        <v>60000</v>
      </c>
      <c r="H50" s="11">
        <f t="shared" si="33"/>
        <v>60000</v>
      </c>
      <c r="I50" s="11">
        <f t="shared" si="33"/>
        <v>60000</v>
      </c>
      <c r="J50" s="11">
        <f t="shared" si="33"/>
        <v>60000</v>
      </c>
      <c r="K50" s="11">
        <f t="shared" si="33"/>
        <v>60000</v>
      </c>
      <c r="L50" s="11">
        <f t="shared" si="33"/>
        <v>60000</v>
      </c>
      <c r="M50" s="11">
        <f t="shared" si="33"/>
        <v>60000</v>
      </c>
      <c r="N50" s="11">
        <f t="shared" si="33"/>
        <v>60000</v>
      </c>
      <c r="O50" s="11">
        <f t="shared" si="33"/>
        <v>60000</v>
      </c>
      <c r="P50" s="11">
        <f t="shared" si="33"/>
        <v>60000</v>
      </c>
      <c r="Q50" s="11">
        <f t="shared" si="33"/>
        <v>60000</v>
      </c>
      <c r="R50" s="11">
        <f t="shared" si="33"/>
        <v>60000</v>
      </c>
      <c r="S50" s="11">
        <f t="shared" si="33"/>
        <v>60000</v>
      </c>
      <c r="T50" s="11">
        <f t="shared" si="33"/>
        <v>60000</v>
      </c>
      <c r="U50" s="11">
        <f t="shared" si="33"/>
        <v>60000</v>
      </c>
      <c r="V50" s="11">
        <f t="shared" si="33"/>
        <v>60000</v>
      </c>
      <c r="W50" s="11">
        <f t="shared" si="33"/>
        <v>60000</v>
      </c>
      <c r="X50" s="11">
        <f t="shared" si="33"/>
        <v>60000</v>
      </c>
      <c r="Y50" s="11">
        <f t="shared" si="33"/>
        <v>60000</v>
      </c>
      <c r="Z50" s="11">
        <f t="shared" si="33"/>
        <v>60000</v>
      </c>
    </row>
    <row r="51" spans="1:26" ht="12.75" customHeight="1" x14ac:dyDescent="0.25">
      <c r="A51" s="20">
        <v>0.13</v>
      </c>
      <c r="B51" s="1" t="s">
        <v>35</v>
      </c>
      <c r="C51" s="11">
        <f t="shared" ref="C51:Z51" si="34">C50*$A$51</f>
        <v>7800</v>
      </c>
      <c r="D51" s="11">
        <f t="shared" si="34"/>
        <v>7800</v>
      </c>
      <c r="E51" s="11">
        <f t="shared" si="34"/>
        <v>7800</v>
      </c>
      <c r="F51" s="11">
        <f t="shared" si="34"/>
        <v>7800</v>
      </c>
      <c r="G51" s="11">
        <f t="shared" si="34"/>
        <v>7800</v>
      </c>
      <c r="H51" s="11">
        <f t="shared" si="34"/>
        <v>7800</v>
      </c>
      <c r="I51" s="11">
        <f t="shared" si="34"/>
        <v>7800</v>
      </c>
      <c r="J51" s="11">
        <f t="shared" si="34"/>
        <v>7800</v>
      </c>
      <c r="K51" s="11">
        <f t="shared" si="34"/>
        <v>7800</v>
      </c>
      <c r="L51" s="11">
        <f t="shared" si="34"/>
        <v>7800</v>
      </c>
      <c r="M51" s="11">
        <f t="shared" si="34"/>
        <v>7800</v>
      </c>
      <c r="N51" s="11">
        <f t="shared" si="34"/>
        <v>7800</v>
      </c>
      <c r="O51" s="11">
        <f t="shared" si="34"/>
        <v>7800</v>
      </c>
      <c r="P51" s="11">
        <f t="shared" si="34"/>
        <v>7800</v>
      </c>
      <c r="Q51" s="11">
        <f t="shared" si="34"/>
        <v>7800</v>
      </c>
      <c r="R51" s="11">
        <f t="shared" si="34"/>
        <v>7800</v>
      </c>
      <c r="S51" s="11">
        <f t="shared" si="34"/>
        <v>7800</v>
      </c>
      <c r="T51" s="11">
        <f t="shared" si="34"/>
        <v>7800</v>
      </c>
      <c r="U51" s="11">
        <f t="shared" si="34"/>
        <v>7800</v>
      </c>
      <c r="V51" s="11">
        <f t="shared" si="34"/>
        <v>7800</v>
      </c>
      <c r="W51" s="11">
        <f t="shared" si="34"/>
        <v>7800</v>
      </c>
      <c r="X51" s="11">
        <f t="shared" si="34"/>
        <v>7800</v>
      </c>
      <c r="Y51" s="11">
        <f t="shared" si="34"/>
        <v>7800</v>
      </c>
      <c r="Z51" s="11">
        <f t="shared" si="34"/>
        <v>7800</v>
      </c>
    </row>
    <row r="52" spans="1:26" ht="12.75" customHeight="1" x14ac:dyDescent="0.25">
      <c r="A52" s="20">
        <v>0.3</v>
      </c>
      <c r="B52" s="1" t="s">
        <v>36</v>
      </c>
      <c r="C52" s="11">
        <f t="shared" ref="C52:Z52" si="35">C50*$A$52</f>
        <v>18000</v>
      </c>
      <c r="D52" s="11">
        <f t="shared" si="35"/>
        <v>18000</v>
      </c>
      <c r="E52" s="11">
        <f t="shared" si="35"/>
        <v>18000</v>
      </c>
      <c r="F52" s="11">
        <f t="shared" si="35"/>
        <v>18000</v>
      </c>
      <c r="G52" s="11">
        <f t="shared" si="35"/>
        <v>18000</v>
      </c>
      <c r="H52" s="11">
        <f t="shared" si="35"/>
        <v>18000</v>
      </c>
      <c r="I52" s="11">
        <f t="shared" si="35"/>
        <v>18000</v>
      </c>
      <c r="J52" s="11">
        <f t="shared" si="35"/>
        <v>18000</v>
      </c>
      <c r="K52" s="11">
        <f t="shared" si="35"/>
        <v>18000</v>
      </c>
      <c r="L52" s="11">
        <f t="shared" si="35"/>
        <v>18000</v>
      </c>
      <c r="M52" s="11">
        <f t="shared" si="35"/>
        <v>18000</v>
      </c>
      <c r="N52" s="11">
        <f t="shared" si="35"/>
        <v>18000</v>
      </c>
      <c r="O52" s="11">
        <f t="shared" si="35"/>
        <v>18000</v>
      </c>
      <c r="P52" s="11">
        <f t="shared" si="35"/>
        <v>18000</v>
      </c>
      <c r="Q52" s="11">
        <f t="shared" si="35"/>
        <v>18000</v>
      </c>
      <c r="R52" s="11">
        <f t="shared" si="35"/>
        <v>18000</v>
      </c>
      <c r="S52" s="11">
        <f t="shared" si="35"/>
        <v>18000</v>
      </c>
      <c r="T52" s="11">
        <f t="shared" si="35"/>
        <v>18000</v>
      </c>
      <c r="U52" s="11">
        <f t="shared" si="35"/>
        <v>18000</v>
      </c>
      <c r="V52" s="11">
        <f t="shared" si="35"/>
        <v>18000</v>
      </c>
      <c r="W52" s="11">
        <f t="shared" si="35"/>
        <v>18000</v>
      </c>
      <c r="X52" s="11">
        <f t="shared" si="35"/>
        <v>18000</v>
      </c>
      <c r="Y52" s="11">
        <f t="shared" si="35"/>
        <v>18000</v>
      </c>
      <c r="Z52" s="11">
        <f t="shared" si="35"/>
        <v>18000</v>
      </c>
    </row>
    <row r="53" spans="1:26" ht="12.75" customHeight="1" x14ac:dyDescent="0.25">
      <c r="A53" s="19">
        <v>25000</v>
      </c>
      <c r="B53" s="13" t="s">
        <v>37</v>
      </c>
      <c r="C53" s="11">
        <f t="shared" ref="C53:Z53" si="36">$A$53</f>
        <v>25000</v>
      </c>
      <c r="D53" s="11">
        <f t="shared" si="36"/>
        <v>25000</v>
      </c>
      <c r="E53" s="11">
        <f t="shared" si="36"/>
        <v>25000</v>
      </c>
      <c r="F53" s="11">
        <f t="shared" si="36"/>
        <v>25000</v>
      </c>
      <c r="G53" s="11">
        <f t="shared" si="36"/>
        <v>25000</v>
      </c>
      <c r="H53" s="11">
        <f t="shared" si="36"/>
        <v>25000</v>
      </c>
      <c r="I53" s="11">
        <f t="shared" si="36"/>
        <v>25000</v>
      </c>
      <c r="J53" s="11">
        <f t="shared" si="36"/>
        <v>25000</v>
      </c>
      <c r="K53" s="11">
        <f t="shared" si="36"/>
        <v>25000</v>
      </c>
      <c r="L53" s="11">
        <f t="shared" si="36"/>
        <v>25000</v>
      </c>
      <c r="M53" s="11">
        <f t="shared" si="36"/>
        <v>25000</v>
      </c>
      <c r="N53" s="11">
        <f t="shared" si="36"/>
        <v>25000</v>
      </c>
      <c r="O53" s="11">
        <f t="shared" si="36"/>
        <v>25000</v>
      </c>
      <c r="P53" s="11">
        <f t="shared" si="36"/>
        <v>25000</v>
      </c>
      <c r="Q53" s="11">
        <f t="shared" si="36"/>
        <v>25000</v>
      </c>
      <c r="R53" s="11">
        <f t="shared" si="36"/>
        <v>25000</v>
      </c>
      <c r="S53" s="11">
        <f t="shared" si="36"/>
        <v>25000</v>
      </c>
      <c r="T53" s="11">
        <f t="shared" si="36"/>
        <v>25000</v>
      </c>
      <c r="U53" s="11">
        <f t="shared" si="36"/>
        <v>25000</v>
      </c>
      <c r="V53" s="11">
        <f t="shared" si="36"/>
        <v>25000</v>
      </c>
      <c r="W53" s="11">
        <f t="shared" si="36"/>
        <v>25000</v>
      </c>
      <c r="X53" s="11">
        <f t="shared" si="36"/>
        <v>25000</v>
      </c>
      <c r="Y53" s="11">
        <f t="shared" si="36"/>
        <v>25000</v>
      </c>
      <c r="Z53" s="11">
        <f t="shared" si="36"/>
        <v>25000</v>
      </c>
    </row>
    <row r="54" spans="1:26" ht="12.75" customHeight="1" x14ac:dyDescent="0.25">
      <c r="A54" s="1"/>
      <c r="B54" s="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 x14ac:dyDescent="0.25">
      <c r="A55" s="10">
        <v>990</v>
      </c>
      <c r="B55" s="13" t="s">
        <v>38</v>
      </c>
      <c r="C55" s="11">
        <f t="shared" ref="C55:Z55" si="37">$A$55*$C$33</f>
        <v>16830</v>
      </c>
      <c r="D55" s="11">
        <f t="shared" si="37"/>
        <v>16830</v>
      </c>
      <c r="E55" s="11">
        <f t="shared" si="37"/>
        <v>16830</v>
      </c>
      <c r="F55" s="11">
        <f t="shared" si="37"/>
        <v>16830</v>
      </c>
      <c r="G55" s="11">
        <f t="shared" si="37"/>
        <v>16830</v>
      </c>
      <c r="H55" s="11">
        <f t="shared" si="37"/>
        <v>16830</v>
      </c>
      <c r="I55" s="11">
        <f t="shared" si="37"/>
        <v>16830</v>
      </c>
      <c r="J55" s="11">
        <f t="shared" si="37"/>
        <v>16830</v>
      </c>
      <c r="K55" s="11">
        <f t="shared" si="37"/>
        <v>16830</v>
      </c>
      <c r="L55" s="11">
        <f t="shared" si="37"/>
        <v>16830</v>
      </c>
      <c r="M55" s="11">
        <f t="shared" si="37"/>
        <v>16830</v>
      </c>
      <c r="N55" s="11">
        <f t="shared" si="37"/>
        <v>16830</v>
      </c>
      <c r="O55" s="11">
        <f t="shared" si="37"/>
        <v>16830</v>
      </c>
      <c r="P55" s="11">
        <f t="shared" si="37"/>
        <v>16830</v>
      </c>
      <c r="Q55" s="11">
        <f t="shared" si="37"/>
        <v>16830</v>
      </c>
      <c r="R55" s="11">
        <f t="shared" si="37"/>
        <v>16830</v>
      </c>
      <c r="S55" s="11">
        <f t="shared" si="37"/>
        <v>16830</v>
      </c>
      <c r="T55" s="11">
        <f t="shared" si="37"/>
        <v>16830</v>
      </c>
      <c r="U55" s="11">
        <f t="shared" si="37"/>
        <v>16830</v>
      </c>
      <c r="V55" s="11">
        <f t="shared" si="37"/>
        <v>16830</v>
      </c>
      <c r="W55" s="11">
        <f t="shared" si="37"/>
        <v>16830</v>
      </c>
      <c r="X55" s="11">
        <f t="shared" si="37"/>
        <v>16830</v>
      </c>
      <c r="Y55" s="11">
        <f t="shared" si="37"/>
        <v>16830</v>
      </c>
      <c r="Z55" s="11">
        <f t="shared" si="37"/>
        <v>16830</v>
      </c>
    </row>
    <row r="56" spans="1:26" ht="12.75" customHeight="1" x14ac:dyDescent="0.25">
      <c r="A56" s="1"/>
      <c r="B56" s="1" t="s">
        <v>39</v>
      </c>
      <c r="C56" s="11">
        <f t="shared" ref="C56:Z56" si="38">C7+C18</f>
        <v>175000</v>
      </c>
      <c r="D56" s="11">
        <f t="shared" si="38"/>
        <v>185000</v>
      </c>
      <c r="E56" s="11">
        <f t="shared" si="38"/>
        <v>195000</v>
      </c>
      <c r="F56" s="11">
        <f t="shared" si="38"/>
        <v>205000</v>
      </c>
      <c r="G56" s="11">
        <f t="shared" si="38"/>
        <v>215000</v>
      </c>
      <c r="H56" s="11">
        <f t="shared" si="38"/>
        <v>225000</v>
      </c>
      <c r="I56" s="11">
        <f t="shared" si="38"/>
        <v>235000</v>
      </c>
      <c r="J56" s="11">
        <f t="shared" si="38"/>
        <v>245000</v>
      </c>
      <c r="K56" s="11">
        <f t="shared" si="38"/>
        <v>255000</v>
      </c>
      <c r="L56" s="11">
        <f t="shared" si="38"/>
        <v>265000</v>
      </c>
      <c r="M56" s="11">
        <f t="shared" si="38"/>
        <v>275000</v>
      </c>
      <c r="N56" s="11">
        <f t="shared" si="38"/>
        <v>285000</v>
      </c>
      <c r="O56" s="11">
        <f t="shared" si="38"/>
        <v>295000</v>
      </c>
      <c r="P56" s="11">
        <f t="shared" si="38"/>
        <v>305000</v>
      </c>
      <c r="Q56" s="11">
        <f t="shared" si="38"/>
        <v>315000</v>
      </c>
      <c r="R56" s="11">
        <f t="shared" si="38"/>
        <v>325000</v>
      </c>
      <c r="S56" s="11">
        <f t="shared" si="38"/>
        <v>335000</v>
      </c>
      <c r="T56" s="11">
        <f t="shared" si="38"/>
        <v>345000</v>
      </c>
      <c r="U56" s="11">
        <f t="shared" si="38"/>
        <v>355000</v>
      </c>
      <c r="V56" s="11">
        <f t="shared" si="38"/>
        <v>365000</v>
      </c>
      <c r="W56" s="11">
        <f t="shared" si="38"/>
        <v>375000</v>
      </c>
      <c r="X56" s="11">
        <f t="shared" si="38"/>
        <v>385000</v>
      </c>
      <c r="Y56" s="11">
        <f t="shared" si="38"/>
        <v>395000</v>
      </c>
      <c r="Z56" s="11">
        <f t="shared" si="38"/>
        <v>405000</v>
      </c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5" t="s">
        <v>40</v>
      </c>
      <c r="C58" s="27">
        <f t="shared" ref="C58:Z58" si="39">C5-C47</f>
        <v>-74330</v>
      </c>
      <c r="D58" s="27">
        <f t="shared" si="39"/>
        <v>104170</v>
      </c>
      <c r="E58" s="27">
        <f t="shared" si="39"/>
        <v>272770</v>
      </c>
      <c r="F58" s="27">
        <f t="shared" si="39"/>
        <v>431470</v>
      </c>
      <c r="G58" s="27">
        <f t="shared" si="39"/>
        <v>560370</v>
      </c>
      <c r="H58" s="27">
        <f t="shared" si="39"/>
        <v>679370</v>
      </c>
      <c r="I58" s="27">
        <f t="shared" si="39"/>
        <v>788470</v>
      </c>
      <c r="J58" s="27">
        <f t="shared" si="39"/>
        <v>897570</v>
      </c>
      <c r="K58" s="27">
        <f t="shared" si="39"/>
        <v>976870</v>
      </c>
      <c r="L58" s="27">
        <f t="shared" si="39"/>
        <v>1056170</v>
      </c>
      <c r="M58" s="27">
        <f t="shared" si="39"/>
        <v>1135470</v>
      </c>
      <c r="N58" s="27">
        <f t="shared" si="39"/>
        <v>1204870</v>
      </c>
      <c r="O58" s="27">
        <f t="shared" si="39"/>
        <v>1274270</v>
      </c>
      <c r="P58" s="27">
        <f t="shared" si="39"/>
        <v>1343670</v>
      </c>
      <c r="Q58" s="27">
        <f t="shared" si="39"/>
        <v>1403070</v>
      </c>
      <c r="R58" s="27">
        <f t="shared" si="39"/>
        <v>1462570</v>
      </c>
      <c r="S58" s="27">
        <f t="shared" si="39"/>
        <v>1512070</v>
      </c>
      <c r="T58" s="27">
        <f t="shared" si="39"/>
        <v>1581470</v>
      </c>
      <c r="U58" s="27">
        <f t="shared" si="39"/>
        <v>1640970</v>
      </c>
      <c r="V58" s="27">
        <f t="shared" si="39"/>
        <v>1690470</v>
      </c>
      <c r="W58" s="27">
        <f t="shared" si="39"/>
        <v>1730070</v>
      </c>
      <c r="X58" s="27">
        <f t="shared" si="39"/>
        <v>1789570</v>
      </c>
      <c r="Y58" s="27">
        <f t="shared" si="39"/>
        <v>1829170</v>
      </c>
      <c r="Z58" s="27">
        <f t="shared" si="39"/>
        <v>1888670</v>
      </c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5" t="s">
        <v>41</v>
      </c>
      <c r="C60" s="6">
        <f t="shared" ref="C60:Z60" si="40">SUM(C62:C72)</f>
        <v>125515</v>
      </c>
      <c r="D60" s="6">
        <f t="shared" si="40"/>
        <v>134940</v>
      </c>
      <c r="E60" s="6">
        <f t="shared" si="40"/>
        <v>143870</v>
      </c>
      <c r="F60" s="6">
        <f t="shared" si="40"/>
        <v>152305</v>
      </c>
      <c r="G60" s="6">
        <f t="shared" si="40"/>
        <v>159250</v>
      </c>
      <c r="H60" s="6">
        <f t="shared" si="40"/>
        <v>165700</v>
      </c>
      <c r="I60" s="6">
        <f t="shared" si="40"/>
        <v>171655</v>
      </c>
      <c r="J60" s="6">
        <f t="shared" si="40"/>
        <v>177610</v>
      </c>
      <c r="K60" s="6">
        <f t="shared" si="40"/>
        <v>182075</v>
      </c>
      <c r="L60" s="6">
        <f t="shared" si="40"/>
        <v>186540</v>
      </c>
      <c r="M60" s="6">
        <f t="shared" si="40"/>
        <v>191005</v>
      </c>
      <c r="N60" s="6">
        <f t="shared" si="40"/>
        <v>194975</v>
      </c>
      <c r="O60" s="6">
        <f t="shared" si="40"/>
        <v>198945</v>
      </c>
      <c r="P60" s="6">
        <f t="shared" si="40"/>
        <v>202915</v>
      </c>
      <c r="Q60" s="6">
        <f t="shared" si="40"/>
        <v>206385</v>
      </c>
      <c r="R60" s="6">
        <f t="shared" si="40"/>
        <v>209860</v>
      </c>
      <c r="S60" s="6">
        <f t="shared" si="40"/>
        <v>212835</v>
      </c>
      <c r="T60" s="6">
        <f t="shared" si="40"/>
        <v>216805</v>
      </c>
      <c r="U60" s="6">
        <f t="shared" si="40"/>
        <v>220280</v>
      </c>
      <c r="V60" s="6">
        <f t="shared" si="40"/>
        <v>223255</v>
      </c>
      <c r="W60" s="6">
        <f t="shared" si="40"/>
        <v>225735</v>
      </c>
      <c r="X60" s="6">
        <f t="shared" si="40"/>
        <v>229210</v>
      </c>
      <c r="Y60" s="6">
        <f t="shared" si="40"/>
        <v>231690</v>
      </c>
      <c r="Z60" s="6">
        <f t="shared" si="40"/>
        <v>235165</v>
      </c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20">
        <v>0.1</v>
      </c>
      <c r="B62" s="1" t="s">
        <v>42</v>
      </c>
      <c r="C62" s="11">
        <f t="shared" ref="C62:Z62" si="41">C53*$A$62</f>
        <v>2500</v>
      </c>
      <c r="D62" s="11">
        <f t="shared" si="41"/>
        <v>2500</v>
      </c>
      <c r="E62" s="11">
        <f t="shared" si="41"/>
        <v>2500</v>
      </c>
      <c r="F62" s="11">
        <f t="shared" si="41"/>
        <v>2500</v>
      </c>
      <c r="G62" s="11">
        <f t="shared" si="41"/>
        <v>2500</v>
      </c>
      <c r="H62" s="11">
        <f t="shared" si="41"/>
        <v>2500</v>
      </c>
      <c r="I62" s="11">
        <f t="shared" si="41"/>
        <v>2500</v>
      </c>
      <c r="J62" s="11">
        <f t="shared" si="41"/>
        <v>2500</v>
      </c>
      <c r="K62" s="11">
        <f t="shared" si="41"/>
        <v>2500</v>
      </c>
      <c r="L62" s="11">
        <f t="shared" si="41"/>
        <v>2500</v>
      </c>
      <c r="M62" s="11">
        <f t="shared" si="41"/>
        <v>2500</v>
      </c>
      <c r="N62" s="11">
        <f t="shared" si="41"/>
        <v>2500</v>
      </c>
      <c r="O62" s="11">
        <f t="shared" si="41"/>
        <v>2500</v>
      </c>
      <c r="P62" s="11">
        <f t="shared" si="41"/>
        <v>2500</v>
      </c>
      <c r="Q62" s="11">
        <f t="shared" si="41"/>
        <v>2500</v>
      </c>
      <c r="R62" s="11">
        <f t="shared" si="41"/>
        <v>2500</v>
      </c>
      <c r="S62" s="11">
        <f t="shared" si="41"/>
        <v>2500</v>
      </c>
      <c r="T62" s="11">
        <f t="shared" si="41"/>
        <v>2500</v>
      </c>
      <c r="U62" s="11">
        <f t="shared" si="41"/>
        <v>2500</v>
      </c>
      <c r="V62" s="11">
        <f t="shared" si="41"/>
        <v>2500</v>
      </c>
      <c r="W62" s="11">
        <f t="shared" si="41"/>
        <v>2500</v>
      </c>
      <c r="X62" s="11">
        <f t="shared" si="41"/>
        <v>2500</v>
      </c>
      <c r="Y62" s="11">
        <f t="shared" si="41"/>
        <v>2500</v>
      </c>
      <c r="Z62" s="11">
        <f t="shared" si="41"/>
        <v>2500</v>
      </c>
    </row>
    <row r="63" spans="1:26" ht="12.75" customHeight="1" x14ac:dyDescent="0.25">
      <c r="A63" s="10">
        <v>8500</v>
      </c>
      <c r="B63" s="13" t="s">
        <v>43</v>
      </c>
      <c r="C63" s="11">
        <f t="shared" ref="C63:Z63" si="42">$A$63</f>
        <v>8500</v>
      </c>
      <c r="D63" s="11">
        <f t="shared" si="42"/>
        <v>8500</v>
      </c>
      <c r="E63" s="11">
        <f t="shared" si="42"/>
        <v>8500</v>
      </c>
      <c r="F63" s="11">
        <f t="shared" si="42"/>
        <v>8500</v>
      </c>
      <c r="G63" s="11">
        <f t="shared" si="42"/>
        <v>8500</v>
      </c>
      <c r="H63" s="11">
        <f t="shared" si="42"/>
        <v>8500</v>
      </c>
      <c r="I63" s="11">
        <f t="shared" si="42"/>
        <v>8500</v>
      </c>
      <c r="J63" s="11">
        <f t="shared" si="42"/>
        <v>8500</v>
      </c>
      <c r="K63" s="11">
        <f t="shared" si="42"/>
        <v>8500</v>
      </c>
      <c r="L63" s="11">
        <f t="shared" si="42"/>
        <v>8500</v>
      </c>
      <c r="M63" s="11">
        <f t="shared" si="42"/>
        <v>8500</v>
      </c>
      <c r="N63" s="11">
        <f t="shared" si="42"/>
        <v>8500</v>
      </c>
      <c r="O63" s="11">
        <f t="shared" si="42"/>
        <v>8500</v>
      </c>
      <c r="P63" s="11">
        <f t="shared" si="42"/>
        <v>8500</v>
      </c>
      <c r="Q63" s="11">
        <f t="shared" si="42"/>
        <v>8500</v>
      </c>
      <c r="R63" s="11">
        <f t="shared" si="42"/>
        <v>8500</v>
      </c>
      <c r="S63" s="11">
        <f t="shared" si="42"/>
        <v>8500</v>
      </c>
      <c r="T63" s="11">
        <f t="shared" si="42"/>
        <v>8500</v>
      </c>
      <c r="U63" s="11">
        <f t="shared" si="42"/>
        <v>8500</v>
      </c>
      <c r="V63" s="11">
        <f t="shared" si="42"/>
        <v>8500</v>
      </c>
      <c r="W63" s="11">
        <f t="shared" si="42"/>
        <v>8500</v>
      </c>
      <c r="X63" s="11">
        <f t="shared" si="42"/>
        <v>8500</v>
      </c>
      <c r="Y63" s="11">
        <f t="shared" si="42"/>
        <v>8500</v>
      </c>
      <c r="Z63" s="11">
        <f t="shared" si="42"/>
        <v>8500</v>
      </c>
    </row>
    <row r="64" spans="1:26" ht="12.75" customHeight="1" x14ac:dyDescent="0.25">
      <c r="A64" s="1"/>
      <c r="B64" s="8" t="s">
        <v>44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0">
        <v>30000</v>
      </c>
      <c r="B65" s="21" t="s">
        <v>45</v>
      </c>
      <c r="C65" s="11">
        <f t="shared" ref="C65:Z65" si="43">$A$65</f>
        <v>30000</v>
      </c>
      <c r="D65" s="11">
        <f t="shared" si="43"/>
        <v>30000</v>
      </c>
      <c r="E65" s="11">
        <f t="shared" si="43"/>
        <v>30000</v>
      </c>
      <c r="F65" s="11">
        <f t="shared" si="43"/>
        <v>30000</v>
      </c>
      <c r="G65" s="11">
        <f t="shared" si="43"/>
        <v>30000</v>
      </c>
      <c r="H65" s="11">
        <f t="shared" si="43"/>
        <v>30000</v>
      </c>
      <c r="I65" s="11">
        <f t="shared" si="43"/>
        <v>30000</v>
      </c>
      <c r="J65" s="11">
        <f t="shared" si="43"/>
        <v>30000</v>
      </c>
      <c r="K65" s="11">
        <f t="shared" si="43"/>
        <v>30000</v>
      </c>
      <c r="L65" s="11">
        <f t="shared" si="43"/>
        <v>30000</v>
      </c>
      <c r="M65" s="11">
        <f t="shared" si="43"/>
        <v>30000</v>
      </c>
      <c r="N65" s="11">
        <f t="shared" si="43"/>
        <v>30000</v>
      </c>
      <c r="O65" s="11">
        <f t="shared" si="43"/>
        <v>30000</v>
      </c>
      <c r="P65" s="11">
        <f t="shared" si="43"/>
        <v>30000</v>
      </c>
      <c r="Q65" s="11">
        <f t="shared" si="43"/>
        <v>30000</v>
      </c>
      <c r="R65" s="11">
        <f t="shared" si="43"/>
        <v>30000</v>
      </c>
      <c r="S65" s="11">
        <f t="shared" si="43"/>
        <v>30000</v>
      </c>
      <c r="T65" s="11">
        <f t="shared" si="43"/>
        <v>30000</v>
      </c>
      <c r="U65" s="11">
        <f t="shared" si="43"/>
        <v>30000</v>
      </c>
      <c r="V65" s="11">
        <f t="shared" si="43"/>
        <v>30000</v>
      </c>
      <c r="W65" s="11">
        <f t="shared" si="43"/>
        <v>30000</v>
      </c>
      <c r="X65" s="11">
        <f t="shared" si="43"/>
        <v>30000</v>
      </c>
      <c r="Y65" s="11">
        <f t="shared" si="43"/>
        <v>30000</v>
      </c>
      <c r="Z65" s="11">
        <f t="shared" si="43"/>
        <v>30000</v>
      </c>
    </row>
    <row r="66" spans="1:26" ht="12.75" customHeight="1" x14ac:dyDescent="0.25">
      <c r="A66" s="10">
        <v>3500</v>
      </c>
      <c r="B66" s="21" t="s">
        <v>46</v>
      </c>
      <c r="C66" s="11">
        <f t="shared" ref="C66:Z66" si="44">$A$66</f>
        <v>3500</v>
      </c>
      <c r="D66" s="11">
        <f t="shared" si="44"/>
        <v>3500</v>
      </c>
      <c r="E66" s="11">
        <f t="shared" si="44"/>
        <v>3500</v>
      </c>
      <c r="F66" s="11">
        <f t="shared" si="44"/>
        <v>3500</v>
      </c>
      <c r="G66" s="11">
        <f t="shared" si="44"/>
        <v>3500</v>
      </c>
      <c r="H66" s="11">
        <f t="shared" si="44"/>
        <v>3500</v>
      </c>
      <c r="I66" s="11">
        <f t="shared" si="44"/>
        <v>3500</v>
      </c>
      <c r="J66" s="11">
        <f t="shared" si="44"/>
        <v>3500</v>
      </c>
      <c r="K66" s="11">
        <f t="shared" si="44"/>
        <v>3500</v>
      </c>
      <c r="L66" s="11">
        <f t="shared" si="44"/>
        <v>3500</v>
      </c>
      <c r="M66" s="11">
        <f t="shared" si="44"/>
        <v>3500</v>
      </c>
      <c r="N66" s="11">
        <f t="shared" si="44"/>
        <v>3500</v>
      </c>
      <c r="O66" s="11">
        <f t="shared" si="44"/>
        <v>3500</v>
      </c>
      <c r="P66" s="11">
        <f t="shared" si="44"/>
        <v>3500</v>
      </c>
      <c r="Q66" s="11">
        <f t="shared" si="44"/>
        <v>3500</v>
      </c>
      <c r="R66" s="11">
        <f t="shared" si="44"/>
        <v>3500</v>
      </c>
      <c r="S66" s="11">
        <f t="shared" si="44"/>
        <v>3500</v>
      </c>
      <c r="T66" s="11">
        <f t="shared" si="44"/>
        <v>3500</v>
      </c>
      <c r="U66" s="11">
        <f t="shared" si="44"/>
        <v>3500</v>
      </c>
      <c r="V66" s="11">
        <f t="shared" si="44"/>
        <v>3500</v>
      </c>
      <c r="W66" s="11">
        <f t="shared" si="44"/>
        <v>3500</v>
      </c>
      <c r="X66" s="11">
        <f t="shared" si="44"/>
        <v>3500</v>
      </c>
      <c r="Y66" s="11">
        <f t="shared" si="44"/>
        <v>3500</v>
      </c>
      <c r="Z66" s="11">
        <f t="shared" si="44"/>
        <v>3500</v>
      </c>
    </row>
    <row r="67" spans="1:26" ht="12.75" customHeight="1" x14ac:dyDescent="0.25">
      <c r="A67" s="10">
        <v>1600</v>
      </c>
      <c r="B67" s="21" t="s">
        <v>47</v>
      </c>
      <c r="C67" s="11">
        <f t="shared" ref="C67:Z67" si="45">$A$67</f>
        <v>1600</v>
      </c>
      <c r="D67" s="11">
        <f t="shared" si="45"/>
        <v>1600</v>
      </c>
      <c r="E67" s="11">
        <f t="shared" si="45"/>
        <v>1600</v>
      </c>
      <c r="F67" s="11">
        <f t="shared" si="45"/>
        <v>1600</v>
      </c>
      <c r="G67" s="11">
        <f t="shared" si="45"/>
        <v>1600</v>
      </c>
      <c r="H67" s="11">
        <f t="shared" si="45"/>
        <v>1600</v>
      </c>
      <c r="I67" s="11">
        <f t="shared" si="45"/>
        <v>1600</v>
      </c>
      <c r="J67" s="11">
        <f t="shared" si="45"/>
        <v>1600</v>
      </c>
      <c r="K67" s="11">
        <f t="shared" si="45"/>
        <v>1600</v>
      </c>
      <c r="L67" s="11">
        <f t="shared" si="45"/>
        <v>1600</v>
      </c>
      <c r="M67" s="11">
        <f t="shared" si="45"/>
        <v>1600</v>
      </c>
      <c r="N67" s="11">
        <f t="shared" si="45"/>
        <v>1600</v>
      </c>
      <c r="O67" s="11">
        <f t="shared" si="45"/>
        <v>1600</v>
      </c>
      <c r="P67" s="11">
        <f t="shared" si="45"/>
        <v>1600</v>
      </c>
      <c r="Q67" s="11">
        <f t="shared" si="45"/>
        <v>1600</v>
      </c>
      <c r="R67" s="11">
        <f t="shared" si="45"/>
        <v>1600</v>
      </c>
      <c r="S67" s="11">
        <f t="shared" si="45"/>
        <v>1600</v>
      </c>
      <c r="T67" s="11">
        <f t="shared" si="45"/>
        <v>1600</v>
      </c>
      <c r="U67" s="11">
        <f t="shared" si="45"/>
        <v>1600</v>
      </c>
      <c r="V67" s="11">
        <f t="shared" si="45"/>
        <v>1600</v>
      </c>
      <c r="W67" s="11">
        <f t="shared" si="45"/>
        <v>1600</v>
      </c>
      <c r="X67" s="11">
        <f t="shared" si="45"/>
        <v>1600</v>
      </c>
      <c r="Y67" s="11">
        <f t="shared" si="45"/>
        <v>1600</v>
      </c>
      <c r="Z67" s="11">
        <f t="shared" si="45"/>
        <v>1600</v>
      </c>
    </row>
    <row r="68" spans="1:26" ht="12.75" customHeight="1" x14ac:dyDescent="0.25">
      <c r="A68" s="10">
        <v>10000</v>
      </c>
      <c r="B68" s="21" t="s">
        <v>48</v>
      </c>
      <c r="C68" s="11">
        <f t="shared" ref="C68:Z68" si="46">$A$68</f>
        <v>10000</v>
      </c>
      <c r="D68" s="11">
        <f t="shared" si="46"/>
        <v>10000</v>
      </c>
      <c r="E68" s="11">
        <f t="shared" si="46"/>
        <v>10000</v>
      </c>
      <c r="F68" s="11">
        <f t="shared" si="46"/>
        <v>10000</v>
      </c>
      <c r="G68" s="11">
        <f t="shared" si="46"/>
        <v>10000</v>
      </c>
      <c r="H68" s="11">
        <f t="shared" si="46"/>
        <v>10000</v>
      </c>
      <c r="I68" s="11">
        <f t="shared" si="46"/>
        <v>10000</v>
      </c>
      <c r="J68" s="11">
        <f t="shared" si="46"/>
        <v>10000</v>
      </c>
      <c r="K68" s="11">
        <f t="shared" si="46"/>
        <v>10000</v>
      </c>
      <c r="L68" s="11">
        <f t="shared" si="46"/>
        <v>10000</v>
      </c>
      <c r="M68" s="11">
        <f t="shared" si="46"/>
        <v>10000</v>
      </c>
      <c r="N68" s="11">
        <f t="shared" si="46"/>
        <v>10000</v>
      </c>
      <c r="O68" s="11">
        <f t="shared" si="46"/>
        <v>10000</v>
      </c>
      <c r="P68" s="11">
        <f t="shared" si="46"/>
        <v>10000</v>
      </c>
      <c r="Q68" s="11">
        <f t="shared" si="46"/>
        <v>10000</v>
      </c>
      <c r="R68" s="11">
        <f t="shared" si="46"/>
        <v>10000</v>
      </c>
      <c r="S68" s="11">
        <f t="shared" si="46"/>
        <v>10000</v>
      </c>
      <c r="T68" s="11">
        <f t="shared" si="46"/>
        <v>10000</v>
      </c>
      <c r="U68" s="11">
        <f t="shared" si="46"/>
        <v>10000</v>
      </c>
      <c r="V68" s="11">
        <f t="shared" si="46"/>
        <v>10000</v>
      </c>
      <c r="W68" s="11">
        <f t="shared" si="46"/>
        <v>10000</v>
      </c>
      <c r="X68" s="11">
        <f t="shared" si="46"/>
        <v>10000</v>
      </c>
      <c r="Y68" s="11">
        <f t="shared" si="46"/>
        <v>10000</v>
      </c>
      <c r="Z68" s="11">
        <f t="shared" si="46"/>
        <v>10000</v>
      </c>
    </row>
    <row r="69" spans="1:26" ht="12.75" customHeight="1" x14ac:dyDescent="0.25">
      <c r="A69" s="10">
        <v>3000</v>
      </c>
      <c r="B69" s="21" t="s">
        <v>49</v>
      </c>
      <c r="C69" s="11">
        <f t="shared" ref="C69:Z69" si="47">$A$69</f>
        <v>3000</v>
      </c>
      <c r="D69" s="11">
        <f t="shared" si="47"/>
        <v>3000</v>
      </c>
      <c r="E69" s="11">
        <f t="shared" si="47"/>
        <v>3000</v>
      </c>
      <c r="F69" s="11">
        <f t="shared" si="47"/>
        <v>3000</v>
      </c>
      <c r="G69" s="11">
        <f t="shared" si="47"/>
        <v>3000</v>
      </c>
      <c r="H69" s="11">
        <f t="shared" si="47"/>
        <v>3000</v>
      </c>
      <c r="I69" s="11">
        <f t="shared" si="47"/>
        <v>3000</v>
      </c>
      <c r="J69" s="11">
        <f t="shared" si="47"/>
        <v>3000</v>
      </c>
      <c r="K69" s="11">
        <f t="shared" si="47"/>
        <v>3000</v>
      </c>
      <c r="L69" s="11">
        <f t="shared" si="47"/>
        <v>3000</v>
      </c>
      <c r="M69" s="11">
        <f t="shared" si="47"/>
        <v>3000</v>
      </c>
      <c r="N69" s="11">
        <f t="shared" si="47"/>
        <v>3000</v>
      </c>
      <c r="O69" s="11">
        <f t="shared" si="47"/>
        <v>3000</v>
      </c>
      <c r="P69" s="11">
        <f t="shared" si="47"/>
        <v>3000</v>
      </c>
      <c r="Q69" s="11">
        <f t="shared" si="47"/>
        <v>3000</v>
      </c>
      <c r="R69" s="11">
        <f t="shared" si="47"/>
        <v>3000</v>
      </c>
      <c r="S69" s="11">
        <f t="shared" si="47"/>
        <v>3000</v>
      </c>
      <c r="T69" s="11">
        <f t="shared" si="47"/>
        <v>3000</v>
      </c>
      <c r="U69" s="11">
        <f t="shared" si="47"/>
        <v>3000</v>
      </c>
      <c r="V69" s="11">
        <f t="shared" si="47"/>
        <v>3000</v>
      </c>
      <c r="W69" s="11">
        <f t="shared" si="47"/>
        <v>3000</v>
      </c>
      <c r="X69" s="11">
        <f t="shared" si="47"/>
        <v>3000</v>
      </c>
      <c r="Y69" s="11">
        <f t="shared" si="47"/>
        <v>3000</v>
      </c>
      <c r="Z69" s="11">
        <f t="shared" si="47"/>
        <v>3000</v>
      </c>
    </row>
    <row r="70" spans="1:26" ht="12.75" customHeight="1" x14ac:dyDescent="0.25">
      <c r="A70" s="10">
        <v>55000</v>
      </c>
      <c r="B70" s="1" t="s">
        <v>50</v>
      </c>
      <c r="C70" s="11">
        <f t="shared" ref="C70:Z70" si="48">$A$70</f>
        <v>55000</v>
      </c>
      <c r="D70" s="11">
        <f t="shared" si="48"/>
        <v>55000</v>
      </c>
      <c r="E70" s="11">
        <f t="shared" si="48"/>
        <v>55000</v>
      </c>
      <c r="F70" s="11">
        <f t="shared" si="48"/>
        <v>55000</v>
      </c>
      <c r="G70" s="11">
        <f t="shared" si="48"/>
        <v>55000</v>
      </c>
      <c r="H70" s="11">
        <f t="shared" si="48"/>
        <v>55000</v>
      </c>
      <c r="I70" s="11">
        <f t="shared" si="48"/>
        <v>55000</v>
      </c>
      <c r="J70" s="11">
        <f t="shared" si="48"/>
        <v>55000</v>
      </c>
      <c r="K70" s="11">
        <f t="shared" si="48"/>
        <v>55000</v>
      </c>
      <c r="L70" s="11">
        <f t="shared" si="48"/>
        <v>55000</v>
      </c>
      <c r="M70" s="11">
        <f t="shared" si="48"/>
        <v>55000</v>
      </c>
      <c r="N70" s="11">
        <f t="shared" si="48"/>
        <v>55000</v>
      </c>
      <c r="O70" s="11">
        <f t="shared" si="48"/>
        <v>55000</v>
      </c>
      <c r="P70" s="11">
        <f t="shared" si="48"/>
        <v>55000</v>
      </c>
      <c r="Q70" s="11">
        <f t="shared" si="48"/>
        <v>55000</v>
      </c>
      <c r="R70" s="11">
        <f t="shared" si="48"/>
        <v>55000</v>
      </c>
      <c r="S70" s="11">
        <f t="shared" si="48"/>
        <v>55000</v>
      </c>
      <c r="T70" s="11">
        <f t="shared" si="48"/>
        <v>55000</v>
      </c>
      <c r="U70" s="11">
        <f t="shared" si="48"/>
        <v>55000</v>
      </c>
      <c r="V70" s="11">
        <f t="shared" si="48"/>
        <v>55000</v>
      </c>
      <c r="W70" s="11">
        <f t="shared" si="48"/>
        <v>55000</v>
      </c>
      <c r="X70" s="11">
        <f t="shared" si="48"/>
        <v>55000</v>
      </c>
      <c r="Y70" s="11">
        <f t="shared" si="48"/>
        <v>55000</v>
      </c>
      <c r="Z70" s="11">
        <f t="shared" si="48"/>
        <v>55000</v>
      </c>
    </row>
    <row r="71" spans="1:26" ht="12.75" customHeight="1" x14ac:dyDescent="0.25">
      <c r="A71" s="12">
        <v>0.05</v>
      </c>
      <c r="B71" s="1" t="s">
        <v>51</v>
      </c>
      <c r="C71" s="11">
        <f t="shared" ref="C71:Z71" si="49">C5*$A$71</f>
        <v>11415</v>
      </c>
      <c r="D71" s="11">
        <f t="shared" si="49"/>
        <v>20840</v>
      </c>
      <c r="E71" s="11">
        <f t="shared" si="49"/>
        <v>29770</v>
      </c>
      <c r="F71" s="11">
        <f t="shared" si="49"/>
        <v>38205</v>
      </c>
      <c r="G71" s="11">
        <f t="shared" si="49"/>
        <v>45150</v>
      </c>
      <c r="H71" s="11">
        <f t="shared" si="49"/>
        <v>51600</v>
      </c>
      <c r="I71" s="11">
        <f t="shared" si="49"/>
        <v>57555</v>
      </c>
      <c r="J71" s="11">
        <f t="shared" si="49"/>
        <v>63510</v>
      </c>
      <c r="K71" s="11">
        <f t="shared" si="49"/>
        <v>67975</v>
      </c>
      <c r="L71" s="11">
        <f t="shared" si="49"/>
        <v>72440</v>
      </c>
      <c r="M71" s="11">
        <f t="shared" si="49"/>
        <v>76905</v>
      </c>
      <c r="N71" s="11">
        <f t="shared" si="49"/>
        <v>80875</v>
      </c>
      <c r="O71" s="11">
        <f t="shared" si="49"/>
        <v>84845</v>
      </c>
      <c r="P71" s="11">
        <f t="shared" si="49"/>
        <v>88815</v>
      </c>
      <c r="Q71" s="11">
        <f t="shared" si="49"/>
        <v>92285</v>
      </c>
      <c r="R71" s="11">
        <f t="shared" si="49"/>
        <v>95760</v>
      </c>
      <c r="S71" s="11">
        <f t="shared" si="49"/>
        <v>98735</v>
      </c>
      <c r="T71" s="11">
        <f t="shared" si="49"/>
        <v>102705</v>
      </c>
      <c r="U71" s="11">
        <f t="shared" si="49"/>
        <v>106180</v>
      </c>
      <c r="V71" s="11">
        <f t="shared" si="49"/>
        <v>109155</v>
      </c>
      <c r="W71" s="11">
        <f t="shared" si="49"/>
        <v>111635</v>
      </c>
      <c r="X71" s="11">
        <f t="shared" si="49"/>
        <v>115110</v>
      </c>
      <c r="Y71" s="11">
        <f t="shared" si="49"/>
        <v>117590</v>
      </c>
      <c r="Z71" s="11">
        <f t="shared" si="49"/>
        <v>121065</v>
      </c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5" t="s">
        <v>52</v>
      </c>
      <c r="C73" s="22">
        <f t="shared" ref="C73:Z73" si="50">C58-C60</f>
        <v>-199845</v>
      </c>
      <c r="D73" s="22">
        <f t="shared" si="50"/>
        <v>-30770</v>
      </c>
      <c r="E73" s="22">
        <f t="shared" si="50"/>
        <v>128900</v>
      </c>
      <c r="F73" s="22">
        <f t="shared" si="50"/>
        <v>279165</v>
      </c>
      <c r="G73" s="22">
        <f t="shared" si="50"/>
        <v>401120</v>
      </c>
      <c r="H73" s="22">
        <f t="shared" si="50"/>
        <v>513670</v>
      </c>
      <c r="I73" s="22">
        <f t="shared" si="50"/>
        <v>616815</v>
      </c>
      <c r="J73" s="22">
        <f t="shared" si="50"/>
        <v>719960</v>
      </c>
      <c r="K73" s="22">
        <f t="shared" si="50"/>
        <v>794795</v>
      </c>
      <c r="L73" s="22">
        <f t="shared" si="50"/>
        <v>869630</v>
      </c>
      <c r="M73" s="22">
        <f t="shared" si="50"/>
        <v>944465</v>
      </c>
      <c r="N73" s="22">
        <f t="shared" si="50"/>
        <v>1009895</v>
      </c>
      <c r="O73" s="22">
        <f t="shared" si="50"/>
        <v>1075325</v>
      </c>
      <c r="P73" s="22">
        <f t="shared" si="50"/>
        <v>1140755</v>
      </c>
      <c r="Q73" s="22">
        <f t="shared" si="50"/>
        <v>1196685</v>
      </c>
      <c r="R73" s="22">
        <f t="shared" si="50"/>
        <v>1252710</v>
      </c>
      <c r="S73" s="22">
        <f t="shared" si="50"/>
        <v>1299235</v>
      </c>
      <c r="T73" s="22">
        <f t="shared" si="50"/>
        <v>1364665</v>
      </c>
      <c r="U73" s="22">
        <f t="shared" si="50"/>
        <v>1420690</v>
      </c>
      <c r="V73" s="22">
        <f t="shared" si="50"/>
        <v>1467215</v>
      </c>
      <c r="W73" s="22">
        <f t="shared" si="50"/>
        <v>1504335</v>
      </c>
      <c r="X73" s="22">
        <f t="shared" si="50"/>
        <v>1560360</v>
      </c>
      <c r="Y73" s="22">
        <f t="shared" si="50"/>
        <v>1597480</v>
      </c>
      <c r="Z73" s="22">
        <f t="shared" si="50"/>
        <v>1653505</v>
      </c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2">
        <v>7.0000000000000007E-2</v>
      </c>
      <c r="B75" s="1" t="s">
        <v>53</v>
      </c>
      <c r="C75" s="11">
        <f t="shared" ref="C75:Z75" si="51">$A$75*C$5</f>
        <v>15981.000000000002</v>
      </c>
      <c r="D75" s="11">
        <f t="shared" si="51"/>
        <v>29176.000000000004</v>
      </c>
      <c r="E75" s="11">
        <f t="shared" si="51"/>
        <v>41678.000000000007</v>
      </c>
      <c r="F75" s="11">
        <f t="shared" si="51"/>
        <v>53487.000000000007</v>
      </c>
      <c r="G75" s="11">
        <f t="shared" si="51"/>
        <v>63210.000000000007</v>
      </c>
      <c r="H75" s="11">
        <f t="shared" si="51"/>
        <v>72240</v>
      </c>
      <c r="I75" s="11">
        <f t="shared" si="51"/>
        <v>80577.000000000015</v>
      </c>
      <c r="J75" s="11">
        <f t="shared" si="51"/>
        <v>88914.000000000015</v>
      </c>
      <c r="K75" s="11">
        <f t="shared" si="51"/>
        <v>95165.000000000015</v>
      </c>
      <c r="L75" s="11">
        <f t="shared" si="51"/>
        <v>101416.00000000001</v>
      </c>
      <c r="M75" s="11">
        <f t="shared" si="51"/>
        <v>107667.00000000001</v>
      </c>
      <c r="N75" s="11">
        <f t="shared" si="51"/>
        <v>113225.00000000001</v>
      </c>
      <c r="O75" s="11">
        <f t="shared" si="51"/>
        <v>118783.00000000001</v>
      </c>
      <c r="P75" s="11">
        <f t="shared" si="51"/>
        <v>124341.00000000001</v>
      </c>
      <c r="Q75" s="11">
        <f t="shared" si="51"/>
        <v>129199.00000000001</v>
      </c>
      <c r="R75" s="11">
        <f t="shared" si="51"/>
        <v>134064</v>
      </c>
      <c r="S75" s="11">
        <f t="shared" si="51"/>
        <v>138229</v>
      </c>
      <c r="T75" s="11">
        <f t="shared" si="51"/>
        <v>143787</v>
      </c>
      <c r="U75" s="11">
        <f t="shared" si="51"/>
        <v>148652</v>
      </c>
      <c r="V75" s="11">
        <f t="shared" si="51"/>
        <v>152817</v>
      </c>
      <c r="W75" s="11">
        <f t="shared" si="51"/>
        <v>156289.00000000003</v>
      </c>
      <c r="X75" s="11">
        <f t="shared" si="51"/>
        <v>161154.00000000003</v>
      </c>
      <c r="Y75" s="11">
        <f t="shared" si="51"/>
        <v>164626.00000000003</v>
      </c>
      <c r="Z75" s="11">
        <f t="shared" si="51"/>
        <v>169491.00000000003</v>
      </c>
    </row>
    <row r="76" spans="1:26" ht="12.75" customHeight="1" x14ac:dyDescent="0.25">
      <c r="A76" s="1"/>
      <c r="B76" s="1" t="s">
        <v>54</v>
      </c>
      <c r="C76" s="11">
        <f t="shared" ref="C76:Z76" si="52">$A$83/24</f>
        <v>0</v>
      </c>
      <c r="D76" s="11">
        <f t="shared" si="52"/>
        <v>0</v>
      </c>
      <c r="E76" s="11">
        <f t="shared" si="52"/>
        <v>0</v>
      </c>
      <c r="F76" s="11">
        <f t="shared" si="52"/>
        <v>0</v>
      </c>
      <c r="G76" s="11">
        <f t="shared" si="52"/>
        <v>0</v>
      </c>
      <c r="H76" s="11">
        <f t="shared" si="52"/>
        <v>0</v>
      </c>
      <c r="I76" s="11">
        <f t="shared" si="52"/>
        <v>0</v>
      </c>
      <c r="J76" s="11">
        <f t="shared" si="52"/>
        <v>0</v>
      </c>
      <c r="K76" s="11">
        <f t="shared" si="52"/>
        <v>0</v>
      </c>
      <c r="L76" s="11">
        <f t="shared" si="52"/>
        <v>0</v>
      </c>
      <c r="M76" s="11">
        <f t="shared" si="52"/>
        <v>0</v>
      </c>
      <c r="N76" s="11">
        <f t="shared" si="52"/>
        <v>0</v>
      </c>
      <c r="O76" s="11">
        <f t="shared" si="52"/>
        <v>0</v>
      </c>
      <c r="P76" s="11">
        <f t="shared" si="52"/>
        <v>0</v>
      </c>
      <c r="Q76" s="11">
        <f t="shared" si="52"/>
        <v>0</v>
      </c>
      <c r="R76" s="11">
        <f t="shared" si="52"/>
        <v>0</v>
      </c>
      <c r="S76" s="11">
        <f t="shared" si="52"/>
        <v>0</v>
      </c>
      <c r="T76" s="11">
        <f t="shared" si="52"/>
        <v>0</v>
      </c>
      <c r="U76" s="11">
        <f t="shared" si="52"/>
        <v>0</v>
      </c>
      <c r="V76" s="11">
        <f t="shared" si="52"/>
        <v>0</v>
      </c>
      <c r="W76" s="11">
        <f t="shared" si="52"/>
        <v>0</v>
      </c>
      <c r="X76" s="11">
        <f t="shared" si="52"/>
        <v>0</v>
      </c>
      <c r="Y76" s="11">
        <f t="shared" si="52"/>
        <v>0</v>
      </c>
      <c r="Z76" s="11">
        <f t="shared" si="52"/>
        <v>0</v>
      </c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4"/>
      <c r="B78" s="4" t="s">
        <v>55</v>
      </c>
      <c r="C78" s="9">
        <f t="shared" ref="C78:Z78" si="53">C73-SUM(C75:C77)</f>
        <v>-215826</v>
      </c>
      <c r="D78" s="9">
        <f t="shared" si="53"/>
        <v>-59946</v>
      </c>
      <c r="E78" s="9">
        <f t="shared" si="53"/>
        <v>87222</v>
      </c>
      <c r="F78" s="9">
        <f t="shared" si="53"/>
        <v>225678</v>
      </c>
      <c r="G78" s="9">
        <f t="shared" si="53"/>
        <v>337910</v>
      </c>
      <c r="H78" s="9">
        <f t="shared" si="53"/>
        <v>441430</v>
      </c>
      <c r="I78" s="9">
        <f t="shared" si="53"/>
        <v>536238</v>
      </c>
      <c r="J78" s="9">
        <f t="shared" si="53"/>
        <v>631046</v>
      </c>
      <c r="K78" s="9">
        <f t="shared" si="53"/>
        <v>699630</v>
      </c>
      <c r="L78" s="9">
        <f t="shared" si="53"/>
        <v>768214</v>
      </c>
      <c r="M78" s="9">
        <f t="shared" si="53"/>
        <v>836798</v>
      </c>
      <c r="N78" s="9">
        <f t="shared" si="53"/>
        <v>896670</v>
      </c>
      <c r="O78" s="9">
        <f t="shared" si="53"/>
        <v>956542</v>
      </c>
      <c r="P78" s="9">
        <f t="shared" si="53"/>
        <v>1016414</v>
      </c>
      <c r="Q78" s="9">
        <f t="shared" si="53"/>
        <v>1067486</v>
      </c>
      <c r="R78" s="9">
        <f t="shared" si="53"/>
        <v>1118646</v>
      </c>
      <c r="S78" s="9">
        <f t="shared" si="53"/>
        <v>1161006</v>
      </c>
      <c r="T78" s="9">
        <f t="shared" si="53"/>
        <v>1220878</v>
      </c>
      <c r="U78" s="9">
        <f t="shared" si="53"/>
        <v>1272038</v>
      </c>
      <c r="V78" s="9">
        <f t="shared" si="53"/>
        <v>1314398</v>
      </c>
      <c r="W78" s="9">
        <f t="shared" si="53"/>
        <v>1348046</v>
      </c>
      <c r="X78" s="9">
        <f t="shared" si="53"/>
        <v>1399206</v>
      </c>
      <c r="Y78" s="9">
        <f t="shared" si="53"/>
        <v>1432854</v>
      </c>
      <c r="Z78" s="9">
        <f t="shared" si="53"/>
        <v>1484014</v>
      </c>
    </row>
    <row r="79" spans="1:26" ht="12.75" customHeight="1" x14ac:dyDescent="0.25">
      <c r="A79" s="23"/>
      <c r="B79" s="23" t="s">
        <v>56</v>
      </c>
      <c r="C79" s="24">
        <f t="shared" ref="C79:Z79" si="54">C78/C5</f>
        <v>-0.94536136662286463</v>
      </c>
      <c r="D79" s="24">
        <f t="shared" si="54"/>
        <v>-0.14382437619961613</v>
      </c>
      <c r="E79" s="24">
        <f t="shared" si="54"/>
        <v>0.14649311387302655</v>
      </c>
      <c r="F79" s="24">
        <f t="shared" si="54"/>
        <v>0.29535139379662345</v>
      </c>
      <c r="G79" s="24">
        <f t="shared" si="54"/>
        <v>0.37420819490586932</v>
      </c>
      <c r="H79" s="24">
        <f t="shared" si="54"/>
        <v>0.4277422480620155</v>
      </c>
      <c r="I79" s="24">
        <f t="shared" si="54"/>
        <v>0.46584831899921814</v>
      </c>
      <c r="J79" s="24">
        <f t="shared" si="54"/>
        <v>0.496808376633601</v>
      </c>
      <c r="K79" s="24">
        <f t="shared" si="54"/>
        <v>0.51462302317028319</v>
      </c>
      <c r="L79" s="24">
        <f t="shared" si="54"/>
        <v>0.53024157923799009</v>
      </c>
      <c r="M79" s="24">
        <f t="shared" si="54"/>
        <v>0.54404655093947074</v>
      </c>
      <c r="N79" s="24">
        <f t="shared" si="54"/>
        <v>0.55435548686244207</v>
      </c>
      <c r="O79" s="24">
        <f t="shared" si="54"/>
        <v>0.56369968766574341</v>
      </c>
      <c r="P79" s="24">
        <f t="shared" si="54"/>
        <v>0.57220852333502226</v>
      </c>
      <c r="Q79" s="24">
        <f t="shared" si="54"/>
        <v>0.57836376442542126</v>
      </c>
      <c r="R79" s="24">
        <f t="shared" si="54"/>
        <v>0.58408834586466163</v>
      </c>
      <c r="S79" s="24">
        <f t="shared" si="54"/>
        <v>0.58794044665012402</v>
      </c>
      <c r="T79" s="24">
        <f t="shared" si="54"/>
        <v>0.59436152086071758</v>
      </c>
      <c r="U79" s="24">
        <f t="shared" si="54"/>
        <v>0.59900075343755887</v>
      </c>
      <c r="V79" s="24">
        <f t="shared" si="54"/>
        <v>0.60207869543309978</v>
      </c>
      <c r="W79" s="24">
        <f t="shared" si="54"/>
        <v>0.60377390603305414</v>
      </c>
      <c r="X79" s="24">
        <f t="shared" si="54"/>
        <v>0.60776909043523586</v>
      </c>
      <c r="Y79" s="24">
        <f t="shared" si="54"/>
        <v>0.60925844034356658</v>
      </c>
      <c r="Z79" s="24">
        <f t="shared" si="54"/>
        <v>0.61289968198901412</v>
      </c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2.75" customHeight="1" x14ac:dyDescent="0.25">
      <c r="A83" s="1"/>
      <c r="B83" s="1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2.75" customHeight="1" x14ac:dyDescent="0.25">
      <c r="A84" s="1"/>
      <c r="B84" s="1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conditionalFormatting sqref="C78:Z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Z13">
    <cfRule type="colorScale" priority="5">
      <colorScale>
        <cfvo type="min"/>
        <cfvo type="max"/>
        <color rgb="FFFCFCFF"/>
        <color rgb="FF63BE7B"/>
      </colorScale>
    </cfRule>
  </conditionalFormatting>
  <conditionalFormatting sqref="C56:Z56">
    <cfRule type="colorScale" priority="4">
      <colorScale>
        <cfvo type="min"/>
        <cfvo type="max"/>
        <color rgb="FFFCFCFF"/>
        <color rgb="FFF8696B"/>
      </colorScale>
    </cfRule>
  </conditionalFormatting>
  <conditionalFormatting sqref="C7:Z7">
    <cfRule type="colorScale" priority="3">
      <colorScale>
        <cfvo type="min"/>
        <cfvo type="max"/>
        <color rgb="FFFCFCFF"/>
        <color rgb="FFF8696B"/>
      </colorScale>
    </cfRule>
  </conditionalFormatting>
  <conditionalFormatting sqref="C58:Z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470C-EEE3-4198-82C4-C44B7C327EDD}">
  <dimension ref="A1:AS1005"/>
  <sheetViews>
    <sheetView showGridLines="0" tabSelected="1" zoomScale="40" zoomScaleNormal="4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89" sqref="H89"/>
    </sheetView>
  </sheetViews>
  <sheetFormatPr defaultColWidth="14.42578125" defaultRowHeight="15.75" customHeight="1" outlineLevelRow="1" x14ac:dyDescent="0.2"/>
  <cols>
    <col min="1" max="1" width="12.7109375" customWidth="1"/>
    <col min="2" max="2" width="50.28515625" customWidth="1"/>
    <col min="3" max="38" width="12.7109375" customWidth="1"/>
  </cols>
  <sheetData>
    <row r="1" spans="1:39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>
        <v>1</v>
      </c>
      <c r="P1" s="1">
        <v>2</v>
      </c>
      <c r="Q1" s="1">
        <v>3</v>
      </c>
      <c r="R1" s="1">
        <v>4</v>
      </c>
      <c r="S1" s="1">
        <v>5</v>
      </c>
      <c r="T1" s="1">
        <v>6</v>
      </c>
      <c r="U1" s="1">
        <v>7</v>
      </c>
      <c r="V1" s="1">
        <v>8</v>
      </c>
      <c r="W1" s="1">
        <v>9</v>
      </c>
      <c r="X1" s="1">
        <v>10</v>
      </c>
      <c r="Y1" s="1">
        <v>11</v>
      </c>
      <c r="Z1" s="1">
        <v>12</v>
      </c>
      <c r="AA1" s="1">
        <v>13</v>
      </c>
      <c r="AB1" s="1">
        <v>14</v>
      </c>
      <c r="AC1" s="1">
        <v>15</v>
      </c>
      <c r="AD1" s="1">
        <v>16</v>
      </c>
      <c r="AE1" s="1">
        <v>17</v>
      </c>
      <c r="AF1" s="1">
        <v>18</v>
      </c>
      <c r="AG1" s="1">
        <v>19</v>
      </c>
      <c r="AH1" s="1">
        <v>20</v>
      </c>
      <c r="AI1" s="1">
        <v>21</v>
      </c>
      <c r="AJ1" s="1">
        <v>22</v>
      </c>
      <c r="AK1" s="1">
        <v>23</v>
      </c>
      <c r="AL1" s="1">
        <v>24</v>
      </c>
    </row>
    <row r="2" spans="1:39" ht="12.75" customHeight="1" thickBot="1" x14ac:dyDescent="0.3">
      <c r="A2" s="1"/>
      <c r="B2" s="2" t="s">
        <v>0</v>
      </c>
      <c r="C2" s="3">
        <v>1</v>
      </c>
      <c r="D2" s="3">
        <f t="shared" ref="D2:Z2" si="0">C2+1</f>
        <v>2</v>
      </c>
      <c r="E2" s="3">
        <f t="shared" si="0"/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>
        <f t="shared" si="0"/>
        <v>11</v>
      </c>
      <c r="N2" s="3">
        <f t="shared" si="0"/>
        <v>12</v>
      </c>
      <c r="O2" s="3">
        <f t="shared" si="0"/>
        <v>13</v>
      </c>
      <c r="P2" s="3">
        <f t="shared" si="0"/>
        <v>14</v>
      </c>
      <c r="Q2" s="3">
        <f t="shared" si="0"/>
        <v>15</v>
      </c>
      <c r="R2" s="3">
        <f t="shared" si="0"/>
        <v>16</v>
      </c>
      <c r="S2" s="3">
        <f t="shared" si="0"/>
        <v>17</v>
      </c>
      <c r="T2" s="3">
        <f t="shared" si="0"/>
        <v>18</v>
      </c>
      <c r="U2" s="3">
        <f t="shared" si="0"/>
        <v>19</v>
      </c>
      <c r="V2" s="3">
        <f t="shared" si="0"/>
        <v>20</v>
      </c>
      <c r="W2" s="3">
        <f t="shared" si="0"/>
        <v>21</v>
      </c>
      <c r="X2" s="3">
        <f t="shared" si="0"/>
        <v>22</v>
      </c>
      <c r="Y2" s="3">
        <f t="shared" si="0"/>
        <v>23</v>
      </c>
      <c r="Z2" s="3">
        <f t="shared" si="0"/>
        <v>24</v>
      </c>
      <c r="AA2" s="3">
        <f t="shared" ref="AA2" si="1">Z2+1</f>
        <v>25</v>
      </c>
      <c r="AB2" s="3">
        <f t="shared" ref="AB2" si="2">AA2+1</f>
        <v>26</v>
      </c>
      <c r="AC2" s="3">
        <f t="shared" ref="AC2" si="3">AB2+1</f>
        <v>27</v>
      </c>
      <c r="AD2" s="3">
        <f t="shared" ref="AD2" si="4">AC2+1</f>
        <v>28</v>
      </c>
      <c r="AE2" s="3">
        <f t="shared" ref="AE2" si="5">AD2+1</f>
        <v>29</v>
      </c>
      <c r="AF2" s="3">
        <f t="shared" ref="AF2" si="6">AE2+1</f>
        <v>30</v>
      </c>
      <c r="AG2" s="3">
        <f t="shared" ref="AG2" si="7">AF2+1</f>
        <v>31</v>
      </c>
      <c r="AH2" s="3">
        <f t="shared" ref="AH2" si="8">AG2+1</f>
        <v>32</v>
      </c>
      <c r="AI2" s="3">
        <f t="shared" ref="AI2" si="9">AH2+1</f>
        <v>33</v>
      </c>
      <c r="AJ2" s="3">
        <f t="shared" ref="AJ2" si="10">AI2+1</f>
        <v>34</v>
      </c>
      <c r="AK2" s="3">
        <f t="shared" ref="AK2" si="11">AJ2+1</f>
        <v>35</v>
      </c>
      <c r="AL2" s="3">
        <f t="shared" ref="AL2" si="12">AK2+1</f>
        <v>36</v>
      </c>
    </row>
    <row r="3" spans="1:39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9" ht="12.75" customHeight="1" x14ac:dyDescent="0.2">
      <c r="A4" s="4"/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9" ht="12.75" customHeight="1" x14ac:dyDescent="0.25">
      <c r="A5" s="1"/>
      <c r="B5" s="5" t="s">
        <v>2</v>
      </c>
      <c r="C5" s="6">
        <f t="shared" ref="C5:Z5" si="13">C42+C44</f>
        <v>228300</v>
      </c>
      <c r="D5" s="6">
        <f t="shared" si="13"/>
        <v>416800</v>
      </c>
      <c r="E5" s="6">
        <f t="shared" si="13"/>
        <v>585500</v>
      </c>
      <c r="F5" s="6">
        <f t="shared" si="13"/>
        <v>744300</v>
      </c>
      <c r="G5" s="6">
        <f t="shared" si="13"/>
        <v>873300</v>
      </c>
      <c r="H5" s="6">
        <f t="shared" si="13"/>
        <v>982400</v>
      </c>
      <c r="I5" s="6">
        <f t="shared" si="13"/>
        <v>1091600</v>
      </c>
      <c r="J5" s="6">
        <f t="shared" si="13"/>
        <v>1190800</v>
      </c>
      <c r="K5" s="6">
        <f t="shared" si="13"/>
        <v>1309900</v>
      </c>
      <c r="L5" s="6">
        <f t="shared" si="13"/>
        <v>1399200</v>
      </c>
      <c r="M5" s="6">
        <f t="shared" si="13"/>
        <v>1458700</v>
      </c>
      <c r="N5" s="6">
        <f t="shared" si="13"/>
        <v>1498400</v>
      </c>
      <c r="O5" s="6">
        <f t="shared" si="13"/>
        <v>1528200</v>
      </c>
      <c r="P5" s="6">
        <f t="shared" si="13"/>
        <v>1538100</v>
      </c>
      <c r="Q5" s="6">
        <f t="shared" si="13"/>
        <v>1548000</v>
      </c>
      <c r="R5" s="6">
        <f t="shared" si="13"/>
        <v>1567900</v>
      </c>
      <c r="S5" s="6">
        <f t="shared" si="13"/>
        <v>1577800</v>
      </c>
      <c r="T5" s="6">
        <f t="shared" si="13"/>
        <v>1607600</v>
      </c>
      <c r="U5" s="6">
        <f t="shared" si="13"/>
        <v>1627400</v>
      </c>
      <c r="V5" s="6">
        <f t="shared" si="13"/>
        <v>1657200</v>
      </c>
      <c r="W5" s="6">
        <f t="shared" si="13"/>
        <v>1696900</v>
      </c>
      <c r="X5" s="6">
        <f t="shared" si="13"/>
        <v>1736600</v>
      </c>
      <c r="Y5" s="6">
        <f t="shared" si="13"/>
        <v>1746500</v>
      </c>
      <c r="Z5" s="6">
        <f t="shared" si="13"/>
        <v>1756400</v>
      </c>
      <c r="AA5" s="6">
        <f t="shared" ref="AA5:AL5" si="14">AA42+AA44</f>
        <v>1746500</v>
      </c>
      <c r="AB5" s="6">
        <f t="shared" si="14"/>
        <v>1736600</v>
      </c>
      <c r="AC5" s="6">
        <f t="shared" si="14"/>
        <v>1716700</v>
      </c>
      <c r="AD5" s="6">
        <f t="shared" si="14"/>
        <v>1706800</v>
      </c>
      <c r="AE5" s="6">
        <f t="shared" si="14"/>
        <v>1706800</v>
      </c>
      <c r="AF5" s="6">
        <f t="shared" si="14"/>
        <v>1706800</v>
      </c>
      <c r="AG5" s="6">
        <f t="shared" si="14"/>
        <v>1716700</v>
      </c>
      <c r="AH5" s="6">
        <f t="shared" si="14"/>
        <v>1716700</v>
      </c>
      <c r="AI5" s="6">
        <f t="shared" si="14"/>
        <v>1736600</v>
      </c>
      <c r="AJ5" s="6">
        <f t="shared" si="14"/>
        <v>1746500</v>
      </c>
      <c r="AK5" s="6">
        <f t="shared" si="14"/>
        <v>1756400</v>
      </c>
      <c r="AL5" s="6">
        <f t="shared" si="14"/>
        <v>1756400</v>
      </c>
    </row>
    <row r="6" spans="1:39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9" ht="12.75" customHeight="1" outlineLevel="1" x14ac:dyDescent="0.2">
      <c r="A7" s="7">
        <v>100000</v>
      </c>
      <c r="B7" s="8" t="s">
        <v>3</v>
      </c>
      <c r="C7" s="9">
        <f>$A$7</f>
        <v>100000</v>
      </c>
      <c r="D7" s="9">
        <f>C7+5000</f>
        <v>105000</v>
      </c>
      <c r="E7" s="9">
        <f t="shared" ref="E7:H7" si="15">D7+5000</f>
        <v>110000</v>
      </c>
      <c r="F7" s="9">
        <f t="shared" si="15"/>
        <v>115000</v>
      </c>
      <c r="G7" s="9">
        <f t="shared" si="15"/>
        <v>120000</v>
      </c>
      <c r="H7" s="9">
        <f t="shared" si="15"/>
        <v>125000</v>
      </c>
      <c r="I7" s="9">
        <f>H7+20000</f>
        <v>145000</v>
      </c>
      <c r="J7" s="9">
        <f t="shared" ref="J7:K7" si="16">I7+20000</f>
        <v>165000</v>
      </c>
      <c r="K7" s="9">
        <f t="shared" si="16"/>
        <v>185000</v>
      </c>
      <c r="L7" s="9">
        <f>K7-10000</f>
        <v>175000</v>
      </c>
      <c r="M7" s="9">
        <f t="shared" ref="M7:N7" si="17">L7-10000</f>
        <v>165000</v>
      </c>
      <c r="N7" s="9">
        <f t="shared" si="17"/>
        <v>155000</v>
      </c>
      <c r="O7" s="9">
        <f>N7-10000</f>
        <v>145000</v>
      </c>
      <c r="P7" s="9">
        <f>O7+5000</f>
        <v>150000</v>
      </c>
      <c r="Q7" s="9">
        <f t="shared" ref="Q7:T7" si="18">P7+5000</f>
        <v>155000</v>
      </c>
      <c r="R7" s="9">
        <f t="shared" si="18"/>
        <v>160000</v>
      </c>
      <c r="S7" s="9">
        <f t="shared" si="18"/>
        <v>165000</v>
      </c>
      <c r="T7" s="9">
        <f t="shared" si="18"/>
        <v>170000</v>
      </c>
      <c r="U7" s="9">
        <f>T7+20000</f>
        <v>190000</v>
      </c>
      <c r="V7" s="9">
        <f t="shared" ref="V7:W7" si="19">U7+20000</f>
        <v>210000</v>
      </c>
      <c r="W7" s="9">
        <f t="shared" si="19"/>
        <v>230000</v>
      </c>
      <c r="X7" s="9">
        <f>W7-10000</f>
        <v>220000</v>
      </c>
      <c r="Y7" s="9">
        <f t="shared" ref="Y7:Z7" si="20">X7-10000</f>
        <v>210000</v>
      </c>
      <c r="Z7" s="9">
        <f t="shared" si="20"/>
        <v>200000</v>
      </c>
      <c r="AA7" s="9">
        <f>Z7-10000</f>
        <v>190000</v>
      </c>
      <c r="AB7" s="9">
        <f>AA7+5000</f>
        <v>195000</v>
      </c>
      <c r="AC7" s="9">
        <f t="shared" ref="AC7:AF7" si="21">AB7+5000</f>
        <v>200000</v>
      </c>
      <c r="AD7" s="9">
        <f t="shared" si="21"/>
        <v>205000</v>
      </c>
      <c r="AE7" s="9">
        <f t="shared" si="21"/>
        <v>210000</v>
      </c>
      <c r="AF7" s="9">
        <f t="shared" si="21"/>
        <v>215000</v>
      </c>
      <c r="AG7" s="9">
        <f>AF7+20000</f>
        <v>235000</v>
      </c>
      <c r="AH7" s="9">
        <f t="shared" ref="AH7:AI7" si="22">AG7+20000</f>
        <v>255000</v>
      </c>
      <c r="AI7" s="9">
        <f t="shared" si="22"/>
        <v>275000</v>
      </c>
      <c r="AJ7" s="9">
        <f>AI7-10000</f>
        <v>265000</v>
      </c>
      <c r="AK7" s="9">
        <f t="shared" ref="AK7:AL7" si="23">AJ7-10000</f>
        <v>255000</v>
      </c>
      <c r="AL7" s="9">
        <f t="shared" si="23"/>
        <v>245000</v>
      </c>
    </row>
    <row r="8" spans="1:39" ht="12.75" customHeight="1" outlineLevel="1" x14ac:dyDescent="0.25">
      <c r="A8" s="10">
        <v>105</v>
      </c>
      <c r="B8" s="1" t="s">
        <v>4</v>
      </c>
      <c r="C8" s="11">
        <f>C7/C13</f>
        <v>105.04201680672269</v>
      </c>
      <c r="D8" s="11">
        <f t="shared" ref="D8:Z8" si="24">D7/D13</f>
        <v>108.0246913580247</v>
      </c>
      <c r="E8" s="11">
        <f t="shared" si="24"/>
        <v>108.69565217391305</v>
      </c>
      <c r="F8" s="11">
        <f t="shared" si="24"/>
        <v>108.28625235404897</v>
      </c>
      <c r="G8" s="11">
        <f t="shared" si="24"/>
        <v>107.91366906474821</v>
      </c>
      <c r="H8" s="11">
        <f t="shared" si="24"/>
        <v>107.57314974182444</v>
      </c>
      <c r="I8" s="11">
        <f t="shared" si="24"/>
        <v>114.89698890649763</v>
      </c>
      <c r="J8" s="11">
        <f t="shared" si="24"/>
        <v>112.85909712722298</v>
      </c>
      <c r="K8" s="11">
        <f t="shared" si="24"/>
        <v>104.99432463110102</v>
      </c>
      <c r="L8" s="11">
        <f t="shared" si="24"/>
        <v>105.29482551143201</v>
      </c>
      <c r="M8" s="11">
        <f t="shared" si="24"/>
        <v>109.12698412698413</v>
      </c>
      <c r="N8" s="11">
        <f t="shared" si="24"/>
        <v>113.80323054331865</v>
      </c>
      <c r="O8" s="11">
        <f t="shared" si="24"/>
        <v>106.4610866372981</v>
      </c>
      <c r="P8" s="11">
        <f t="shared" si="24"/>
        <v>108.5383502170767</v>
      </c>
      <c r="Q8" s="11">
        <f t="shared" si="24"/>
        <v>109.00140646976089</v>
      </c>
      <c r="R8" s="11">
        <f t="shared" si="24"/>
        <v>108.69565217391305</v>
      </c>
      <c r="S8" s="11">
        <f t="shared" si="24"/>
        <v>108.40998685939553</v>
      </c>
      <c r="T8" s="11">
        <f t="shared" si="24"/>
        <v>108.14249363867684</v>
      </c>
      <c r="U8" s="11">
        <f t="shared" si="24"/>
        <v>113.63636363636364</v>
      </c>
      <c r="V8" s="11">
        <f t="shared" si="24"/>
        <v>112.17948717948718</v>
      </c>
      <c r="W8" s="11">
        <f t="shared" si="24"/>
        <v>105.89318600368324</v>
      </c>
      <c r="X8" s="11">
        <f t="shared" si="24"/>
        <v>106.17760617760618</v>
      </c>
      <c r="Y8" s="11">
        <f t="shared" si="24"/>
        <v>109.26118626430801</v>
      </c>
      <c r="Z8" s="11">
        <f t="shared" si="24"/>
        <v>112.86681715575621</v>
      </c>
      <c r="AA8" s="11">
        <f t="shared" ref="AA8" si="25">AA7/AA13</f>
        <v>107.2234762979684</v>
      </c>
      <c r="AB8" s="11">
        <f t="shared" ref="AB8" si="26">AB7/AB13</f>
        <v>108.81696428571429</v>
      </c>
      <c r="AC8" s="11">
        <f t="shared" ref="AC8" si="27">AC7/AC13</f>
        <v>109.17030567685589</v>
      </c>
      <c r="AD8" s="11">
        <f t="shared" ref="AD8" si="28">AD7/AD13</f>
        <v>108.92667375132838</v>
      </c>
      <c r="AE8" s="11">
        <f t="shared" ref="AE8" si="29">AE7/AE13</f>
        <v>108.69565217391305</v>
      </c>
      <c r="AF8" s="11">
        <f t="shared" ref="AF8" si="30">AF7/AF13</f>
        <v>108.47628657921291</v>
      </c>
      <c r="AG8" s="11">
        <f t="shared" ref="AG8" si="31">AG7/AG13</f>
        <v>112.87223823246877</v>
      </c>
      <c r="AH8" s="11">
        <f t="shared" ref="AH8" si="32">AH7/AH13</f>
        <v>111.74408413672218</v>
      </c>
      <c r="AI8" s="11">
        <f t="shared" ref="AI8" si="33">AI7/AI13</f>
        <v>106.50658404337723</v>
      </c>
      <c r="AJ8" s="11">
        <f t="shared" ref="AJ8" si="34">AJ7/AJ13</f>
        <v>106.76873489121677</v>
      </c>
      <c r="AK8" s="11">
        <f t="shared" ref="AK8" si="35">AK7/AK13</f>
        <v>109.34819897084049</v>
      </c>
      <c r="AL8" s="11">
        <f t="shared" ref="AL8" si="36">AL7/AL13</f>
        <v>112.28230980751604</v>
      </c>
    </row>
    <row r="9" spans="1:39" ht="12.75" customHeight="1" outlineLevel="1" x14ac:dyDescent="0.25">
      <c r="A9" s="12">
        <v>0.12</v>
      </c>
      <c r="B9" s="13" t="s">
        <v>5</v>
      </c>
      <c r="C9" s="14">
        <f t="shared" ref="C9:AL9" si="37">$A$9</f>
        <v>0.12</v>
      </c>
      <c r="D9" s="14">
        <f t="shared" si="37"/>
        <v>0.12</v>
      </c>
      <c r="E9" s="14">
        <f t="shared" si="37"/>
        <v>0.12</v>
      </c>
      <c r="F9" s="14">
        <f t="shared" si="37"/>
        <v>0.12</v>
      </c>
      <c r="G9" s="14">
        <f t="shared" si="37"/>
        <v>0.12</v>
      </c>
      <c r="H9" s="14">
        <f t="shared" si="37"/>
        <v>0.12</v>
      </c>
      <c r="I9" s="14">
        <f t="shared" si="37"/>
        <v>0.12</v>
      </c>
      <c r="J9" s="14">
        <f t="shared" si="37"/>
        <v>0.12</v>
      </c>
      <c r="K9" s="14">
        <f t="shared" si="37"/>
        <v>0.12</v>
      </c>
      <c r="L9" s="14">
        <f t="shared" si="37"/>
        <v>0.12</v>
      </c>
      <c r="M9" s="14">
        <f t="shared" si="37"/>
        <v>0.12</v>
      </c>
      <c r="N9" s="14">
        <f t="shared" si="37"/>
        <v>0.12</v>
      </c>
      <c r="O9" s="14">
        <v>0.11</v>
      </c>
      <c r="P9" s="14">
        <v>0.11</v>
      </c>
      <c r="Q9" s="14">
        <v>0.11</v>
      </c>
      <c r="R9" s="14">
        <v>0.11</v>
      </c>
      <c r="S9" s="14">
        <v>0.11</v>
      </c>
      <c r="T9" s="14">
        <v>0.11</v>
      </c>
      <c r="U9" s="14">
        <v>0.11</v>
      </c>
      <c r="V9" s="14">
        <v>0.11</v>
      </c>
      <c r="W9" s="14">
        <v>0.11</v>
      </c>
      <c r="X9" s="14">
        <v>0.11</v>
      </c>
      <c r="Y9" s="14">
        <v>0.11</v>
      </c>
      <c r="Z9" s="14">
        <v>0.11</v>
      </c>
      <c r="AA9" s="14">
        <v>0.1</v>
      </c>
      <c r="AB9" s="14">
        <v>0.1</v>
      </c>
      <c r="AC9" s="14">
        <v>0.1</v>
      </c>
      <c r="AD9" s="14">
        <v>0.1</v>
      </c>
      <c r="AE9" s="14">
        <v>0.1</v>
      </c>
      <c r="AF9" s="14">
        <v>0.1</v>
      </c>
      <c r="AG9" s="14">
        <v>0.1</v>
      </c>
      <c r="AH9" s="14">
        <v>0.1</v>
      </c>
      <c r="AI9" s="14">
        <v>0.1</v>
      </c>
      <c r="AJ9" s="14">
        <v>0.1</v>
      </c>
      <c r="AK9" s="14">
        <v>0.1</v>
      </c>
      <c r="AL9" s="14">
        <v>0.1</v>
      </c>
      <c r="AM9" s="28" t="s">
        <v>59</v>
      </c>
    </row>
    <row r="10" spans="1:39" ht="12.75" customHeight="1" outlineLevel="1" x14ac:dyDescent="0.25">
      <c r="A10" s="12">
        <v>0.15</v>
      </c>
      <c r="B10" s="13" t="s">
        <v>6</v>
      </c>
      <c r="C10" s="14">
        <f t="shared" ref="C10:AL10" si="38">$A$10</f>
        <v>0.15</v>
      </c>
      <c r="D10" s="14">
        <f t="shared" si="38"/>
        <v>0.15</v>
      </c>
      <c r="E10" s="14">
        <f t="shared" si="38"/>
        <v>0.15</v>
      </c>
      <c r="F10" s="14">
        <f t="shared" si="38"/>
        <v>0.15</v>
      </c>
      <c r="G10" s="14">
        <f t="shared" si="38"/>
        <v>0.15</v>
      </c>
      <c r="H10" s="14">
        <f t="shared" si="38"/>
        <v>0.15</v>
      </c>
      <c r="I10" s="14">
        <f t="shared" si="38"/>
        <v>0.15</v>
      </c>
      <c r="J10" s="14">
        <f t="shared" si="38"/>
        <v>0.15</v>
      </c>
      <c r="K10" s="14">
        <f t="shared" si="38"/>
        <v>0.15</v>
      </c>
      <c r="L10" s="14">
        <f t="shared" si="38"/>
        <v>0.15</v>
      </c>
      <c r="M10" s="14">
        <f t="shared" si="38"/>
        <v>0.15</v>
      </c>
      <c r="N10" s="14">
        <f t="shared" si="38"/>
        <v>0.15</v>
      </c>
      <c r="O10" s="14">
        <v>0.14000000000000001</v>
      </c>
      <c r="P10" s="14">
        <v>0.14000000000000001</v>
      </c>
      <c r="Q10" s="14">
        <v>0.14000000000000001</v>
      </c>
      <c r="R10" s="14">
        <v>0.14000000000000001</v>
      </c>
      <c r="S10" s="14">
        <v>0.14000000000000001</v>
      </c>
      <c r="T10" s="14">
        <v>0.14000000000000001</v>
      </c>
      <c r="U10" s="14">
        <v>0.14000000000000001</v>
      </c>
      <c r="V10" s="14">
        <v>0.14000000000000001</v>
      </c>
      <c r="W10" s="14">
        <v>0.14000000000000001</v>
      </c>
      <c r="X10" s="14">
        <v>0.14000000000000001</v>
      </c>
      <c r="Y10" s="14">
        <v>0.14000000000000001</v>
      </c>
      <c r="Z10" s="14">
        <v>0.14000000000000001</v>
      </c>
      <c r="AA10" s="14">
        <v>0.13</v>
      </c>
      <c r="AB10" s="14">
        <v>0.13</v>
      </c>
      <c r="AC10" s="14">
        <v>0.13</v>
      </c>
      <c r="AD10" s="14">
        <v>0.13</v>
      </c>
      <c r="AE10" s="14">
        <v>0.13</v>
      </c>
      <c r="AF10" s="14">
        <v>0.13</v>
      </c>
      <c r="AG10" s="14">
        <v>0.13</v>
      </c>
      <c r="AH10" s="14">
        <v>0.13</v>
      </c>
      <c r="AI10" s="14">
        <v>0.13</v>
      </c>
      <c r="AJ10" s="14">
        <v>0.13</v>
      </c>
      <c r="AK10" s="14">
        <v>0.13</v>
      </c>
      <c r="AL10" s="14">
        <v>0.13</v>
      </c>
    </row>
    <row r="11" spans="1:39" ht="12.75" customHeight="1" outlineLevel="1" x14ac:dyDescent="0.25">
      <c r="A11" s="12">
        <v>0.33</v>
      </c>
      <c r="B11" s="13" t="s">
        <v>7</v>
      </c>
      <c r="C11" s="14">
        <f t="shared" ref="C11:AL11" si="39">$A$11</f>
        <v>0.33</v>
      </c>
      <c r="D11" s="14">
        <f t="shared" si="39"/>
        <v>0.33</v>
      </c>
      <c r="E11" s="14">
        <f t="shared" si="39"/>
        <v>0.33</v>
      </c>
      <c r="F11" s="14">
        <f t="shared" si="39"/>
        <v>0.33</v>
      </c>
      <c r="G11" s="14">
        <f t="shared" si="39"/>
        <v>0.33</v>
      </c>
      <c r="H11" s="14">
        <f t="shared" si="39"/>
        <v>0.33</v>
      </c>
      <c r="I11" s="14">
        <f t="shared" si="39"/>
        <v>0.33</v>
      </c>
      <c r="J11" s="14">
        <f t="shared" si="39"/>
        <v>0.33</v>
      </c>
      <c r="K11" s="14">
        <f t="shared" si="39"/>
        <v>0.33</v>
      </c>
      <c r="L11" s="14">
        <f t="shared" si="39"/>
        <v>0.33</v>
      </c>
      <c r="M11" s="14">
        <f t="shared" si="39"/>
        <v>0.33</v>
      </c>
      <c r="N11" s="14">
        <f t="shared" si="39"/>
        <v>0.33</v>
      </c>
      <c r="O11" s="14">
        <v>0.3</v>
      </c>
      <c r="P11" s="14">
        <v>0.3</v>
      </c>
      <c r="Q11" s="14">
        <v>0.3</v>
      </c>
      <c r="R11" s="14">
        <v>0.3</v>
      </c>
      <c r="S11" s="14">
        <v>0.3</v>
      </c>
      <c r="T11" s="14">
        <v>0.3</v>
      </c>
      <c r="U11" s="14">
        <v>0.3</v>
      </c>
      <c r="V11" s="14">
        <v>0.3</v>
      </c>
      <c r="W11" s="14">
        <v>0.3</v>
      </c>
      <c r="X11" s="14">
        <v>0.3</v>
      </c>
      <c r="Y11" s="14">
        <v>0.3</v>
      </c>
      <c r="Z11" s="14">
        <v>0.3</v>
      </c>
      <c r="AA11" s="14">
        <v>0.27</v>
      </c>
      <c r="AB11" s="14">
        <v>0.27</v>
      </c>
      <c r="AC11" s="14">
        <v>0.27</v>
      </c>
      <c r="AD11" s="14">
        <v>0.27</v>
      </c>
      <c r="AE11" s="14">
        <v>0.27</v>
      </c>
      <c r="AF11" s="14">
        <v>0.27</v>
      </c>
      <c r="AG11" s="14">
        <v>0.27</v>
      </c>
      <c r="AH11" s="14">
        <v>0.27</v>
      </c>
      <c r="AI11" s="14">
        <v>0.27</v>
      </c>
      <c r="AJ11" s="14">
        <v>0.27</v>
      </c>
      <c r="AK11" s="14">
        <v>0.27</v>
      </c>
      <c r="AL11" s="14">
        <v>0.27</v>
      </c>
    </row>
    <row r="12" spans="1:39" ht="12.75" customHeight="1" outlineLevel="1" x14ac:dyDescent="0.25">
      <c r="A12" s="1"/>
      <c r="B12" s="1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1:39" ht="12.75" customHeight="1" outlineLevel="1" x14ac:dyDescent="0.2">
      <c r="B13" s="8" t="s">
        <v>8</v>
      </c>
      <c r="C13" s="9">
        <v>952</v>
      </c>
      <c r="D13" s="9">
        <f>C13+20</f>
        <v>972</v>
      </c>
      <c r="E13" s="9">
        <f>D13+40</f>
        <v>1012</v>
      </c>
      <c r="F13" s="9">
        <f t="shared" ref="F13:T13" si="40">E13+50</f>
        <v>1062</v>
      </c>
      <c r="G13" s="9">
        <f t="shared" si="40"/>
        <v>1112</v>
      </c>
      <c r="H13" s="9">
        <f t="shared" si="40"/>
        <v>1162</v>
      </c>
      <c r="I13" s="9">
        <f>H13+100</f>
        <v>1262</v>
      </c>
      <c r="J13" s="9">
        <f>I13+200</f>
        <v>1462</v>
      </c>
      <c r="K13" s="9">
        <f>J13+300</f>
        <v>1762</v>
      </c>
      <c r="L13" s="9">
        <f>K13-100</f>
        <v>1662</v>
      </c>
      <c r="M13" s="9">
        <f>L13-150</f>
        <v>1512</v>
      </c>
      <c r="N13" s="9">
        <f>M13-150</f>
        <v>1362</v>
      </c>
      <c r="O13" s="9">
        <f>N13</f>
        <v>1362</v>
      </c>
      <c r="P13" s="9">
        <f>O13+20</f>
        <v>1382</v>
      </c>
      <c r="Q13" s="9">
        <f>P13+40</f>
        <v>1422</v>
      </c>
      <c r="R13" s="9">
        <f t="shared" si="40"/>
        <v>1472</v>
      </c>
      <c r="S13" s="9">
        <f t="shared" si="40"/>
        <v>1522</v>
      </c>
      <c r="T13" s="9">
        <f t="shared" si="40"/>
        <v>1572</v>
      </c>
      <c r="U13" s="9">
        <f>T13+100</f>
        <v>1672</v>
      </c>
      <c r="V13" s="9">
        <f>U13+200</f>
        <v>1872</v>
      </c>
      <c r="W13" s="9">
        <f>V13+300</f>
        <v>2172</v>
      </c>
      <c r="X13" s="9">
        <f>W13-100</f>
        <v>2072</v>
      </c>
      <c r="Y13" s="9">
        <f>X13-150</f>
        <v>1922</v>
      </c>
      <c r="Z13" s="9">
        <f>Y13-150</f>
        <v>1772</v>
      </c>
      <c r="AA13" s="9">
        <f>Z13</f>
        <v>1772</v>
      </c>
      <c r="AB13" s="9">
        <f>AA13+20</f>
        <v>1792</v>
      </c>
      <c r="AC13" s="9">
        <f>AB13+40</f>
        <v>1832</v>
      </c>
      <c r="AD13" s="9">
        <f t="shared" ref="AD13:AL13" si="41">AC13+50</f>
        <v>1882</v>
      </c>
      <c r="AE13" s="9">
        <f t="shared" si="41"/>
        <v>1932</v>
      </c>
      <c r="AF13" s="9">
        <f t="shared" si="41"/>
        <v>1982</v>
      </c>
      <c r="AG13" s="9">
        <f>AF13+100</f>
        <v>2082</v>
      </c>
      <c r="AH13" s="9">
        <f>AG13+200</f>
        <v>2282</v>
      </c>
      <c r="AI13" s="9">
        <f>AH13+300</f>
        <v>2582</v>
      </c>
      <c r="AJ13" s="9">
        <f>AI13-100</f>
        <v>2482</v>
      </c>
      <c r="AK13" s="9">
        <f>AJ13-150</f>
        <v>2332</v>
      </c>
      <c r="AL13" s="9">
        <f>AK13-150</f>
        <v>2182</v>
      </c>
    </row>
    <row r="14" spans="1:39" ht="12.75" customHeight="1" outlineLevel="1" x14ac:dyDescent="0.25">
      <c r="A14" s="1"/>
      <c r="B14" s="1" t="s">
        <v>9</v>
      </c>
      <c r="C14" s="11">
        <f t="shared" ref="C14:Z14" si="42">C13*C9</f>
        <v>114.24</v>
      </c>
      <c r="D14" s="11">
        <f t="shared" si="42"/>
        <v>116.64</v>
      </c>
      <c r="E14" s="11">
        <f t="shared" si="42"/>
        <v>121.44</v>
      </c>
      <c r="F14" s="11">
        <f t="shared" si="42"/>
        <v>127.44</v>
      </c>
      <c r="G14" s="11">
        <f t="shared" si="42"/>
        <v>133.44</v>
      </c>
      <c r="H14" s="11">
        <f t="shared" si="42"/>
        <v>139.44</v>
      </c>
      <c r="I14" s="11">
        <f t="shared" si="42"/>
        <v>151.44</v>
      </c>
      <c r="J14" s="11">
        <f t="shared" si="42"/>
        <v>175.44</v>
      </c>
      <c r="K14" s="11">
        <f t="shared" si="42"/>
        <v>211.44</v>
      </c>
      <c r="L14" s="11">
        <f t="shared" si="42"/>
        <v>199.44</v>
      </c>
      <c r="M14" s="11">
        <f t="shared" si="42"/>
        <v>181.44</v>
      </c>
      <c r="N14" s="11">
        <f t="shared" si="42"/>
        <v>163.44</v>
      </c>
      <c r="O14" s="11">
        <f t="shared" si="42"/>
        <v>149.82</v>
      </c>
      <c r="P14" s="11">
        <f t="shared" si="42"/>
        <v>152.02000000000001</v>
      </c>
      <c r="Q14" s="11">
        <f t="shared" si="42"/>
        <v>156.41999999999999</v>
      </c>
      <c r="R14" s="11">
        <f t="shared" si="42"/>
        <v>161.91999999999999</v>
      </c>
      <c r="S14" s="11">
        <f t="shared" si="42"/>
        <v>167.42</v>
      </c>
      <c r="T14" s="11">
        <f t="shared" si="42"/>
        <v>172.92</v>
      </c>
      <c r="U14" s="11">
        <f t="shared" si="42"/>
        <v>183.92</v>
      </c>
      <c r="V14" s="11">
        <f t="shared" si="42"/>
        <v>205.92</v>
      </c>
      <c r="W14" s="11">
        <f t="shared" si="42"/>
        <v>238.92</v>
      </c>
      <c r="X14" s="11">
        <f t="shared" si="42"/>
        <v>227.92</v>
      </c>
      <c r="Y14" s="11">
        <f t="shared" si="42"/>
        <v>211.42</v>
      </c>
      <c r="Z14" s="11">
        <f t="shared" si="42"/>
        <v>194.92</v>
      </c>
      <c r="AA14" s="11">
        <f t="shared" ref="AA14:AL14" si="43">AA13*AA9</f>
        <v>177.20000000000002</v>
      </c>
      <c r="AB14" s="11">
        <f t="shared" si="43"/>
        <v>179.20000000000002</v>
      </c>
      <c r="AC14" s="11">
        <f t="shared" si="43"/>
        <v>183.20000000000002</v>
      </c>
      <c r="AD14" s="11">
        <f t="shared" si="43"/>
        <v>188.20000000000002</v>
      </c>
      <c r="AE14" s="11">
        <f t="shared" si="43"/>
        <v>193.20000000000002</v>
      </c>
      <c r="AF14" s="11">
        <f t="shared" si="43"/>
        <v>198.20000000000002</v>
      </c>
      <c r="AG14" s="11">
        <f t="shared" si="43"/>
        <v>208.20000000000002</v>
      </c>
      <c r="AH14" s="11">
        <f t="shared" si="43"/>
        <v>228.20000000000002</v>
      </c>
      <c r="AI14" s="11">
        <f t="shared" si="43"/>
        <v>258.2</v>
      </c>
      <c r="AJ14" s="11">
        <f t="shared" si="43"/>
        <v>248.20000000000002</v>
      </c>
      <c r="AK14" s="11">
        <f t="shared" si="43"/>
        <v>233.20000000000002</v>
      </c>
      <c r="AL14" s="11">
        <f t="shared" si="43"/>
        <v>218.20000000000002</v>
      </c>
    </row>
    <row r="15" spans="1:39" ht="12.75" customHeight="1" outlineLevel="1" x14ac:dyDescent="0.25">
      <c r="A15" s="1"/>
      <c r="B15" s="13" t="s">
        <v>10</v>
      </c>
      <c r="C15" s="11">
        <f t="shared" ref="C15:Z16" si="44">ROUNDDOWN(C14*C10,0)</f>
        <v>17</v>
      </c>
      <c r="D15" s="11">
        <f t="shared" si="44"/>
        <v>17</v>
      </c>
      <c r="E15" s="11">
        <f t="shared" si="44"/>
        <v>18</v>
      </c>
      <c r="F15" s="11">
        <f t="shared" si="44"/>
        <v>19</v>
      </c>
      <c r="G15" s="11">
        <f t="shared" si="44"/>
        <v>20</v>
      </c>
      <c r="H15" s="11">
        <f t="shared" si="44"/>
        <v>20</v>
      </c>
      <c r="I15" s="11">
        <f t="shared" si="44"/>
        <v>22</v>
      </c>
      <c r="J15" s="11">
        <f t="shared" si="44"/>
        <v>26</v>
      </c>
      <c r="K15" s="11">
        <f t="shared" si="44"/>
        <v>31</v>
      </c>
      <c r="L15" s="11">
        <f t="shared" si="44"/>
        <v>29</v>
      </c>
      <c r="M15" s="11">
        <f t="shared" si="44"/>
        <v>27</v>
      </c>
      <c r="N15" s="11">
        <f t="shared" si="44"/>
        <v>24</v>
      </c>
      <c r="O15" s="11">
        <f t="shared" si="44"/>
        <v>20</v>
      </c>
      <c r="P15" s="11">
        <f t="shared" si="44"/>
        <v>21</v>
      </c>
      <c r="Q15" s="11">
        <f t="shared" si="44"/>
        <v>21</v>
      </c>
      <c r="R15" s="11">
        <f t="shared" si="44"/>
        <v>22</v>
      </c>
      <c r="S15" s="11">
        <f t="shared" si="44"/>
        <v>23</v>
      </c>
      <c r="T15" s="11">
        <f t="shared" si="44"/>
        <v>24</v>
      </c>
      <c r="U15" s="11">
        <f t="shared" si="44"/>
        <v>25</v>
      </c>
      <c r="V15" s="11">
        <f t="shared" si="44"/>
        <v>28</v>
      </c>
      <c r="W15" s="11">
        <f t="shared" si="44"/>
        <v>33</v>
      </c>
      <c r="X15" s="11">
        <f t="shared" si="44"/>
        <v>31</v>
      </c>
      <c r="Y15" s="11">
        <f t="shared" si="44"/>
        <v>29</v>
      </c>
      <c r="Z15" s="11">
        <f t="shared" si="44"/>
        <v>27</v>
      </c>
      <c r="AA15" s="11">
        <f t="shared" ref="AA15:AL15" si="45">ROUNDDOWN(AA14*AA10,0)</f>
        <v>23</v>
      </c>
      <c r="AB15" s="11">
        <f t="shared" si="45"/>
        <v>23</v>
      </c>
      <c r="AC15" s="11">
        <f t="shared" si="45"/>
        <v>23</v>
      </c>
      <c r="AD15" s="11">
        <f t="shared" si="45"/>
        <v>24</v>
      </c>
      <c r="AE15" s="11">
        <f t="shared" si="45"/>
        <v>25</v>
      </c>
      <c r="AF15" s="11">
        <f t="shared" si="45"/>
        <v>25</v>
      </c>
      <c r="AG15" s="11">
        <f t="shared" si="45"/>
        <v>27</v>
      </c>
      <c r="AH15" s="11">
        <f t="shared" si="45"/>
        <v>29</v>
      </c>
      <c r="AI15" s="11">
        <f t="shared" si="45"/>
        <v>33</v>
      </c>
      <c r="AJ15" s="11">
        <f t="shared" si="45"/>
        <v>32</v>
      </c>
      <c r="AK15" s="11">
        <f t="shared" si="45"/>
        <v>30</v>
      </c>
      <c r="AL15" s="11">
        <f t="shared" si="45"/>
        <v>28</v>
      </c>
    </row>
    <row r="16" spans="1:39" ht="12.75" customHeight="1" outlineLevel="1" x14ac:dyDescent="0.25">
      <c r="A16" s="1"/>
      <c r="B16" s="13" t="s">
        <v>11</v>
      </c>
      <c r="C16" s="11">
        <f t="shared" si="44"/>
        <v>5</v>
      </c>
      <c r="D16" s="11">
        <f t="shared" si="44"/>
        <v>5</v>
      </c>
      <c r="E16" s="11">
        <f t="shared" si="44"/>
        <v>5</v>
      </c>
      <c r="F16" s="11">
        <f t="shared" si="44"/>
        <v>6</v>
      </c>
      <c r="G16" s="11">
        <f t="shared" si="44"/>
        <v>6</v>
      </c>
      <c r="H16" s="11">
        <f t="shared" si="44"/>
        <v>6</v>
      </c>
      <c r="I16" s="11">
        <f t="shared" si="44"/>
        <v>7</v>
      </c>
      <c r="J16" s="11">
        <f t="shared" si="44"/>
        <v>8</v>
      </c>
      <c r="K16" s="11">
        <f t="shared" si="44"/>
        <v>10</v>
      </c>
      <c r="L16" s="11">
        <f t="shared" si="44"/>
        <v>9</v>
      </c>
      <c r="M16" s="11">
        <f t="shared" si="44"/>
        <v>8</v>
      </c>
      <c r="N16" s="11">
        <f t="shared" si="44"/>
        <v>7</v>
      </c>
      <c r="O16" s="11">
        <f t="shared" si="44"/>
        <v>6</v>
      </c>
      <c r="P16" s="11">
        <f t="shared" si="44"/>
        <v>6</v>
      </c>
      <c r="Q16" s="11">
        <f t="shared" si="44"/>
        <v>6</v>
      </c>
      <c r="R16" s="11">
        <f t="shared" si="44"/>
        <v>6</v>
      </c>
      <c r="S16" s="11">
        <f t="shared" si="44"/>
        <v>6</v>
      </c>
      <c r="T16" s="11">
        <f t="shared" si="44"/>
        <v>7</v>
      </c>
      <c r="U16" s="11">
        <f t="shared" si="44"/>
        <v>7</v>
      </c>
      <c r="V16" s="11">
        <f t="shared" si="44"/>
        <v>8</v>
      </c>
      <c r="W16" s="11">
        <f t="shared" si="44"/>
        <v>9</v>
      </c>
      <c r="X16" s="11">
        <f t="shared" si="44"/>
        <v>9</v>
      </c>
      <c r="Y16" s="11">
        <f t="shared" si="44"/>
        <v>8</v>
      </c>
      <c r="Z16" s="11">
        <f t="shared" si="44"/>
        <v>8</v>
      </c>
      <c r="AA16" s="11">
        <f t="shared" ref="AA16:AL16" si="46">ROUNDDOWN(AA15*AA11,0)</f>
        <v>6</v>
      </c>
      <c r="AB16" s="11">
        <f t="shared" si="46"/>
        <v>6</v>
      </c>
      <c r="AC16" s="11">
        <f t="shared" si="46"/>
        <v>6</v>
      </c>
      <c r="AD16" s="11">
        <f t="shared" si="46"/>
        <v>6</v>
      </c>
      <c r="AE16" s="11">
        <f t="shared" si="46"/>
        <v>6</v>
      </c>
      <c r="AF16" s="11">
        <f t="shared" si="46"/>
        <v>6</v>
      </c>
      <c r="AG16" s="11">
        <f t="shared" si="46"/>
        <v>7</v>
      </c>
      <c r="AH16" s="11">
        <f t="shared" si="46"/>
        <v>7</v>
      </c>
      <c r="AI16" s="11">
        <f t="shared" si="46"/>
        <v>8</v>
      </c>
      <c r="AJ16" s="11">
        <f t="shared" si="46"/>
        <v>8</v>
      </c>
      <c r="AK16" s="11">
        <f t="shared" si="46"/>
        <v>8</v>
      </c>
      <c r="AL16" s="11">
        <f t="shared" si="46"/>
        <v>7</v>
      </c>
    </row>
    <row r="17" spans="1:45" ht="12.75" customHeight="1" outlineLevel="1" x14ac:dyDescent="0.25">
      <c r="A17" s="1"/>
      <c r="B17" s="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45" ht="12.75" customHeight="1" outlineLevel="1" x14ac:dyDescent="0.2">
      <c r="A18" s="7">
        <v>75000</v>
      </c>
      <c r="B18" s="8" t="s">
        <v>12</v>
      </c>
      <c r="C18" s="9">
        <f t="shared" ref="C18:AL18" si="47">$A$18</f>
        <v>75000</v>
      </c>
      <c r="D18" s="9">
        <f t="shared" si="47"/>
        <v>75000</v>
      </c>
      <c r="E18" s="9">
        <f t="shared" si="47"/>
        <v>75000</v>
      </c>
      <c r="F18" s="9">
        <f t="shared" si="47"/>
        <v>75000</v>
      </c>
      <c r="G18" s="9">
        <f t="shared" si="47"/>
        <v>75000</v>
      </c>
      <c r="H18" s="9">
        <f t="shared" si="47"/>
        <v>75000</v>
      </c>
      <c r="I18" s="9">
        <f t="shared" si="47"/>
        <v>75000</v>
      </c>
      <c r="J18" s="9">
        <f t="shared" si="47"/>
        <v>75000</v>
      </c>
      <c r="K18" s="9">
        <f t="shared" si="47"/>
        <v>75000</v>
      </c>
      <c r="L18" s="9">
        <f t="shared" si="47"/>
        <v>75000</v>
      </c>
      <c r="M18" s="9">
        <f t="shared" si="47"/>
        <v>75000</v>
      </c>
      <c r="N18" s="9">
        <f t="shared" si="47"/>
        <v>75000</v>
      </c>
      <c r="O18" s="9">
        <f t="shared" si="47"/>
        <v>75000</v>
      </c>
      <c r="P18" s="9">
        <f t="shared" si="47"/>
        <v>75000</v>
      </c>
      <c r="Q18" s="9">
        <f t="shared" si="47"/>
        <v>75000</v>
      </c>
      <c r="R18" s="9">
        <f t="shared" si="47"/>
        <v>75000</v>
      </c>
      <c r="S18" s="9">
        <f t="shared" si="47"/>
        <v>75000</v>
      </c>
      <c r="T18" s="9">
        <f t="shared" si="47"/>
        <v>75000</v>
      </c>
      <c r="U18" s="9">
        <f t="shared" si="47"/>
        <v>75000</v>
      </c>
      <c r="V18" s="9">
        <f t="shared" si="47"/>
        <v>75000</v>
      </c>
      <c r="W18" s="9">
        <f t="shared" si="47"/>
        <v>75000</v>
      </c>
      <c r="X18" s="9">
        <f t="shared" si="47"/>
        <v>75000</v>
      </c>
      <c r="Y18" s="9">
        <f t="shared" si="47"/>
        <v>75000</v>
      </c>
      <c r="Z18" s="9">
        <f t="shared" si="47"/>
        <v>75000</v>
      </c>
      <c r="AA18" s="9">
        <f t="shared" si="47"/>
        <v>75000</v>
      </c>
      <c r="AB18" s="9">
        <f t="shared" si="47"/>
        <v>75000</v>
      </c>
      <c r="AC18" s="9">
        <f t="shared" si="47"/>
        <v>75000</v>
      </c>
      <c r="AD18" s="9">
        <f t="shared" si="47"/>
        <v>75000</v>
      </c>
      <c r="AE18" s="9">
        <f t="shared" si="47"/>
        <v>75000</v>
      </c>
      <c r="AF18" s="9">
        <f t="shared" si="47"/>
        <v>75000</v>
      </c>
      <c r="AG18" s="9">
        <f t="shared" si="47"/>
        <v>75000</v>
      </c>
      <c r="AH18" s="9">
        <f t="shared" si="47"/>
        <v>75000</v>
      </c>
      <c r="AI18" s="9">
        <f t="shared" si="47"/>
        <v>75000</v>
      </c>
      <c r="AJ18" s="9">
        <f t="shared" si="47"/>
        <v>75000</v>
      </c>
      <c r="AK18" s="9">
        <f t="shared" si="47"/>
        <v>75000</v>
      </c>
      <c r="AL18" s="9">
        <f t="shared" si="47"/>
        <v>75000</v>
      </c>
    </row>
    <row r="19" spans="1:45" ht="12.75" customHeight="1" outlineLevel="1" x14ac:dyDescent="0.25">
      <c r="A19" s="10">
        <v>950</v>
      </c>
      <c r="B19" s="1" t="s">
        <v>13</v>
      </c>
      <c r="C19" s="11">
        <f t="shared" ref="C19:AL19" si="48">$A$19</f>
        <v>950</v>
      </c>
      <c r="D19" s="11">
        <f t="shared" si="48"/>
        <v>950</v>
      </c>
      <c r="E19" s="11">
        <f t="shared" si="48"/>
        <v>950</v>
      </c>
      <c r="F19" s="11">
        <f t="shared" si="48"/>
        <v>950</v>
      </c>
      <c r="G19" s="11">
        <f t="shared" si="48"/>
        <v>950</v>
      </c>
      <c r="H19" s="11">
        <f t="shared" si="48"/>
        <v>950</v>
      </c>
      <c r="I19" s="11">
        <f t="shared" si="48"/>
        <v>950</v>
      </c>
      <c r="J19" s="11">
        <f t="shared" si="48"/>
        <v>950</v>
      </c>
      <c r="K19" s="11">
        <f t="shared" si="48"/>
        <v>950</v>
      </c>
      <c r="L19" s="11">
        <f t="shared" si="48"/>
        <v>950</v>
      </c>
      <c r="M19" s="11">
        <f t="shared" si="48"/>
        <v>950</v>
      </c>
      <c r="N19" s="11">
        <f t="shared" si="48"/>
        <v>950</v>
      </c>
      <c r="O19" s="11">
        <f t="shared" si="48"/>
        <v>950</v>
      </c>
      <c r="P19" s="11">
        <f t="shared" si="48"/>
        <v>950</v>
      </c>
      <c r="Q19" s="11">
        <f t="shared" si="48"/>
        <v>950</v>
      </c>
      <c r="R19" s="11">
        <f t="shared" si="48"/>
        <v>950</v>
      </c>
      <c r="S19" s="11">
        <f t="shared" si="48"/>
        <v>950</v>
      </c>
      <c r="T19" s="11">
        <f t="shared" si="48"/>
        <v>950</v>
      </c>
      <c r="U19" s="11">
        <f t="shared" si="48"/>
        <v>950</v>
      </c>
      <c r="V19" s="11">
        <f t="shared" si="48"/>
        <v>950</v>
      </c>
      <c r="W19" s="11">
        <f t="shared" si="48"/>
        <v>950</v>
      </c>
      <c r="X19" s="11">
        <f t="shared" si="48"/>
        <v>950</v>
      </c>
      <c r="Y19" s="11">
        <f t="shared" si="48"/>
        <v>950</v>
      </c>
      <c r="Z19" s="11">
        <f t="shared" si="48"/>
        <v>950</v>
      </c>
      <c r="AA19" s="11">
        <f t="shared" si="48"/>
        <v>950</v>
      </c>
      <c r="AB19" s="11">
        <f t="shared" si="48"/>
        <v>950</v>
      </c>
      <c r="AC19" s="11">
        <f t="shared" si="48"/>
        <v>950</v>
      </c>
      <c r="AD19" s="11">
        <f t="shared" si="48"/>
        <v>950</v>
      </c>
      <c r="AE19" s="11">
        <f t="shared" si="48"/>
        <v>950</v>
      </c>
      <c r="AF19" s="11">
        <f t="shared" si="48"/>
        <v>950</v>
      </c>
      <c r="AG19" s="11">
        <f t="shared" si="48"/>
        <v>950</v>
      </c>
      <c r="AH19" s="11">
        <f t="shared" si="48"/>
        <v>950</v>
      </c>
      <c r="AI19" s="11">
        <f t="shared" si="48"/>
        <v>950</v>
      </c>
      <c r="AJ19" s="11">
        <f t="shared" si="48"/>
        <v>950</v>
      </c>
      <c r="AK19" s="11">
        <f t="shared" si="48"/>
        <v>950</v>
      </c>
      <c r="AL19" s="11">
        <f t="shared" si="48"/>
        <v>950</v>
      </c>
    </row>
    <row r="20" spans="1:45" ht="12.75" customHeight="1" outlineLevel="1" x14ac:dyDescent="0.25">
      <c r="A20" s="15">
        <v>0.01</v>
      </c>
      <c r="B20" s="1" t="s">
        <v>14</v>
      </c>
      <c r="C20" s="16">
        <f t="shared" ref="C20:AL20" si="49">$A$20</f>
        <v>0.01</v>
      </c>
      <c r="D20" s="16">
        <f t="shared" si="49"/>
        <v>0.01</v>
      </c>
      <c r="E20" s="16">
        <f t="shared" si="49"/>
        <v>0.01</v>
      </c>
      <c r="F20" s="16">
        <f t="shared" si="49"/>
        <v>0.01</v>
      </c>
      <c r="G20" s="16">
        <f t="shared" si="49"/>
        <v>0.01</v>
      </c>
      <c r="H20" s="16">
        <f t="shared" si="49"/>
        <v>0.01</v>
      </c>
      <c r="I20" s="16">
        <f t="shared" si="49"/>
        <v>0.01</v>
      </c>
      <c r="J20" s="16">
        <f t="shared" si="49"/>
        <v>0.01</v>
      </c>
      <c r="K20" s="16">
        <f t="shared" si="49"/>
        <v>0.01</v>
      </c>
      <c r="L20" s="16">
        <f t="shared" si="49"/>
        <v>0.01</v>
      </c>
      <c r="M20" s="16">
        <f t="shared" si="49"/>
        <v>0.01</v>
      </c>
      <c r="N20" s="16">
        <f t="shared" si="49"/>
        <v>0.01</v>
      </c>
      <c r="O20" s="16">
        <f t="shared" si="49"/>
        <v>0.01</v>
      </c>
      <c r="P20" s="16">
        <f t="shared" si="49"/>
        <v>0.01</v>
      </c>
      <c r="Q20" s="16">
        <f t="shared" si="49"/>
        <v>0.01</v>
      </c>
      <c r="R20" s="16">
        <f t="shared" si="49"/>
        <v>0.01</v>
      </c>
      <c r="S20" s="16">
        <f t="shared" si="49"/>
        <v>0.01</v>
      </c>
      <c r="T20" s="16">
        <f t="shared" si="49"/>
        <v>0.01</v>
      </c>
      <c r="U20" s="16">
        <f t="shared" si="49"/>
        <v>0.01</v>
      </c>
      <c r="V20" s="16">
        <f t="shared" si="49"/>
        <v>0.01</v>
      </c>
      <c r="W20" s="16">
        <f t="shared" si="49"/>
        <v>0.01</v>
      </c>
      <c r="X20" s="16">
        <f t="shared" si="49"/>
        <v>0.01</v>
      </c>
      <c r="Y20" s="16">
        <f t="shared" si="49"/>
        <v>0.01</v>
      </c>
      <c r="Z20" s="16">
        <f t="shared" si="49"/>
        <v>0.01</v>
      </c>
      <c r="AA20" s="16">
        <f t="shared" si="49"/>
        <v>0.01</v>
      </c>
      <c r="AB20" s="16">
        <f t="shared" si="49"/>
        <v>0.01</v>
      </c>
      <c r="AC20" s="16">
        <f t="shared" si="49"/>
        <v>0.01</v>
      </c>
      <c r="AD20" s="16">
        <f t="shared" si="49"/>
        <v>0.01</v>
      </c>
      <c r="AE20" s="16">
        <f t="shared" si="49"/>
        <v>0.01</v>
      </c>
      <c r="AF20" s="16">
        <f t="shared" si="49"/>
        <v>0.01</v>
      </c>
      <c r="AG20" s="16">
        <f t="shared" si="49"/>
        <v>0.01</v>
      </c>
      <c r="AH20" s="16">
        <f t="shared" si="49"/>
        <v>0.01</v>
      </c>
      <c r="AI20" s="16">
        <f t="shared" si="49"/>
        <v>0.01</v>
      </c>
      <c r="AJ20" s="16">
        <f t="shared" si="49"/>
        <v>0.01</v>
      </c>
      <c r="AK20" s="16">
        <f t="shared" si="49"/>
        <v>0.01</v>
      </c>
      <c r="AL20" s="16">
        <f t="shared" si="49"/>
        <v>0.01</v>
      </c>
    </row>
    <row r="21" spans="1:45" ht="12.75" customHeight="1" outlineLevel="1" x14ac:dyDescent="0.25">
      <c r="A21" s="12">
        <v>0.05</v>
      </c>
      <c r="B21" s="13" t="s">
        <v>15</v>
      </c>
      <c r="C21" s="14">
        <f t="shared" ref="C21:AL21" si="50">$A$21</f>
        <v>0.05</v>
      </c>
      <c r="D21" s="14">
        <f t="shared" si="50"/>
        <v>0.05</v>
      </c>
      <c r="E21" s="14">
        <f t="shared" si="50"/>
        <v>0.05</v>
      </c>
      <c r="F21" s="14">
        <f t="shared" si="50"/>
        <v>0.05</v>
      </c>
      <c r="G21" s="14">
        <f t="shared" si="50"/>
        <v>0.05</v>
      </c>
      <c r="H21" s="14">
        <f t="shared" si="50"/>
        <v>0.05</v>
      </c>
      <c r="I21" s="14">
        <f t="shared" si="50"/>
        <v>0.05</v>
      </c>
      <c r="J21" s="14">
        <f t="shared" si="50"/>
        <v>0.05</v>
      </c>
      <c r="K21" s="14">
        <f t="shared" si="50"/>
        <v>0.05</v>
      </c>
      <c r="L21" s="14">
        <f t="shared" si="50"/>
        <v>0.05</v>
      </c>
      <c r="M21" s="14">
        <f t="shared" si="50"/>
        <v>0.05</v>
      </c>
      <c r="N21" s="14">
        <f t="shared" si="50"/>
        <v>0.05</v>
      </c>
      <c r="O21" s="14">
        <f t="shared" si="50"/>
        <v>0.05</v>
      </c>
      <c r="P21" s="14">
        <f t="shared" si="50"/>
        <v>0.05</v>
      </c>
      <c r="Q21" s="14">
        <f t="shared" si="50"/>
        <v>0.05</v>
      </c>
      <c r="R21" s="14">
        <f t="shared" si="50"/>
        <v>0.05</v>
      </c>
      <c r="S21" s="14">
        <f t="shared" si="50"/>
        <v>0.05</v>
      </c>
      <c r="T21" s="14">
        <f t="shared" si="50"/>
        <v>0.05</v>
      </c>
      <c r="U21" s="14">
        <f t="shared" si="50"/>
        <v>0.05</v>
      </c>
      <c r="V21" s="14">
        <f t="shared" si="50"/>
        <v>0.05</v>
      </c>
      <c r="W21" s="14">
        <f t="shared" si="50"/>
        <v>0.05</v>
      </c>
      <c r="X21" s="14">
        <f t="shared" si="50"/>
        <v>0.05</v>
      </c>
      <c r="Y21" s="14">
        <f t="shared" si="50"/>
        <v>0.05</v>
      </c>
      <c r="Z21" s="14">
        <f t="shared" si="50"/>
        <v>0.05</v>
      </c>
      <c r="AA21" s="14">
        <f t="shared" si="50"/>
        <v>0.05</v>
      </c>
      <c r="AB21" s="14">
        <f t="shared" si="50"/>
        <v>0.05</v>
      </c>
      <c r="AC21" s="14">
        <f t="shared" si="50"/>
        <v>0.05</v>
      </c>
      <c r="AD21" s="14">
        <f t="shared" si="50"/>
        <v>0.05</v>
      </c>
      <c r="AE21" s="14">
        <f t="shared" si="50"/>
        <v>0.05</v>
      </c>
      <c r="AF21" s="14">
        <f t="shared" si="50"/>
        <v>0.05</v>
      </c>
      <c r="AG21" s="14">
        <f t="shared" si="50"/>
        <v>0.05</v>
      </c>
      <c r="AH21" s="14">
        <f t="shared" si="50"/>
        <v>0.05</v>
      </c>
      <c r="AI21" s="14">
        <f t="shared" si="50"/>
        <v>0.05</v>
      </c>
      <c r="AJ21" s="14">
        <f t="shared" si="50"/>
        <v>0.05</v>
      </c>
      <c r="AK21" s="14">
        <f t="shared" si="50"/>
        <v>0.05</v>
      </c>
      <c r="AL21" s="14">
        <f t="shared" si="50"/>
        <v>0.05</v>
      </c>
      <c r="AS21" s="28" t="s">
        <v>58</v>
      </c>
    </row>
    <row r="22" spans="1:45" ht="12.75" customHeight="1" outlineLevel="1" x14ac:dyDescent="0.25">
      <c r="A22" s="12">
        <v>0.33</v>
      </c>
      <c r="B22" s="13" t="s">
        <v>16</v>
      </c>
      <c r="C22" s="14">
        <f t="shared" ref="C22:AL22" si="51">$A$11</f>
        <v>0.33</v>
      </c>
      <c r="D22" s="14">
        <f t="shared" si="51"/>
        <v>0.33</v>
      </c>
      <c r="E22" s="14">
        <f t="shared" si="51"/>
        <v>0.33</v>
      </c>
      <c r="F22" s="14">
        <f t="shared" si="51"/>
        <v>0.33</v>
      </c>
      <c r="G22" s="14">
        <f t="shared" si="51"/>
        <v>0.33</v>
      </c>
      <c r="H22" s="14">
        <f t="shared" si="51"/>
        <v>0.33</v>
      </c>
      <c r="I22" s="14">
        <f t="shared" si="51"/>
        <v>0.33</v>
      </c>
      <c r="J22" s="14">
        <f t="shared" si="51"/>
        <v>0.33</v>
      </c>
      <c r="K22" s="14">
        <f t="shared" si="51"/>
        <v>0.33</v>
      </c>
      <c r="L22" s="14">
        <f t="shared" si="51"/>
        <v>0.33</v>
      </c>
      <c r="M22" s="14">
        <f t="shared" si="51"/>
        <v>0.33</v>
      </c>
      <c r="N22" s="14">
        <f t="shared" si="51"/>
        <v>0.33</v>
      </c>
      <c r="O22" s="14">
        <f t="shared" si="51"/>
        <v>0.33</v>
      </c>
      <c r="P22" s="14">
        <f t="shared" si="51"/>
        <v>0.33</v>
      </c>
      <c r="Q22" s="14">
        <f t="shared" si="51"/>
        <v>0.33</v>
      </c>
      <c r="R22" s="14">
        <f t="shared" si="51"/>
        <v>0.33</v>
      </c>
      <c r="S22" s="14">
        <f t="shared" si="51"/>
        <v>0.33</v>
      </c>
      <c r="T22" s="14">
        <f t="shared" si="51"/>
        <v>0.33</v>
      </c>
      <c r="U22" s="14">
        <f t="shared" si="51"/>
        <v>0.33</v>
      </c>
      <c r="V22" s="14">
        <f t="shared" si="51"/>
        <v>0.33</v>
      </c>
      <c r="W22" s="14">
        <f t="shared" si="51"/>
        <v>0.33</v>
      </c>
      <c r="X22" s="14">
        <f t="shared" si="51"/>
        <v>0.33</v>
      </c>
      <c r="Y22" s="14">
        <f t="shared" si="51"/>
        <v>0.33</v>
      </c>
      <c r="Z22" s="14">
        <f t="shared" si="51"/>
        <v>0.33</v>
      </c>
      <c r="AA22" s="14">
        <f t="shared" si="51"/>
        <v>0.33</v>
      </c>
      <c r="AB22" s="14">
        <f t="shared" si="51"/>
        <v>0.33</v>
      </c>
      <c r="AC22" s="14">
        <f t="shared" si="51"/>
        <v>0.33</v>
      </c>
      <c r="AD22" s="14">
        <f t="shared" si="51"/>
        <v>0.33</v>
      </c>
      <c r="AE22" s="14">
        <f t="shared" si="51"/>
        <v>0.33</v>
      </c>
      <c r="AF22" s="14">
        <f t="shared" si="51"/>
        <v>0.33</v>
      </c>
      <c r="AG22" s="14">
        <f t="shared" si="51"/>
        <v>0.33</v>
      </c>
      <c r="AH22" s="14">
        <f t="shared" si="51"/>
        <v>0.33</v>
      </c>
      <c r="AI22" s="14">
        <f t="shared" si="51"/>
        <v>0.33</v>
      </c>
      <c r="AJ22" s="14">
        <f t="shared" si="51"/>
        <v>0.33</v>
      </c>
      <c r="AK22" s="14">
        <f t="shared" si="51"/>
        <v>0.33</v>
      </c>
      <c r="AL22" s="14">
        <f t="shared" si="51"/>
        <v>0.33</v>
      </c>
    </row>
    <row r="23" spans="1:45" ht="12.75" customHeight="1" outlineLevel="1" x14ac:dyDescent="0.25">
      <c r="A23" s="1"/>
      <c r="B23" s="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45" ht="12.75" customHeight="1" outlineLevel="1" x14ac:dyDescent="0.2">
      <c r="A24" s="4"/>
      <c r="B24" s="4" t="s">
        <v>17</v>
      </c>
      <c r="C24" s="9">
        <f t="shared" ref="C24:Z24" si="52">C18/C19*1000</f>
        <v>78947.368421052626</v>
      </c>
      <c r="D24" s="9">
        <f t="shared" si="52"/>
        <v>78947.368421052626</v>
      </c>
      <c r="E24" s="9">
        <f t="shared" si="52"/>
        <v>78947.368421052626</v>
      </c>
      <c r="F24" s="9">
        <f t="shared" si="52"/>
        <v>78947.368421052626</v>
      </c>
      <c r="G24" s="9">
        <f t="shared" si="52"/>
        <v>78947.368421052626</v>
      </c>
      <c r="H24" s="9">
        <f t="shared" si="52"/>
        <v>78947.368421052626</v>
      </c>
      <c r="I24" s="9">
        <f t="shared" si="52"/>
        <v>78947.368421052626</v>
      </c>
      <c r="J24" s="9">
        <f t="shared" si="52"/>
        <v>78947.368421052626</v>
      </c>
      <c r="K24" s="9">
        <f t="shared" si="52"/>
        <v>78947.368421052626</v>
      </c>
      <c r="L24" s="9">
        <f t="shared" si="52"/>
        <v>78947.368421052626</v>
      </c>
      <c r="M24" s="9">
        <f t="shared" si="52"/>
        <v>78947.368421052626</v>
      </c>
      <c r="N24" s="9">
        <f t="shared" si="52"/>
        <v>78947.368421052626</v>
      </c>
      <c r="O24" s="9">
        <f t="shared" si="52"/>
        <v>78947.368421052626</v>
      </c>
      <c r="P24" s="9">
        <f t="shared" si="52"/>
        <v>78947.368421052626</v>
      </c>
      <c r="Q24" s="9">
        <f t="shared" si="52"/>
        <v>78947.368421052626</v>
      </c>
      <c r="R24" s="9">
        <f t="shared" si="52"/>
        <v>78947.368421052626</v>
      </c>
      <c r="S24" s="9">
        <f t="shared" si="52"/>
        <v>78947.368421052626</v>
      </c>
      <c r="T24" s="9">
        <f t="shared" si="52"/>
        <v>78947.368421052626</v>
      </c>
      <c r="U24" s="9">
        <f t="shared" si="52"/>
        <v>78947.368421052626</v>
      </c>
      <c r="V24" s="9">
        <f t="shared" si="52"/>
        <v>78947.368421052626</v>
      </c>
      <c r="W24" s="9">
        <f t="shared" si="52"/>
        <v>78947.368421052626</v>
      </c>
      <c r="X24" s="9">
        <f t="shared" si="52"/>
        <v>78947.368421052626</v>
      </c>
      <c r="Y24" s="9">
        <f t="shared" si="52"/>
        <v>78947.368421052626</v>
      </c>
      <c r="Z24" s="9">
        <f t="shared" si="52"/>
        <v>78947.368421052626</v>
      </c>
      <c r="AA24" s="9">
        <f t="shared" ref="AA24:AL24" si="53">AA18/AA19*1000</f>
        <v>78947.368421052626</v>
      </c>
      <c r="AB24" s="9">
        <f t="shared" si="53"/>
        <v>78947.368421052626</v>
      </c>
      <c r="AC24" s="9">
        <f t="shared" si="53"/>
        <v>78947.368421052626</v>
      </c>
      <c r="AD24" s="9">
        <f t="shared" si="53"/>
        <v>78947.368421052626</v>
      </c>
      <c r="AE24" s="9">
        <f t="shared" si="53"/>
        <v>78947.368421052626</v>
      </c>
      <c r="AF24" s="9">
        <f t="shared" si="53"/>
        <v>78947.368421052626</v>
      </c>
      <c r="AG24" s="9">
        <f t="shared" si="53"/>
        <v>78947.368421052626</v>
      </c>
      <c r="AH24" s="9">
        <f t="shared" si="53"/>
        <v>78947.368421052626</v>
      </c>
      <c r="AI24" s="9">
        <f t="shared" si="53"/>
        <v>78947.368421052626</v>
      </c>
      <c r="AJ24" s="9">
        <f t="shared" si="53"/>
        <v>78947.368421052626</v>
      </c>
      <c r="AK24" s="9">
        <f t="shared" si="53"/>
        <v>78947.368421052626</v>
      </c>
      <c r="AL24" s="9">
        <f t="shared" si="53"/>
        <v>78947.368421052626</v>
      </c>
    </row>
    <row r="25" spans="1:45" ht="12.75" customHeight="1" outlineLevel="1" x14ac:dyDescent="0.25">
      <c r="A25" s="1"/>
      <c r="B25" s="1" t="s">
        <v>18</v>
      </c>
      <c r="C25" s="11">
        <f t="shared" ref="C25:Z25" si="54">C24*C20</f>
        <v>789.47368421052624</v>
      </c>
      <c r="D25" s="11">
        <f t="shared" si="54"/>
        <v>789.47368421052624</v>
      </c>
      <c r="E25" s="11">
        <f t="shared" si="54"/>
        <v>789.47368421052624</v>
      </c>
      <c r="F25" s="11">
        <f t="shared" si="54"/>
        <v>789.47368421052624</v>
      </c>
      <c r="G25" s="11">
        <f t="shared" si="54"/>
        <v>789.47368421052624</v>
      </c>
      <c r="H25" s="11">
        <f t="shared" si="54"/>
        <v>789.47368421052624</v>
      </c>
      <c r="I25" s="11">
        <f t="shared" si="54"/>
        <v>789.47368421052624</v>
      </c>
      <c r="J25" s="11">
        <f t="shared" si="54"/>
        <v>789.47368421052624</v>
      </c>
      <c r="K25" s="11">
        <f t="shared" si="54"/>
        <v>789.47368421052624</v>
      </c>
      <c r="L25" s="11">
        <f t="shared" si="54"/>
        <v>789.47368421052624</v>
      </c>
      <c r="M25" s="11">
        <f t="shared" si="54"/>
        <v>789.47368421052624</v>
      </c>
      <c r="N25" s="11">
        <f t="shared" si="54"/>
        <v>789.47368421052624</v>
      </c>
      <c r="O25" s="11">
        <f t="shared" si="54"/>
        <v>789.47368421052624</v>
      </c>
      <c r="P25" s="11">
        <f t="shared" si="54"/>
        <v>789.47368421052624</v>
      </c>
      <c r="Q25" s="11">
        <f t="shared" si="54"/>
        <v>789.47368421052624</v>
      </c>
      <c r="R25" s="11">
        <f t="shared" si="54"/>
        <v>789.47368421052624</v>
      </c>
      <c r="S25" s="11">
        <f t="shared" si="54"/>
        <v>789.47368421052624</v>
      </c>
      <c r="T25" s="11">
        <f t="shared" si="54"/>
        <v>789.47368421052624</v>
      </c>
      <c r="U25" s="11">
        <f t="shared" si="54"/>
        <v>789.47368421052624</v>
      </c>
      <c r="V25" s="11">
        <f t="shared" si="54"/>
        <v>789.47368421052624</v>
      </c>
      <c r="W25" s="11">
        <f t="shared" si="54"/>
        <v>789.47368421052624</v>
      </c>
      <c r="X25" s="11">
        <f t="shared" si="54"/>
        <v>789.47368421052624</v>
      </c>
      <c r="Y25" s="11">
        <f t="shared" si="54"/>
        <v>789.47368421052624</v>
      </c>
      <c r="Z25" s="11">
        <f t="shared" si="54"/>
        <v>789.47368421052624</v>
      </c>
      <c r="AA25" s="11">
        <f t="shared" ref="AA25:AL25" si="55">AA24*AA20</f>
        <v>789.47368421052624</v>
      </c>
      <c r="AB25" s="11">
        <f t="shared" si="55"/>
        <v>789.47368421052624</v>
      </c>
      <c r="AC25" s="11">
        <f t="shared" si="55"/>
        <v>789.47368421052624</v>
      </c>
      <c r="AD25" s="11">
        <f t="shared" si="55"/>
        <v>789.47368421052624</v>
      </c>
      <c r="AE25" s="11">
        <f t="shared" si="55"/>
        <v>789.47368421052624</v>
      </c>
      <c r="AF25" s="11">
        <f t="shared" si="55"/>
        <v>789.47368421052624</v>
      </c>
      <c r="AG25" s="11">
        <f t="shared" si="55"/>
        <v>789.47368421052624</v>
      </c>
      <c r="AH25" s="11">
        <f t="shared" si="55"/>
        <v>789.47368421052624</v>
      </c>
      <c r="AI25" s="11">
        <f t="shared" si="55"/>
        <v>789.47368421052624</v>
      </c>
      <c r="AJ25" s="11">
        <f t="shared" si="55"/>
        <v>789.47368421052624</v>
      </c>
      <c r="AK25" s="11">
        <f t="shared" si="55"/>
        <v>789.47368421052624</v>
      </c>
      <c r="AL25" s="11">
        <f t="shared" si="55"/>
        <v>789.47368421052624</v>
      </c>
    </row>
    <row r="26" spans="1:45" ht="12.75" customHeight="1" outlineLevel="1" x14ac:dyDescent="0.25">
      <c r="A26" s="1"/>
      <c r="B26" s="1" t="s">
        <v>19</v>
      </c>
      <c r="C26" s="11">
        <f t="shared" ref="C26:Z27" si="56">ROUNDDOWN(C25*C21,0)</f>
        <v>39</v>
      </c>
      <c r="D26" s="11">
        <f t="shared" si="56"/>
        <v>39</v>
      </c>
      <c r="E26" s="11">
        <f t="shared" si="56"/>
        <v>39</v>
      </c>
      <c r="F26" s="11">
        <f t="shared" si="56"/>
        <v>39</v>
      </c>
      <c r="G26" s="11">
        <f t="shared" si="56"/>
        <v>39</v>
      </c>
      <c r="H26" s="11">
        <f t="shared" si="56"/>
        <v>39</v>
      </c>
      <c r="I26" s="11">
        <f t="shared" si="56"/>
        <v>39</v>
      </c>
      <c r="J26" s="11">
        <f t="shared" si="56"/>
        <v>39</v>
      </c>
      <c r="K26" s="11">
        <f t="shared" si="56"/>
        <v>39</v>
      </c>
      <c r="L26" s="11">
        <f t="shared" si="56"/>
        <v>39</v>
      </c>
      <c r="M26" s="11">
        <f t="shared" si="56"/>
        <v>39</v>
      </c>
      <c r="N26" s="11">
        <f t="shared" si="56"/>
        <v>39</v>
      </c>
      <c r="O26" s="11">
        <f t="shared" si="56"/>
        <v>39</v>
      </c>
      <c r="P26" s="11">
        <f t="shared" si="56"/>
        <v>39</v>
      </c>
      <c r="Q26" s="11">
        <f t="shared" si="56"/>
        <v>39</v>
      </c>
      <c r="R26" s="11">
        <f t="shared" si="56"/>
        <v>39</v>
      </c>
      <c r="S26" s="11">
        <f t="shared" si="56"/>
        <v>39</v>
      </c>
      <c r="T26" s="11">
        <f t="shared" si="56"/>
        <v>39</v>
      </c>
      <c r="U26" s="11">
        <f t="shared" si="56"/>
        <v>39</v>
      </c>
      <c r="V26" s="11">
        <f t="shared" si="56"/>
        <v>39</v>
      </c>
      <c r="W26" s="11">
        <f t="shared" si="56"/>
        <v>39</v>
      </c>
      <c r="X26" s="11">
        <f t="shared" si="56"/>
        <v>39</v>
      </c>
      <c r="Y26" s="11">
        <f t="shared" si="56"/>
        <v>39</v>
      </c>
      <c r="Z26" s="11">
        <f t="shared" si="56"/>
        <v>39</v>
      </c>
      <c r="AA26" s="11">
        <f t="shared" ref="AA26:AL26" si="57">ROUNDDOWN(AA25*AA21,0)</f>
        <v>39</v>
      </c>
      <c r="AB26" s="11">
        <f t="shared" si="57"/>
        <v>39</v>
      </c>
      <c r="AC26" s="11">
        <f t="shared" si="57"/>
        <v>39</v>
      </c>
      <c r="AD26" s="11">
        <f t="shared" si="57"/>
        <v>39</v>
      </c>
      <c r="AE26" s="11">
        <f t="shared" si="57"/>
        <v>39</v>
      </c>
      <c r="AF26" s="11">
        <f t="shared" si="57"/>
        <v>39</v>
      </c>
      <c r="AG26" s="11">
        <f t="shared" si="57"/>
        <v>39</v>
      </c>
      <c r="AH26" s="11">
        <f t="shared" si="57"/>
        <v>39</v>
      </c>
      <c r="AI26" s="11">
        <f t="shared" si="57"/>
        <v>39</v>
      </c>
      <c r="AJ26" s="11">
        <f t="shared" si="57"/>
        <v>39</v>
      </c>
      <c r="AK26" s="11">
        <f t="shared" si="57"/>
        <v>39</v>
      </c>
      <c r="AL26" s="11">
        <f t="shared" si="57"/>
        <v>39</v>
      </c>
    </row>
    <row r="27" spans="1:45" ht="12.75" customHeight="1" outlineLevel="1" x14ac:dyDescent="0.25">
      <c r="A27" s="1"/>
      <c r="B27" s="13" t="s">
        <v>11</v>
      </c>
      <c r="C27" s="11">
        <f t="shared" si="56"/>
        <v>12</v>
      </c>
      <c r="D27" s="11">
        <f t="shared" si="56"/>
        <v>12</v>
      </c>
      <c r="E27" s="11">
        <f t="shared" si="56"/>
        <v>12</v>
      </c>
      <c r="F27" s="11">
        <f t="shared" si="56"/>
        <v>12</v>
      </c>
      <c r="G27" s="11">
        <f t="shared" si="56"/>
        <v>12</v>
      </c>
      <c r="H27" s="11">
        <f t="shared" si="56"/>
        <v>12</v>
      </c>
      <c r="I27" s="11">
        <f t="shared" si="56"/>
        <v>12</v>
      </c>
      <c r="J27" s="11">
        <f t="shared" si="56"/>
        <v>12</v>
      </c>
      <c r="K27" s="11">
        <f t="shared" si="56"/>
        <v>12</v>
      </c>
      <c r="L27" s="11">
        <f t="shared" si="56"/>
        <v>12</v>
      </c>
      <c r="M27" s="11">
        <f t="shared" si="56"/>
        <v>12</v>
      </c>
      <c r="N27" s="11">
        <f t="shared" si="56"/>
        <v>12</v>
      </c>
      <c r="O27" s="11">
        <f t="shared" si="56"/>
        <v>12</v>
      </c>
      <c r="P27" s="11">
        <f t="shared" si="56"/>
        <v>12</v>
      </c>
      <c r="Q27" s="11">
        <f t="shared" si="56"/>
        <v>12</v>
      </c>
      <c r="R27" s="11">
        <f t="shared" si="56"/>
        <v>12</v>
      </c>
      <c r="S27" s="11">
        <f t="shared" si="56"/>
        <v>12</v>
      </c>
      <c r="T27" s="11">
        <f t="shared" si="56"/>
        <v>12</v>
      </c>
      <c r="U27" s="11">
        <f t="shared" si="56"/>
        <v>12</v>
      </c>
      <c r="V27" s="11">
        <f t="shared" si="56"/>
        <v>12</v>
      </c>
      <c r="W27" s="11">
        <f t="shared" si="56"/>
        <v>12</v>
      </c>
      <c r="X27" s="11">
        <f t="shared" si="56"/>
        <v>12</v>
      </c>
      <c r="Y27" s="11">
        <f t="shared" si="56"/>
        <v>12</v>
      </c>
      <c r="Z27" s="11">
        <f t="shared" si="56"/>
        <v>12</v>
      </c>
      <c r="AA27" s="11">
        <f t="shared" ref="AA27:AL27" si="58">ROUNDDOWN(AA26*AA22,0)</f>
        <v>12</v>
      </c>
      <c r="AB27" s="11">
        <f t="shared" si="58"/>
        <v>12</v>
      </c>
      <c r="AC27" s="11">
        <f t="shared" si="58"/>
        <v>12</v>
      </c>
      <c r="AD27" s="11">
        <f t="shared" si="58"/>
        <v>12</v>
      </c>
      <c r="AE27" s="11">
        <f t="shared" si="58"/>
        <v>12</v>
      </c>
      <c r="AF27" s="11">
        <f t="shared" si="58"/>
        <v>12</v>
      </c>
      <c r="AG27" s="11">
        <f t="shared" si="58"/>
        <v>12</v>
      </c>
      <c r="AH27" s="11">
        <f t="shared" si="58"/>
        <v>12</v>
      </c>
      <c r="AI27" s="11">
        <f t="shared" si="58"/>
        <v>12</v>
      </c>
      <c r="AJ27" s="11">
        <f t="shared" si="58"/>
        <v>12</v>
      </c>
      <c r="AK27" s="11">
        <f t="shared" si="58"/>
        <v>12</v>
      </c>
      <c r="AL27" s="11">
        <f t="shared" si="58"/>
        <v>12</v>
      </c>
    </row>
    <row r="28" spans="1:45" ht="12.75" customHeight="1" outlineLevel="1" x14ac:dyDescent="0.25">
      <c r="A28" s="1"/>
      <c r="B28" s="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45" ht="12.75" customHeight="1" outlineLevel="1" x14ac:dyDescent="0.25">
      <c r="A29" s="1"/>
      <c r="B29" s="8" t="s">
        <v>20</v>
      </c>
      <c r="C29" s="17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45" ht="12.75" customHeight="1" outlineLevel="1" x14ac:dyDescent="0.25">
      <c r="A30" s="1"/>
      <c r="B30" s="13" t="s">
        <v>21</v>
      </c>
      <c r="C30" s="11">
        <v>0</v>
      </c>
      <c r="D30" s="11">
        <f t="shared" ref="D30:Z30" si="59">C33</f>
        <v>17</v>
      </c>
      <c r="E30" s="11">
        <f t="shared" si="59"/>
        <v>32</v>
      </c>
      <c r="F30" s="11">
        <f t="shared" si="59"/>
        <v>45</v>
      </c>
      <c r="G30" s="11">
        <f t="shared" si="59"/>
        <v>57</v>
      </c>
      <c r="H30" s="11">
        <f t="shared" si="59"/>
        <v>67</v>
      </c>
      <c r="I30" s="11">
        <f t="shared" si="59"/>
        <v>76</v>
      </c>
      <c r="J30" s="11">
        <f t="shared" si="59"/>
        <v>84</v>
      </c>
      <c r="K30" s="11">
        <f t="shared" si="59"/>
        <v>92</v>
      </c>
      <c r="L30" s="11">
        <f t="shared" si="59"/>
        <v>101</v>
      </c>
      <c r="M30" s="11">
        <f t="shared" si="59"/>
        <v>108</v>
      </c>
      <c r="N30" s="11">
        <f t="shared" si="59"/>
        <v>113</v>
      </c>
      <c r="O30" s="11">
        <f t="shared" si="59"/>
        <v>116</v>
      </c>
      <c r="P30" s="11">
        <f t="shared" si="59"/>
        <v>118</v>
      </c>
      <c r="Q30" s="11">
        <f t="shared" si="59"/>
        <v>119</v>
      </c>
      <c r="R30" s="11">
        <f t="shared" si="59"/>
        <v>120</v>
      </c>
      <c r="S30" s="11">
        <f t="shared" si="59"/>
        <v>121</v>
      </c>
      <c r="T30" s="11">
        <f t="shared" si="59"/>
        <v>122</v>
      </c>
      <c r="U30" s="11">
        <f t="shared" si="59"/>
        <v>124</v>
      </c>
      <c r="V30" s="11">
        <f t="shared" si="59"/>
        <v>126</v>
      </c>
      <c r="W30" s="11">
        <f t="shared" si="59"/>
        <v>128</v>
      </c>
      <c r="X30" s="11">
        <f t="shared" si="59"/>
        <v>131</v>
      </c>
      <c r="Y30" s="11">
        <f t="shared" si="59"/>
        <v>134</v>
      </c>
      <c r="Z30" s="11">
        <f t="shared" si="59"/>
        <v>135</v>
      </c>
      <c r="AA30" s="11">
        <f t="shared" ref="AA30" si="60">Z33</f>
        <v>136</v>
      </c>
      <c r="AB30" s="11">
        <f t="shared" ref="AB30" si="61">AA33</f>
        <v>135</v>
      </c>
      <c r="AC30" s="11">
        <f t="shared" ref="AC30" si="62">AB33</f>
        <v>134</v>
      </c>
      <c r="AD30" s="11">
        <f t="shared" ref="AD30" si="63">AC33</f>
        <v>133</v>
      </c>
      <c r="AE30" s="11">
        <f t="shared" ref="AE30" si="64">AD33</f>
        <v>132</v>
      </c>
      <c r="AF30" s="11">
        <f t="shared" ref="AF30" si="65">AE33</f>
        <v>132</v>
      </c>
      <c r="AG30" s="11">
        <f t="shared" ref="AG30" si="66">AF33</f>
        <v>132</v>
      </c>
      <c r="AH30" s="11">
        <f t="shared" ref="AH30" si="67">AG33</f>
        <v>133</v>
      </c>
      <c r="AI30" s="11">
        <f t="shared" ref="AI30" si="68">AH33</f>
        <v>133</v>
      </c>
      <c r="AJ30" s="11">
        <f t="shared" ref="AJ30" si="69">AI33</f>
        <v>134</v>
      </c>
      <c r="AK30" s="11">
        <f t="shared" ref="AK30" si="70">AJ33</f>
        <v>135</v>
      </c>
      <c r="AL30" s="11">
        <f t="shared" ref="AL30" si="71">AK33</f>
        <v>136</v>
      </c>
      <c r="AN30" t="s">
        <v>57</v>
      </c>
    </row>
    <row r="31" spans="1:45" ht="12.75" customHeight="1" outlineLevel="1" x14ac:dyDescent="0.25">
      <c r="A31" s="1"/>
      <c r="B31" s="13" t="s">
        <v>22</v>
      </c>
      <c r="C31" s="11">
        <f t="shared" ref="C31:Z31" si="72">C27+C16</f>
        <v>17</v>
      </c>
      <c r="D31" s="11">
        <f t="shared" si="72"/>
        <v>17</v>
      </c>
      <c r="E31" s="11">
        <f t="shared" si="72"/>
        <v>17</v>
      </c>
      <c r="F31" s="11">
        <f t="shared" si="72"/>
        <v>18</v>
      </c>
      <c r="G31" s="11">
        <f t="shared" si="72"/>
        <v>18</v>
      </c>
      <c r="H31" s="11">
        <f t="shared" si="72"/>
        <v>18</v>
      </c>
      <c r="I31" s="11">
        <f t="shared" si="72"/>
        <v>19</v>
      </c>
      <c r="J31" s="11">
        <f t="shared" si="72"/>
        <v>20</v>
      </c>
      <c r="K31" s="11">
        <f t="shared" si="72"/>
        <v>22</v>
      </c>
      <c r="L31" s="11">
        <f t="shared" si="72"/>
        <v>21</v>
      </c>
      <c r="M31" s="11">
        <f t="shared" si="72"/>
        <v>20</v>
      </c>
      <c r="N31" s="11">
        <f t="shared" si="72"/>
        <v>19</v>
      </c>
      <c r="O31" s="11">
        <f t="shared" si="72"/>
        <v>18</v>
      </c>
      <c r="P31" s="11">
        <f t="shared" si="72"/>
        <v>18</v>
      </c>
      <c r="Q31" s="11">
        <f t="shared" si="72"/>
        <v>18</v>
      </c>
      <c r="R31" s="11">
        <f t="shared" si="72"/>
        <v>18</v>
      </c>
      <c r="S31" s="11">
        <f t="shared" si="72"/>
        <v>18</v>
      </c>
      <c r="T31" s="11">
        <f t="shared" si="72"/>
        <v>19</v>
      </c>
      <c r="U31" s="11">
        <f t="shared" si="72"/>
        <v>19</v>
      </c>
      <c r="V31" s="11">
        <f t="shared" si="72"/>
        <v>20</v>
      </c>
      <c r="W31" s="11">
        <f t="shared" si="72"/>
        <v>21</v>
      </c>
      <c r="X31" s="11">
        <f t="shared" si="72"/>
        <v>21</v>
      </c>
      <c r="Y31" s="11">
        <f t="shared" si="72"/>
        <v>20</v>
      </c>
      <c r="Z31" s="11">
        <f t="shared" si="72"/>
        <v>20</v>
      </c>
      <c r="AA31" s="11">
        <f t="shared" ref="AA31:AL31" si="73">AA27+AA16</f>
        <v>18</v>
      </c>
      <c r="AB31" s="11">
        <f t="shared" si="73"/>
        <v>18</v>
      </c>
      <c r="AC31" s="11">
        <f t="shared" si="73"/>
        <v>18</v>
      </c>
      <c r="AD31" s="11">
        <f t="shared" si="73"/>
        <v>18</v>
      </c>
      <c r="AE31" s="11">
        <f t="shared" si="73"/>
        <v>18</v>
      </c>
      <c r="AF31" s="11">
        <f t="shared" si="73"/>
        <v>18</v>
      </c>
      <c r="AG31" s="11">
        <f t="shared" si="73"/>
        <v>19</v>
      </c>
      <c r="AH31" s="11">
        <f t="shared" si="73"/>
        <v>19</v>
      </c>
      <c r="AI31" s="11">
        <f t="shared" si="73"/>
        <v>20</v>
      </c>
      <c r="AJ31" s="11">
        <f t="shared" si="73"/>
        <v>20</v>
      </c>
      <c r="AK31" s="11">
        <f t="shared" si="73"/>
        <v>20</v>
      </c>
      <c r="AL31" s="11">
        <f t="shared" si="73"/>
        <v>19</v>
      </c>
    </row>
    <row r="32" spans="1:45" ht="12.75" customHeight="1" outlineLevel="1" x14ac:dyDescent="0.25">
      <c r="A32" s="12">
        <v>0.14000000000000001</v>
      </c>
      <c r="B32" s="13" t="s">
        <v>23</v>
      </c>
      <c r="C32" s="11"/>
      <c r="D32" s="11">
        <f t="shared" ref="D32:Z32" si="74">-ROUND(C33*($A$32),0)</f>
        <v>-2</v>
      </c>
      <c r="E32" s="11">
        <f t="shared" si="74"/>
        <v>-4</v>
      </c>
      <c r="F32" s="11">
        <f t="shared" si="74"/>
        <v>-6</v>
      </c>
      <c r="G32" s="11">
        <f t="shared" si="74"/>
        <v>-8</v>
      </c>
      <c r="H32" s="11">
        <f t="shared" si="74"/>
        <v>-9</v>
      </c>
      <c r="I32" s="11">
        <f t="shared" si="74"/>
        <v>-11</v>
      </c>
      <c r="J32" s="11">
        <f t="shared" si="74"/>
        <v>-12</v>
      </c>
      <c r="K32" s="11">
        <f t="shared" si="74"/>
        <v>-13</v>
      </c>
      <c r="L32" s="11">
        <f t="shared" si="74"/>
        <v>-14</v>
      </c>
      <c r="M32" s="11">
        <f t="shared" si="74"/>
        <v>-15</v>
      </c>
      <c r="N32" s="11">
        <f t="shared" si="74"/>
        <v>-16</v>
      </c>
      <c r="O32" s="11">
        <f t="shared" si="74"/>
        <v>-16</v>
      </c>
      <c r="P32" s="11">
        <f t="shared" si="74"/>
        <v>-17</v>
      </c>
      <c r="Q32" s="11">
        <f t="shared" si="74"/>
        <v>-17</v>
      </c>
      <c r="R32" s="11">
        <f t="shared" si="74"/>
        <v>-17</v>
      </c>
      <c r="S32" s="11">
        <f t="shared" si="74"/>
        <v>-17</v>
      </c>
      <c r="T32" s="11">
        <f t="shared" si="74"/>
        <v>-17</v>
      </c>
      <c r="U32" s="11">
        <f t="shared" si="74"/>
        <v>-17</v>
      </c>
      <c r="V32" s="11">
        <f t="shared" si="74"/>
        <v>-18</v>
      </c>
      <c r="W32" s="11">
        <f t="shared" si="74"/>
        <v>-18</v>
      </c>
      <c r="X32" s="11">
        <f t="shared" si="74"/>
        <v>-18</v>
      </c>
      <c r="Y32" s="11">
        <f t="shared" si="74"/>
        <v>-19</v>
      </c>
      <c r="Z32" s="11">
        <f t="shared" si="74"/>
        <v>-19</v>
      </c>
      <c r="AA32" s="11">
        <f t="shared" ref="AA32" si="75">-ROUND(Z33*($A$32),0)</f>
        <v>-19</v>
      </c>
      <c r="AB32" s="11">
        <f t="shared" ref="AB32" si="76">-ROUND(AA33*($A$32),0)</f>
        <v>-19</v>
      </c>
      <c r="AC32" s="11">
        <f t="shared" ref="AC32" si="77">-ROUND(AB33*($A$32),0)</f>
        <v>-19</v>
      </c>
      <c r="AD32" s="11">
        <f t="shared" ref="AD32" si="78">-ROUND(AC33*($A$32),0)</f>
        <v>-19</v>
      </c>
      <c r="AE32" s="11">
        <f t="shared" ref="AE32" si="79">-ROUND(AD33*($A$32),0)</f>
        <v>-18</v>
      </c>
      <c r="AF32" s="11">
        <f t="shared" ref="AF32" si="80">-ROUND(AE33*($A$32),0)</f>
        <v>-18</v>
      </c>
      <c r="AG32" s="11">
        <f t="shared" ref="AG32" si="81">-ROUND(AF33*($A$32),0)</f>
        <v>-18</v>
      </c>
      <c r="AH32" s="11">
        <f t="shared" ref="AH32" si="82">-ROUND(AG33*($A$32),0)</f>
        <v>-19</v>
      </c>
      <c r="AI32" s="11">
        <f t="shared" ref="AI32" si="83">-ROUND(AH33*($A$32),0)</f>
        <v>-19</v>
      </c>
      <c r="AJ32" s="11">
        <f t="shared" ref="AJ32" si="84">-ROUND(AI33*($A$32),0)</f>
        <v>-19</v>
      </c>
      <c r="AK32" s="11">
        <f t="shared" ref="AK32" si="85">-ROUND(AJ33*($A$32),0)</f>
        <v>-19</v>
      </c>
      <c r="AL32" s="11">
        <f t="shared" ref="AL32" si="86">-ROUND(AK33*($A$32),0)</f>
        <v>-19</v>
      </c>
    </row>
    <row r="33" spans="1:38" ht="12.75" customHeight="1" outlineLevel="1" x14ac:dyDescent="0.2">
      <c r="A33" s="4"/>
      <c r="B33" s="8" t="s">
        <v>24</v>
      </c>
      <c r="C33" s="9">
        <f t="shared" ref="C33:AL33" si="87">SUM(C30:C32)</f>
        <v>17</v>
      </c>
      <c r="D33" s="9">
        <f t="shared" si="87"/>
        <v>32</v>
      </c>
      <c r="E33" s="9">
        <f t="shared" si="87"/>
        <v>45</v>
      </c>
      <c r="F33" s="9">
        <f t="shared" si="87"/>
        <v>57</v>
      </c>
      <c r="G33" s="9">
        <f t="shared" si="87"/>
        <v>67</v>
      </c>
      <c r="H33" s="9">
        <f t="shared" si="87"/>
        <v>76</v>
      </c>
      <c r="I33" s="9">
        <f t="shared" si="87"/>
        <v>84</v>
      </c>
      <c r="J33" s="9">
        <f t="shared" si="87"/>
        <v>92</v>
      </c>
      <c r="K33" s="9">
        <f t="shared" si="87"/>
        <v>101</v>
      </c>
      <c r="L33" s="9">
        <f t="shared" si="87"/>
        <v>108</v>
      </c>
      <c r="M33" s="9">
        <f t="shared" si="87"/>
        <v>113</v>
      </c>
      <c r="N33" s="9">
        <f t="shared" si="87"/>
        <v>116</v>
      </c>
      <c r="O33" s="9">
        <f t="shared" si="87"/>
        <v>118</v>
      </c>
      <c r="P33" s="9">
        <f t="shared" si="87"/>
        <v>119</v>
      </c>
      <c r="Q33" s="9">
        <f t="shared" si="87"/>
        <v>120</v>
      </c>
      <c r="R33" s="9">
        <f t="shared" si="87"/>
        <v>121</v>
      </c>
      <c r="S33" s="9">
        <f t="shared" si="87"/>
        <v>122</v>
      </c>
      <c r="T33" s="9">
        <f t="shared" si="87"/>
        <v>124</v>
      </c>
      <c r="U33" s="9">
        <f t="shared" si="87"/>
        <v>126</v>
      </c>
      <c r="V33" s="9">
        <f t="shared" si="87"/>
        <v>128</v>
      </c>
      <c r="W33" s="9">
        <f t="shared" si="87"/>
        <v>131</v>
      </c>
      <c r="X33" s="9">
        <f t="shared" si="87"/>
        <v>134</v>
      </c>
      <c r="Y33" s="9">
        <f t="shared" si="87"/>
        <v>135</v>
      </c>
      <c r="Z33" s="9">
        <f t="shared" si="87"/>
        <v>136</v>
      </c>
      <c r="AA33" s="9">
        <f t="shared" ref="AA33:AL33" si="88">SUM(AA30:AA32)</f>
        <v>135</v>
      </c>
      <c r="AB33" s="9">
        <f t="shared" si="88"/>
        <v>134</v>
      </c>
      <c r="AC33" s="9">
        <f t="shared" si="88"/>
        <v>133</v>
      </c>
      <c r="AD33" s="9">
        <f t="shared" si="88"/>
        <v>132</v>
      </c>
      <c r="AE33" s="9">
        <f t="shared" si="88"/>
        <v>132</v>
      </c>
      <c r="AF33" s="9">
        <f t="shared" si="88"/>
        <v>132</v>
      </c>
      <c r="AG33" s="9">
        <f t="shared" si="88"/>
        <v>133</v>
      </c>
      <c r="AH33" s="9">
        <f t="shared" si="88"/>
        <v>133</v>
      </c>
      <c r="AI33" s="9">
        <f t="shared" si="88"/>
        <v>134</v>
      </c>
      <c r="AJ33" s="9">
        <f t="shared" si="88"/>
        <v>135</v>
      </c>
      <c r="AK33" s="9">
        <f t="shared" si="88"/>
        <v>136</v>
      </c>
      <c r="AL33" s="9">
        <f t="shared" si="88"/>
        <v>136</v>
      </c>
    </row>
    <row r="34" spans="1:38" ht="12.75" customHeight="1" outlineLevel="1" x14ac:dyDescent="0.25">
      <c r="A34" s="1"/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12.75" customHeight="1" outlineLevel="1" x14ac:dyDescent="0.25">
      <c r="A35" s="1"/>
      <c r="B35" s="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ht="12.75" customHeight="1" outlineLevel="1" x14ac:dyDescent="0.2">
      <c r="A36" s="4"/>
      <c r="B36" s="4" t="s">
        <v>25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spans="1:38" ht="12.75" customHeight="1" outlineLevel="1" x14ac:dyDescent="0.25">
      <c r="A37" s="12">
        <v>0.7</v>
      </c>
      <c r="B37" s="13" t="s">
        <v>26</v>
      </c>
      <c r="C37" s="11">
        <f t="shared" ref="C37:Z37" si="89">ROUNDDOWN(C33*$A37,0)</f>
        <v>11</v>
      </c>
      <c r="D37" s="11">
        <f t="shared" si="89"/>
        <v>22</v>
      </c>
      <c r="E37" s="11">
        <f t="shared" si="89"/>
        <v>31</v>
      </c>
      <c r="F37" s="11">
        <f t="shared" si="89"/>
        <v>39</v>
      </c>
      <c r="G37" s="11">
        <f t="shared" si="89"/>
        <v>46</v>
      </c>
      <c r="H37" s="11">
        <f t="shared" si="89"/>
        <v>53</v>
      </c>
      <c r="I37" s="11">
        <f t="shared" si="89"/>
        <v>58</v>
      </c>
      <c r="J37" s="11">
        <f t="shared" si="89"/>
        <v>64</v>
      </c>
      <c r="K37" s="11">
        <f t="shared" si="89"/>
        <v>70</v>
      </c>
      <c r="L37" s="11">
        <f t="shared" si="89"/>
        <v>75</v>
      </c>
      <c r="M37" s="11">
        <f t="shared" si="89"/>
        <v>79</v>
      </c>
      <c r="N37" s="11">
        <f t="shared" si="89"/>
        <v>81</v>
      </c>
      <c r="O37" s="11">
        <f t="shared" si="89"/>
        <v>82</v>
      </c>
      <c r="P37" s="11">
        <f t="shared" si="89"/>
        <v>83</v>
      </c>
      <c r="Q37" s="11">
        <f t="shared" si="89"/>
        <v>84</v>
      </c>
      <c r="R37" s="11">
        <f t="shared" si="89"/>
        <v>84</v>
      </c>
      <c r="S37" s="11">
        <f t="shared" si="89"/>
        <v>85</v>
      </c>
      <c r="T37" s="11">
        <f t="shared" si="89"/>
        <v>86</v>
      </c>
      <c r="U37" s="11">
        <f t="shared" si="89"/>
        <v>88</v>
      </c>
      <c r="V37" s="11">
        <f t="shared" si="89"/>
        <v>89</v>
      </c>
      <c r="W37" s="11">
        <f t="shared" si="89"/>
        <v>91</v>
      </c>
      <c r="X37" s="11">
        <f t="shared" si="89"/>
        <v>93</v>
      </c>
      <c r="Y37" s="11">
        <f t="shared" si="89"/>
        <v>94</v>
      </c>
      <c r="Z37" s="11">
        <f t="shared" si="89"/>
        <v>95</v>
      </c>
      <c r="AA37" s="11">
        <f t="shared" ref="AA37:AL37" si="90">ROUNDDOWN(AA33*$A37,0)</f>
        <v>94</v>
      </c>
      <c r="AB37" s="11">
        <f t="shared" si="90"/>
        <v>93</v>
      </c>
      <c r="AC37" s="11">
        <f t="shared" si="90"/>
        <v>93</v>
      </c>
      <c r="AD37" s="11">
        <f t="shared" si="90"/>
        <v>92</v>
      </c>
      <c r="AE37" s="11">
        <f t="shared" si="90"/>
        <v>92</v>
      </c>
      <c r="AF37" s="11">
        <f t="shared" si="90"/>
        <v>92</v>
      </c>
      <c r="AG37" s="11">
        <f t="shared" si="90"/>
        <v>93</v>
      </c>
      <c r="AH37" s="11">
        <f t="shared" si="90"/>
        <v>93</v>
      </c>
      <c r="AI37" s="11">
        <f t="shared" si="90"/>
        <v>93</v>
      </c>
      <c r="AJ37" s="11">
        <f t="shared" si="90"/>
        <v>94</v>
      </c>
      <c r="AK37" s="11">
        <f t="shared" si="90"/>
        <v>95</v>
      </c>
      <c r="AL37" s="11">
        <f t="shared" si="90"/>
        <v>95</v>
      </c>
    </row>
    <row r="38" spans="1:38" ht="12.75" customHeight="1" outlineLevel="1" x14ac:dyDescent="0.25">
      <c r="A38" s="18">
        <f>100%-A37</f>
        <v>0.30000000000000004</v>
      </c>
      <c r="B38" s="13" t="s">
        <v>27</v>
      </c>
      <c r="C38" s="11">
        <f t="shared" ref="C38:Z38" si="91">C33-C37</f>
        <v>6</v>
      </c>
      <c r="D38" s="11">
        <f t="shared" si="91"/>
        <v>10</v>
      </c>
      <c r="E38" s="11">
        <f t="shared" si="91"/>
        <v>14</v>
      </c>
      <c r="F38" s="11">
        <f t="shared" si="91"/>
        <v>18</v>
      </c>
      <c r="G38" s="11">
        <f t="shared" si="91"/>
        <v>21</v>
      </c>
      <c r="H38" s="11">
        <f t="shared" si="91"/>
        <v>23</v>
      </c>
      <c r="I38" s="11">
        <f t="shared" si="91"/>
        <v>26</v>
      </c>
      <c r="J38" s="11">
        <f t="shared" si="91"/>
        <v>28</v>
      </c>
      <c r="K38" s="11">
        <f t="shared" si="91"/>
        <v>31</v>
      </c>
      <c r="L38" s="11">
        <f t="shared" si="91"/>
        <v>33</v>
      </c>
      <c r="M38" s="11">
        <f t="shared" si="91"/>
        <v>34</v>
      </c>
      <c r="N38" s="11">
        <f t="shared" si="91"/>
        <v>35</v>
      </c>
      <c r="O38" s="11">
        <f t="shared" si="91"/>
        <v>36</v>
      </c>
      <c r="P38" s="11">
        <f t="shared" si="91"/>
        <v>36</v>
      </c>
      <c r="Q38" s="11">
        <f t="shared" si="91"/>
        <v>36</v>
      </c>
      <c r="R38" s="11">
        <f t="shared" si="91"/>
        <v>37</v>
      </c>
      <c r="S38" s="11">
        <f t="shared" si="91"/>
        <v>37</v>
      </c>
      <c r="T38" s="11">
        <f t="shared" si="91"/>
        <v>38</v>
      </c>
      <c r="U38" s="11">
        <f t="shared" si="91"/>
        <v>38</v>
      </c>
      <c r="V38" s="11">
        <f t="shared" si="91"/>
        <v>39</v>
      </c>
      <c r="W38" s="11">
        <f t="shared" si="91"/>
        <v>40</v>
      </c>
      <c r="X38" s="11">
        <f t="shared" si="91"/>
        <v>41</v>
      </c>
      <c r="Y38" s="11">
        <f t="shared" si="91"/>
        <v>41</v>
      </c>
      <c r="Z38" s="11">
        <f t="shared" si="91"/>
        <v>41</v>
      </c>
      <c r="AA38" s="11">
        <f t="shared" ref="AA38:AL38" si="92">AA33-AA37</f>
        <v>41</v>
      </c>
      <c r="AB38" s="11">
        <f t="shared" si="92"/>
        <v>41</v>
      </c>
      <c r="AC38" s="11">
        <f t="shared" si="92"/>
        <v>40</v>
      </c>
      <c r="AD38" s="11">
        <f t="shared" si="92"/>
        <v>40</v>
      </c>
      <c r="AE38" s="11">
        <f t="shared" si="92"/>
        <v>40</v>
      </c>
      <c r="AF38" s="11">
        <f t="shared" si="92"/>
        <v>40</v>
      </c>
      <c r="AG38" s="11">
        <f t="shared" si="92"/>
        <v>40</v>
      </c>
      <c r="AH38" s="11">
        <f t="shared" si="92"/>
        <v>40</v>
      </c>
      <c r="AI38" s="11">
        <f t="shared" si="92"/>
        <v>41</v>
      </c>
      <c r="AJ38" s="11">
        <f t="shared" si="92"/>
        <v>41</v>
      </c>
      <c r="AK38" s="11">
        <f t="shared" si="92"/>
        <v>41</v>
      </c>
      <c r="AL38" s="11">
        <f t="shared" si="92"/>
        <v>41</v>
      </c>
    </row>
    <row r="39" spans="1:38" ht="12.75" customHeight="1" outlineLevel="1" x14ac:dyDescent="0.25">
      <c r="A39" s="14">
        <f>SUM(A37:A38)</f>
        <v>1</v>
      </c>
      <c r="B39" s="1" t="s">
        <v>11</v>
      </c>
      <c r="C39" s="11">
        <f t="shared" ref="C39:Z39" si="93">SUM(C37:C38)</f>
        <v>17</v>
      </c>
      <c r="D39" s="11">
        <f t="shared" si="93"/>
        <v>32</v>
      </c>
      <c r="E39" s="11">
        <f t="shared" si="93"/>
        <v>45</v>
      </c>
      <c r="F39" s="11">
        <f t="shared" si="93"/>
        <v>57</v>
      </c>
      <c r="G39" s="11">
        <f t="shared" si="93"/>
        <v>67</v>
      </c>
      <c r="H39" s="11">
        <f t="shared" si="93"/>
        <v>76</v>
      </c>
      <c r="I39" s="11">
        <f t="shared" si="93"/>
        <v>84</v>
      </c>
      <c r="J39" s="11">
        <f t="shared" si="93"/>
        <v>92</v>
      </c>
      <c r="K39" s="11">
        <f t="shared" si="93"/>
        <v>101</v>
      </c>
      <c r="L39" s="11">
        <f t="shared" si="93"/>
        <v>108</v>
      </c>
      <c r="M39" s="11">
        <f t="shared" si="93"/>
        <v>113</v>
      </c>
      <c r="N39" s="11">
        <f t="shared" si="93"/>
        <v>116</v>
      </c>
      <c r="O39" s="11">
        <f t="shared" si="93"/>
        <v>118</v>
      </c>
      <c r="P39" s="11">
        <f t="shared" si="93"/>
        <v>119</v>
      </c>
      <c r="Q39" s="11">
        <f t="shared" si="93"/>
        <v>120</v>
      </c>
      <c r="R39" s="11">
        <f t="shared" si="93"/>
        <v>121</v>
      </c>
      <c r="S39" s="11">
        <f t="shared" si="93"/>
        <v>122</v>
      </c>
      <c r="T39" s="11">
        <f t="shared" si="93"/>
        <v>124</v>
      </c>
      <c r="U39" s="11">
        <f t="shared" si="93"/>
        <v>126</v>
      </c>
      <c r="V39" s="11">
        <f t="shared" si="93"/>
        <v>128</v>
      </c>
      <c r="W39" s="11">
        <f t="shared" si="93"/>
        <v>131</v>
      </c>
      <c r="X39" s="11">
        <f t="shared" si="93"/>
        <v>134</v>
      </c>
      <c r="Y39" s="11">
        <f t="shared" si="93"/>
        <v>135</v>
      </c>
      <c r="Z39" s="11">
        <f t="shared" si="93"/>
        <v>136</v>
      </c>
      <c r="AA39" s="11">
        <f t="shared" ref="AA39:AL39" si="94">SUM(AA37:AA38)</f>
        <v>135</v>
      </c>
      <c r="AB39" s="11">
        <f t="shared" si="94"/>
        <v>134</v>
      </c>
      <c r="AC39" s="11">
        <f t="shared" si="94"/>
        <v>133</v>
      </c>
      <c r="AD39" s="11">
        <f t="shared" si="94"/>
        <v>132</v>
      </c>
      <c r="AE39" s="11">
        <f t="shared" si="94"/>
        <v>132</v>
      </c>
      <c r="AF39" s="11">
        <f t="shared" si="94"/>
        <v>132</v>
      </c>
      <c r="AG39" s="11">
        <f t="shared" si="94"/>
        <v>133</v>
      </c>
      <c r="AH39" s="11">
        <f t="shared" si="94"/>
        <v>133</v>
      </c>
      <c r="AI39" s="11">
        <f t="shared" si="94"/>
        <v>134</v>
      </c>
      <c r="AJ39" s="11">
        <f t="shared" si="94"/>
        <v>135</v>
      </c>
      <c r="AK39" s="11">
        <f t="shared" si="94"/>
        <v>136</v>
      </c>
      <c r="AL39" s="11">
        <f t="shared" si="94"/>
        <v>136</v>
      </c>
    </row>
    <row r="40" spans="1:38" ht="12.75" customHeight="1" outlineLevel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2.75" customHeight="1" x14ac:dyDescent="0.2">
      <c r="A41" s="4"/>
      <c r="B41" s="4" t="s">
        <v>28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12.75" customHeight="1" x14ac:dyDescent="0.25">
      <c r="A42" s="10">
        <v>9900</v>
      </c>
      <c r="B42" s="13" t="s">
        <v>29</v>
      </c>
      <c r="C42" s="11">
        <f t="shared" ref="C42:AL42" si="95">$A$42*C43</f>
        <v>108900</v>
      </c>
      <c r="D42" s="11">
        <f t="shared" si="95"/>
        <v>217800</v>
      </c>
      <c r="E42" s="11">
        <f t="shared" si="95"/>
        <v>306900</v>
      </c>
      <c r="F42" s="11">
        <f t="shared" si="95"/>
        <v>386100</v>
      </c>
      <c r="G42" s="11">
        <f t="shared" si="95"/>
        <v>455400</v>
      </c>
      <c r="H42" s="11">
        <f t="shared" si="95"/>
        <v>524700</v>
      </c>
      <c r="I42" s="11">
        <f t="shared" si="95"/>
        <v>574200</v>
      </c>
      <c r="J42" s="11">
        <f t="shared" si="95"/>
        <v>633600</v>
      </c>
      <c r="K42" s="11">
        <f t="shared" si="95"/>
        <v>693000</v>
      </c>
      <c r="L42" s="11">
        <f t="shared" si="95"/>
        <v>742500</v>
      </c>
      <c r="M42" s="11">
        <f t="shared" si="95"/>
        <v>782100</v>
      </c>
      <c r="N42" s="11">
        <f t="shared" si="95"/>
        <v>801900</v>
      </c>
      <c r="O42" s="11">
        <f t="shared" si="95"/>
        <v>811800</v>
      </c>
      <c r="P42" s="11">
        <f t="shared" si="95"/>
        <v>821700</v>
      </c>
      <c r="Q42" s="11">
        <f t="shared" si="95"/>
        <v>831600</v>
      </c>
      <c r="R42" s="11">
        <f t="shared" si="95"/>
        <v>831600</v>
      </c>
      <c r="S42" s="11">
        <f t="shared" si="95"/>
        <v>841500</v>
      </c>
      <c r="T42" s="11">
        <f t="shared" si="95"/>
        <v>851400</v>
      </c>
      <c r="U42" s="11">
        <f t="shared" si="95"/>
        <v>871200</v>
      </c>
      <c r="V42" s="11">
        <f t="shared" si="95"/>
        <v>881100</v>
      </c>
      <c r="W42" s="11">
        <f t="shared" si="95"/>
        <v>900900</v>
      </c>
      <c r="X42" s="11">
        <f t="shared" si="95"/>
        <v>920700</v>
      </c>
      <c r="Y42" s="11">
        <f t="shared" si="95"/>
        <v>930600</v>
      </c>
      <c r="Z42" s="11">
        <f t="shared" si="95"/>
        <v>940500</v>
      </c>
      <c r="AA42" s="11">
        <f t="shared" si="95"/>
        <v>930600</v>
      </c>
      <c r="AB42" s="11">
        <f t="shared" si="95"/>
        <v>920700</v>
      </c>
      <c r="AC42" s="11">
        <f t="shared" si="95"/>
        <v>920700</v>
      </c>
      <c r="AD42" s="11">
        <f t="shared" si="95"/>
        <v>910800</v>
      </c>
      <c r="AE42" s="11">
        <f t="shared" si="95"/>
        <v>910800</v>
      </c>
      <c r="AF42" s="11">
        <f t="shared" si="95"/>
        <v>910800</v>
      </c>
      <c r="AG42" s="11">
        <f t="shared" si="95"/>
        <v>920700</v>
      </c>
      <c r="AH42" s="11">
        <f t="shared" si="95"/>
        <v>920700</v>
      </c>
      <c r="AI42" s="11">
        <f t="shared" si="95"/>
        <v>920700</v>
      </c>
      <c r="AJ42" s="11">
        <f t="shared" si="95"/>
        <v>930600</v>
      </c>
      <c r="AK42" s="11">
        <f t="shared" si="95"/>
        <v>940500</v>
      </c>
      <c r="AL42" s="11">
        <f t="shared" si="95"/>
        <v>940500</v>
      </c>
    </row>
    <row r="43" spans="1:38" ht="12.75" customHeight="1" x14ac:dyDescent="0.25">
      <c r="A43" s="1"/>
      <c r="B43" s="13" t="s">
        <v>30</v>
      </c>
      <c r="C43" s="11">
        <f t="shared" ref="C43:Z43" si="96">C37</f>
        <v>11</v>
      </c>
      <c r="D43" s="11">
        <f t="shared" si="96"/>
        <v>22</v>
      </c>
      <c r="E43" s="11">
        <f t="shared" si="96"/>
        <v>31</v>
      </c>
      <c r="F43" s="11">
        <f t="shared" si="96"/>
        <v>39</v>
      </c>
      <c r="G43" s="11">
        <f t="shared" si="96"/>
        <v>46</v>
      </c>
      <c r="H43" s="11">
        <f t="shared" si="96"/>
        <v>53</v>
      </c>
      <c r="I43" s="11">
        <f t="shared" si="96"/>
        <v>58</v>
      </c>
      <c r="J43" s="11">
        <f t="shared" si="96"/>
        <v>64</v>
      </c>
      <c r="K43" s="11">
        <f t="shared" si="96"/>
        <v>70</v>
      </c>
      <c r="L43" s="11">
        <f t="shared" si="96"/>
        <v>75</v>
      </c>
      <c r="M43" s="11">
        <f t="shared" si="96"/>
        <v>79</v>
      </c>
      <c r="N43" s="11">
        <f t="shared" si="96"/>
        <v>81</v>
      </c>
      <c r="O43" s="11">
        <f t="shared" si="96"/>
        <v>82</v>
      </c>
      <c r="P43" s="11">
        <f t="shared" si="96"/>
        <v>83</v>
      </c>
      <c r="Q43" s="11">
        <f t="shared" si="96"/>
        <v>84</v>
      </c>
      <c r="R43" s="11">
        <f t="shared" si="96"/>
        <v>84</v>
      </c>
      <c r="S43" s="11">
        <f t="shared" si="96"/>
        <v>85</v>
      </c>
      <c r="T43" s="11">
        <f t="shared" si="96"/>
        <v>86</v>
      </c>
      <c r="U43" s="11">
        <f t="shared" si="96"/>
        <v>88</v>
      </c>
      <c r="V43" s="11">
        <f t="shared" si="96"/>
        <v>89</v>
      </c>
      <c r="W43" s="11">
        <f t="shared" si="96"/>
        <v>91</v>
      </c>
      <c r="X43" s="11">
        <f t="shared" si="96"/>
        <v>93</v>
      </c>
      <c r="Y43" s="11">
        <f t="shared" si="96"/>
        <v>94</v>
      </c>
      <c r="Z43" s="11">
        <f t="shared" si="96"/>
        <v>95</v>
      </c>
      <c r="AA43" s="11">
        <f t="shared" ref="AA43:AL43" si="97">AA37</f>
        <v>94</v>
      </c>
      <c r="AB43" s="11">
        <f t="shared" si="97"/>
        <v>93</v>
      </c>
      <c r="AC43" s="11">
        <f t="shared" si="97"/>
        <v>93</v>
      </c>
      <c r="AD43" s="11">
        <f t="shared" si="97"/>
        <v>92</v>
      </c>
      <c r="AE43" s="11">
        <f t="shared" si="97"/>
        <v>92</v>
      </c>
      <c r="AF43" s="11">
        <f t="shared" si="97"/>
        <v>92</v>
      </c>
      <c r="AG43" s="11">
        <f t="shared" si="97"/>
        <v>93</v>
      </c>
      <c r="AH43" s="11">
        <f t="shared" si="97"/>
        <v>93</v>
      </c>
      <c r="AI43" s="11">
        <f t="shared" si="97"/>
        <v>93</v>
      </c>
      <c r="AJ43" s="11">
        <f t="shared" si="97"/>
        <v>94</v>
      </c>
      <c r="AK43" s="11">
        <f t="shared" si="97"/>
        <v>95</v>
      </c>
      <c r="AL43" s="11">
        <f t="shared" si="97"/>
        <v>95</v>
      </c>
    </row>
    <row r="44" spans="1:38" ht="12.75" customHeight="1" x14ac:dyDescent="0.25">
      <c r="A44" s="10">
        <v>19900</v>
      </c>
      <c r="B44" s="13" t="s">
        <v>31</v>
      </c>
      <c r="C44" s="11">
        <f t="shared" ref="C44:AL44" si="98">$A$44*C45</f>
        <v>119400</v>
      </c>
      <c r="D44" s="11">
        <f t="shared" si="98"/>
        <v>199000</v>
      </c>
      <c r="E44" s="11">
        <f t="shared" si="98"/>
        <v>278600</v>
      </c>
      <c r="F44" s="11">
        <f t="shared" si="98"/>
        <v>358200</v>
      </c>
      <c r="G44" s="11">
        <f t="shared" si="98"/>
        <v>417900</v>
      </c>
      <c r="H44" s="11">
        <f t="shared" si="98"/>
        <v>457700</v>
      </c>
      <c r="I44" s="11">
        <f t="shared" si="98"/>
        <v>517400</v>
      </c>
      <c r="J44" s="11">
        <f t="shared" si="98"/>
        <v>557200</v>
      </c>
      <c r="K44" s="11">
        <f t="shared" si="98"/>
        <v>616900</v>
      </c>
      <c r="L44" s="11">
        <f t="shared" si="98"/>
        <v>656700</v>
      </c>
      <c r="M44" s="11">
        <f t="shared" si="98"/>
        <v>676600</v>
      </c>
      <c r="N44" s="11">
        <f t="shared" si="98"/>
        <v>696500</v>
      </c>
      <c r="O44" s="11">
        <f t="shared" si="98"/>
        <v>716400</v>
      </c>
      <c r="P44" s="11">
        <f t="shared" si="98"/>
        <v>716400</v>
      </c>
      <c r="Q44" s="11">
        <f t="shared" si="98"/>
        <v>716400</v>
      </c>
      <c r="R44" s="11">
        <f t="shared" si="98"/>
        <v>736300</v>
      </c>
      <c r="S44" s="11">
        <f t="shared" si="98"/>
        <v>736300</v>
      </c>
      <c r="T44" s="11">
        <f t="shared" si="98"/>
        <v>756200</v>
      </c>
      <c r="U44" s="11">
        <f t="shared" si="98"/>
        <v>756200</v>
      </c>
      <c r="V44" s="11">
        <f t="shared" si="98"/>
        <v>776100</v>
      </c>
      <c r="W44" s="11">
        <f t="shared" si="98"/>
        <v>796000</v>
      </c>
      <c r="X44" s="11">
        <f t="shared" si="98"/>
        <v>815900</v>
      </c>
      <c r="Y44" s="11">
        <f t="shared" si="98"/>
        <v>815900</v>
      </c>
      <c r="Z44" s="11">
        <f t="shared" si="98"/>
        <v>815900</v>
      </c>
      <c r="AA44" s="11">
        <f t="shared" si="98"/>
        <v>815900</v>
      </c>
      <c r="AB44" s="11">
        <f t="shared" si="98"/>
        <v>815900</v>
      </c>
      <c r="AC44" s="11">
        <f t="shared" si="98"/>
        <v>796000</v>
      </c>
      <c r="AD44" s="11">
        <f t="shared" si="98"/>
        <v>796000</v>
      </c>
      <c r="AE44" s="11">
        <f t="shared" si="98"/>
        <v>796000</v>
      </c>
      <c r="AF44" s="11">
        <f t="shared" si="98"/>
        <v>796000</v>
      </c>
      <c r="AG44" s="11">
        <f t="shared" si="98"/>
        <v>796000</v>
      </c>
      <c r="AH44" s="11">
        <f t="shared" si="98"/>
        <v>796000</v>
      </c>
      <c r="AI44" s="11">
        <f t="shared" si="98"/>
        <v>815900</v>
      </c>
      <c r="AJ44" s="11">
        <f t="shared" si="98"/>
        <v>815900</v>
      </c>
      <c r="AK44" s="11">
        <f t="shared" si="98"/>
        <v>815900</v>
      </c>
      <c r="AL44" s="11">
        <f t="shared" si="98"/>
        <v>815900</v>
      </c>
    </row>
    <row r="45" spans="1:38" ht="12.75" customHeight="1" x14ac:dyDescent="0.25">
      <c r="A45" s="1"/>
      <c r="B45" s="13" t="s">
        <v>30</v>
      </c>
      <c r="C45" s="11">
        <f t="shared" ref="C45:Z45" si="99">C38</f>
        <v>6</v>
      </c>
      <c r="D45" s="11">
        <f t="shared" si="99"/>
        <v>10</v>
      </c>
      <c r="E45" s="11">
        <f t="shared" si="99"/>
        <v>14</v>
      </c>
      <c r="F45" s="11">
        <f t="shared" si="99"/>
        <v>18</v>
      </c>
      <c r="G45" s="11">
        <f t="shared" si="99"/>
        <v>21</v>
      </c>
      <c r="H45" s="11">
        <f t="shared" si="99"/>
        <v>23</v>
      </c>
      <c r="I45" s="11">
        <f t="shared" si="99"/>
        <v>26</v>
      </c>
      <c r="J45" s="11">
        <f t="shared" si="99"/>
        <v>28</v>
      </c>
      <c r="K45" s="11">
        <f t="shared" si="99"/>
        <v>31</v>
      </c>
      <c r="L45" s="11">
        <f t="shared" si="99"/>
        <v>33</v>
      </c>
      <c r="M45" s="11">
        <f t="shared" si="99"/>
        <v>34</v>
      </c>
      <c r="N45" s="11">
        <f t="shared" si="99"/>
        <v>35</v>
      </c>
      <c r="O45" s="11">
        <f t="shared" si="99"/>
        <v>36</v>
      </c>
      <c r="P45" s="11">
        <f t="shared" si="99"/>
        <v>36</v>
      </c>
      <c r="Q45" s="11">
        <f t="shared" si="99"/>
        <v>36</v>
      </c>
      <c r="R45" s="11">
        <f t="shared" si="99"/>
        <v>37</v>
      </c>
      <c r="S45" s="11">
        <f t="shared" si="99"/>
        <v>37</v>
      </c>
      <c r="T45" s="11">
        <f t="shared" si="99"/>
        <v>38</v>
      </c>
      <c r="U45" s="11">
        <f t="shared" si="99"/>
        <v>38</v>
      </c>
      <c r="V45" s="11">
        <f t="shared" si="99"/>
        <v>39</v>
      </c>
      <c r="W45" s="11">
        <f t="shared" si="99"/>
        <v>40</v>
      </c>
      <c r="X45" s="11">
        <f t="shared" si="99"/>
        <v>41</v>
      </c>
      <c r="Y45" s="11">
        <f t="shared" si="99"/>
        <v>41</v>
      </c>
      <c r="Z45" s="11">
        <f t="shared" si="99"/>
        <v>41</v>
      </c>
      <c r="AA45" s="11">
        <f t="shared" ref="AA45:AL45" si="100">AA38</f>
        <v>41</v>
      </c>
      <c r="AB45" s="11">
        <f t="shared" si="100"/>
        <v>41</v>
      </c>
      <c r="AC45" s="11">
        <f t="shared" si="100"/>
        <v>40</v>
      </c>
      <c r="AD45" s="11">
        <f t="shared" si="100"/>
        <v>40</v>
      </c>
      <c r="AE45" s="11">
        <f t="shared" si="100"/>
        <v>40</v>
      </c>
      <c r="AF45" s="11">
        <f t="shared" si="100"/>
        <v>40</v>
      </c>
      <c r="AG45" s="11">
        <f t="shared" si="100"/>
        <v>40</v>
      </c>
      <c r="AH45" s="11">
        <f t="shared" si="100"/>
        <v>40</v>
      </c>
      <c r="AI45" s="11">
        <f t="shared" si="100"/>
        <v>41</v>
      </c>
      <c r="AJ45" s="11">
        <f t="shared" si="100"/>
        <v>41</v>
      </c>
      <c r="AK45" s="11">
        <f t="shared" si="100"/>
        <v>41</v>
      </c>
      <c r="AL45" s="11">
        <f t="shared" si="100"/>
        <v>41</v>
      </c>
    </row>
    <row r="46" spans="1:38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2.75" customHeight="1" x14ac:dyDescent="0.25">
      <c r="A47" s="1"/>
      <c r="B47" s="5" t="s">
        <v>32</v>
      </c>
      <c r="C47" s="6">
        <f t="shared" ref="C47:Z47" si="101">SUM(C50:C57)</f>
        <v>302630</v>
      </c>
      <c r="D47" s="6">
        <f t="shared" si="101"/>
        <v>322480</v>
      </c>
      <c r="E47" s="6">
        <f t="shared" si="101"/>
        <v>340350</v>
      </c>
      <c r="F47" s="6">
        <f t="shared" si="101"/>
        <v>357230</v>
      </c>
      <c r="G47" s="6">
        <f t="shared" si="101"/>
        <v>482930</v>
      </c>
      <c r="H47" s="6">
        <f t="shared" si="101"/>
        <v>496840</v>
      </c>
      <c r="I47" s="6">
        <f t="shared" si="101"/>
        <v>524760</v>
      </c>
      <c r="J47" s="6">
        <f t="shared" si="101"/>
        <v>552680</v>
      </c>
      <c r="K47" s="6">
        <f t="shared" si="101"/>
        <v>581590</v>
      </c>
      <c r="L47" s="6">
        <f t="shared" si="101"/>
        <v>578520</v>
      </c>
      <c r="M47" s="6">
        <f t="shared" si="101"/>
        <v>573470</v>
      </c>
      <c r="N47" s="6">
        <f t="shared" si="101"/>
        <v>677240</v>
      </c>
      <c r="O47" s="6">
        <f t="shared" si="101"/>
        <v>669220</v>
      </c>
      <c r="P47" s="6">
        <f t="shared" si="101"/>
        <v>675210</v>
      </c>
      <c r="Q47" s="6">
        <f t="shared" si="101"/>
        <v>681200</v>
      </c>
      <c r="R47" s="6">
        <f t="shared" si="101"/>
        <v>687190</v>
      </c>
      <c r="S47" s="6">
        <f t="shared" si="101"/>
        <v>693180</v>
      </c>
      <c r="T47" s="6">
        <f t="shared" si="101"/>
        <v>700160</v>
      </c>
      <c r="U47" s="6">
        <f t="shared" si="101"/>
        <v>722140</v>
      </c>
      <c r="V47" s="6">
        <f t="shared" si="101"/>
        <v>744120</v>
      </c>
      <c r="W47" s="6">
        <f t="shared" si="101"/>
        <v>767090</v>
      </c>
      <c r="X47" s="6">
        <f t="shared" si="101"/>
        <v>760060</v>
      </c>
      <c r="Y47" s="6">
        <f t="shared" si="101"/>
        <v>751050</v>
      </c>
      <c r="Z47" s="6">
        <f t="shared" si="101"/>
        <v>742040</v>
      </c>
      <c r="AA47" s="6">
        <f t="shared" ref="AA47:AL47" si="102">SUM(AA50:AA57)</f>
        <v>731050</v>
      </c>
      <c r="AB47" s="6">
        <f t="shared" si="102"/>
        <v>735060</v>
      </c>
      <c r="AC47" s="6">
        <f t="shared" si="102"/>
        <v>739070</v>
      </c>
      <c r="AD47" s="6">
        <f t="shared" si="102"/>
        <v>743080</v>
      </c>
      <c r="AE47" s="6">
        <f t="shared" si="102"/>
        <v>748080</v>
      </c>
      <c r="AF47" s="6">
        <f t="shared" si="102"/>
        <v>753080</v>
      </c>
      <c r="AG47" s="6">
        <f t="shared" si="102"/>
        <v>774070</v>
      </c>
      <c r="AH47" s="6">
        <f t="shared" si="102"/>
        <v>794070</v>
      </c>
      <c r="AI47" s="6">
        <f t="shared" si="102"/>
        <v>815060</v>
      </c>
      <c r="AJ47" s="6">
        <f t="shared" si="102"/>
        <v>806050</v>
      </c>
      <c r="AK47" s="6">
        <f t="shared" si="102"/>
        <v>797040</v>
      </c>
      <c r="AL47" s="6">
        <f t="shared" si="102"/>
        <v>787040</v>
      </c>
    </row>
    <row r="48" spans="1:38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2.75" customHeight="1" x14ac:dyDescent="0.25">
      <c r="A49" s="19">
        <v>1</v>
      </c>
      <c r="B49" s="1" t="s">
        <v>33</v>
      </c>
      <c r="C49" s="11">
        <f>ROUNDDOWN((C43/40) + 1, 0)</f>
        <v>1</v>
      </c>
      <c r="D49" s="11">
        <f t="shared" ref="D49:Z49" si="103">ROUNDDOWN((D43/40) + 1, 0)</f>
        <v>1</v>
      </c>
      <c r="E49" s="11">
        <f t="shared" si="103"/>
        <v>1</v>
      </c>
      <c r="F49" s="11">
        <f t="shared" si="103"/>
        <v>1</v>
      </c>
      <c r="G49" s="11">
        <f t="shared" si="103"/>
        <v>2</v>
      </c>
      <c r="H49" s="11">
        <f t="shared" si="103"/>
        <v>2</v>
      </c>
      <c r="I49" s="11">
        <f t="shared" si="103"/>
        <v>2</v>
      </c>
      <c r="J49" s="11">
        <f t="shared" si="103"/>
        <v>2</v>
      </c>
      <c r="K49" s="11">
        <f t="shared" si="103"/>
        <v>2</v>
      </c>
      <c r="L49" s="11">
        <f t="shared" si="103"/>
        <v>2</v>
      </c>
      <c r="M49" s="11">
        <f t="shared" si="103"/>
        <v>2</v>
      </c>
      <c r="N49" s="11">
        <f t="shared" si="103"/>
        <v>3</v>
      </c>
      <c r="O49" s="11">
        <f t="shared" si="103"/>
        <v>3</v>
      </c>
      <c r="P49" s="11">
        <f t="shared" si="103"/>
        <v>3</v>
      </c>
      <c r="Q49" s="11">
        <f t="shared" si="103"/>
        <v>3</v>
      </c>
      <c r="R49" s="11">
        <f t="shared" si="103"/>
        <v>3</v>
      </c>
      <c r="S49" s="11">
        <f t="shared" si="103"/>
        <v>3</v>
      </c>
      <c r="T49" s="11">
        <f t="shared" si="103"/>
        <v>3</v>
      </c>
      <c r="U49" s="11">
        <f t="shared" si="103"/>
        <v>3</v>
      </c>
      <c r="V49" s="11">
        <f t="shared" si="103"/>
        <v>3</v>
      </c>
      <c r="W49" s="11">
        <f t="shared" si="103"/>
        <v>3</v>
      </c>
      <c r="X49" s="11">
        <f t="shared" si="103"/>
        <v>3</v>
      </c>
      <c r="Y49" s="11">
        <f t="shared" si="103"/>
        <v>3</v>
      </c>
      <c r="Z49" s="11">
        <f t="shared" si="103"/>
        <v>3</v>
      </c>
      <c r="AA49" s="11">
        <f t="shared" ref="AA49:AL49" si="104">ROUNDDOWN((AA43/40) + 1, 0)</f>
        <v>3</v>
      </c>
      <c r="AB49" s="11">
        <f t="shared" si="104"/>
        <v>3</v>
      </c>
      <c r="AC49" s="11">
        <f t="shared" si="104"/>
        <v>3</v>
      </c>
      <c r="AD49" s="11">
        <f t="shared" si="104"/>
        <v>3</v>
      </c>
      <c r="AE49" s="11">
        <f t="shared" si="104"/>
        <v>3</v>
      </c>
      <c r="AF49" s="11">
        <f t="shared" si="104"/>
        <v>3</v>
      </c>
      <c r="AG49" s="11">
        <f t="shared" si="104"/>
        <v>3</v>
      </c>
      <c r="AH49" s="11">
        <f t="shared" si="104"/>
        <v>3</v>
      </c>
      <c r="AI49" s="11">
        <f t="shared" si="104"/>
        <v>3</v>
      </c>
      <c r="AJ49" s="11">
        <f t="shared" si="104"/>
        <v>3</v>
      </c>
      <c r="AK49" s="11">
        <f t="shared" si="104"/>
        <v>3</v>
      </c>
      <c r="AL49" s="11">
        <f t="shared" si="104"/>
        <v>3</v>
      </c>
    </row>
    <row r="50" spans="1:38" ht="12.75" customHeight="1" x14ac:dyDescent="0.25">
      <c r="A50" s="19">
        <v>60000</v>
      </c>
      <c r="B50" s="1" t="s">
        <v>34</v>
      </c>
      <c r="C50" s="11">
        <f t="shared" ref="C50:Z50" si="105">$A$50*C49</f>
        <v>60000</v>
      </c>
      <c r="D50" s="11">
        <f t="shared" si="105"/>
        <v>60000</v>
      </c>
      <c r="E50" s="11">
        <f t="shared" si="105"/>
        <v>60000</v>
      </c>
      <c r="F50" s="11">
        <f t="shared" si="105"/>
        <v>60000</v>
      </c>
      <c r="G50" s="11">
        <f t="shared" si="105"/>
        <v>120000</v>
      </c>
      <c r="H50" s="11">
        <f t="shared" si="105"/>
        <v>120000</v>
      </c>
      <c r="I50" s="11">
        <f t="shared" si="105"/>
        <v>120000</v>
      </c>
      <c r="J50" s="11">
        <f t="shared" si="105"/>
        <v>120000</v>
      </c>
      <c r="K50" s="11">
        <f t="shared" si="105"/>
        <v>120000</v>
      </c>
      <c r="L50" s="11">
        <f t="shared" si="105"/>
        <v>120000</v>
      </c>
      <c r="M50" s="11">
        <f t="shared" si="105"/>
        <v>120000</v>
      </c>
      <c r="N50" s="11">
        <f t="shared" si="105"/>
        <v>180000</v>
      </c>
      <c r="O50" s="11">
        <f t="shared" si="105"/>
        <v>180000</v>
      </c>
      <c r="P50" s="11">
        <f t="shared" si="105"/>
        <v>180000</v>
      </c>
      <c r="Q50" s="11">
        <f t="shared" si="105"/>
        <v>180000</v>
      </c>
      <c r="R50" s="11">
        <f t="shared" si="105"/>
        <v>180000</v>
      </c>
      <c r="S50" s="11">
        <f t="shared" si="105"/>
        <v>180000</v>
      </c>
      <c r="T50" s="11">
        <f t="shared" si="105"/>
        <v>180000</v>
      </c>
      <c r="U50" s="11">
        <f t="shared" si="105"/>
        <v>180000</v>
      </c>
      <c r="V50" s="11">
        <f t="shared" si="105"/>
        <v>180000</v>
      </c>
      <c r="W50" s="11">
        <f t="shared" si="105"/>
        <v>180000</v>
      </c>
      <c r="X50" s="11">
        <f t="shared" si="105"/>
        <v>180000</v>
      </c>
      <c r="Y50" s="11">
        <f t="shared" si="105"/>
        <v>180000</v>
      </c>
      <c r="Z50" s="11">
        <f t="shared" si="105"/>
        <v>180000</v>
      </c>
      <c r="AA50" s="11">
        <f t="shared" ref="AA50:AL50" si="106">$A$50*AA49</f>
        <v>180000</v>
      </c>
      <c r="AB50" s="11">
        <f t="shared" si="106"/>
        <v>180000</v>
      </c>
      <c r="AC50" s="11">
        <f t="shared" si="106"/>
        <v>180000</v>
      </c>
      <c r="AD50" s="11">
        <f t="shared" si="106"/>
        <v>180000</v>
      </c>
      <c r="AE50" s="11">
        <f t="shared" si="106"/>
        <v>180000</v>
      </c>
      <c r="AF50" s="11">
        <f t="shared" si="106"/>
        <v>180000</v>
      </c>
      <c r="AG50" s="11">
        <f t="shared" si="106"/>
        <v>180000</v>
      </c>
      <c r="AH50" s="11">
        <f t="shared" si="106"/>
        <v>180000</v>
      </c>
      <c r="AI50" s="11">
        <f t="shared" si="106"/>
        <v>180000</v>
      </c>
      <c r="AJ50" s="11">
        <f t="shared" si="106"/>
        <v>180000</v>
      </c>
      <c r="AK50" s="11">
        <f t="shared" si="106"/>
        <v>180000</v>
      </c>
      <c r="AL50" s="11">
        <f t="shared" si="106"/>
        <v>180000</v>
      </c>
    </row>
    <row r="51" spans="1:38" ht="12.75" customHeight="1" x14ac:dyDescent="0.25">
      <c r="A51" s="20">
        <v>0.13</v>
      </c>
      <c r="B51" s="1" t="s">
        <v>35</v>
      </c>
      <c r="C51" s="11">
        <f t="shared" ref="C51:Z51" si="107">C50*$A$51</f>
        <v>7800</v>
      </c>
      <c r="D51" s="11">
        <f t="shared" si="107"/>
        <v>7800</v>
      </c>
      <c r="E51" s="11">
        <f t="shared" si="107"/>
        <v>7800</v>
      </c>
      <c r="F51" s="11">
        <f t="shared" si="107"/>
        <v>7800</v>
      </c>
      <c r="G51" s="11">
        <f t="shared" si="107"/>
        <v>15600</v>
      </c>
      <c r="H51" s="11">
        <f t="shared" si="107"/>
        <v>15600</v>
      </c>
      <c r="I51" s="11">
        <f t="shared" si="107"/>
        <v>15600</v>
      </c>
      <c r="J51" s="11">
        <f t="shared" si="107"/>
        <v>15600</v>
      </c>
      <c r="K51" s="11">
        <f t="shared" si="107"/>
        <v>15600</v>
      </c>
      <c r="L51" s="11">
        <f t="shared" si="107"/>
        <v>15600</v>
      </c>
      <c r="M51" s="11">
        <f t="shared" si="107"/>
        <v>15600</v>
      </c>
      <c r="N51" s="11">
        <f t="shared" si="107"/>
        <v>23400</v>
      </c>
      <c r="O51" s="11">
        <f t="shared" si="107"/>
        <v>23400</v>
      </c>
      <c r="P51" s="11">
        <f t="shared" si="107"/>
        <v>23400</v>
      </c>
      <c r="Q51" s="11">
        <f t="shared" si="107"/>
        <v>23400</v>
      </c>
      <c r="R51" s="11">
        <f t="shared" si="107"/>
        <v>23400</v>
      </c>
      <c r="S51" s="11">
        <f t="shared" si="107"/>
        <v>23400</v>
      </c>
      <c r="T51" s="11">
        <f t="shared" si="107"/>
        <v>23400</v>
      </c>
      <c r="U51" s="11">
        <f t="shared" si="107"/>
        <v>23400</v>
      </c>
      <c r="V51" s="11">
        <f t="shared" si="107"/>
        <v>23400</v>
      </c>
      <c r="W51" s="11">
        <f t="shared" si="107"/>
        <v>23400</v>
      </c>
      <c r="X51" s="11">
        <f t="shared" si="107"/>
        <v>23400</v>
      </c>
      <c r="Y51" s="11">
        <f t="shared" si="107"/>
        <v>23400</v>
      </c>
      <c r="Z51" s="11">
        <f t="shared" si="107"/>
        <v>23400</v>
      </c>
      <c r="AA51" s="11">
        <f t="shared" ref="AA51:AL51" si="108">AA50*$A$51</f>
        <v>23400</v>
      </c>
      <c r="AB51" s="11">
        <f t="shared" si="108"/>
        <v>23400</v>
      </c>
      <c r="AC51" s="11">
        <f t="shared" si="108"/>
        <v>23400</v>
      </c>
      <c r="AD51" s="11">
        <f t="shared" si="108"/>
        <v>23400</v>
      </c>
      <c r="AE51" s="11">
        <f t="shared" si="108"/>
        <v>23400</v>
      </c>
      <c r="AF51" s="11">
        <f t="shared" si="108"/>
        <v>23400</v>
      </c>
      <c r="AG51" s="11">
        <f t="shared" si="108"/>
        <v>23400</v>
      </c>
      <c r="AH51" s="11">
        <f t="shared" si="108"/>
        <v>23400</v>
      </c>
      <c r="AI51" s="11">
        <f t="shared" si="108"/>
        <v>23400</v>
      </c>
      <c r="AJ51" s="11">
        <f t="shared" si="108"/>
        <v>23400</v>
      </c>
      <c r="AK51" s="11">
        <f t="shared" si="108"/>
        <v>23400</v>
      </c>
      <c r="AL51" s="11">
        <f t="shared" si="108"/>
        <v>23400</v>
      </c>
    </row>
    <row r="52" spans="1:38" ht="12.75" customHeight="1" x14ac:dyDescent="0.25">
      <c r="A52" s="20">
        <v>0.3</v>
      </c>
      <c r="B52" s="1" t="s">
        <v>36</v>
      </c>
      <c r="C52" s="11">
        <f t="shared" ref="C52:Z52" si="109">C50*$A$52</f>
        <v>18000</v>
      </c>
      <c r="D52" s="11">
        <f t="shared" si="109"/>
        <v>18000</v>
      </c>
      <c r="E52" s="11">
        <f t="shared" si="109"/>
        <v>18000</v>
      </c>
      <c r="F52" s="11">
        <f t="shared" si="109"/>
        <v>18000</v>
      </c>
      <c r="G52" s="11">
        <f t="shared" si="109"/>
        <v>36000</v>
      </c>
      <c r="H52" s="11">
        <f t="shared" si="109"/>
        <v>36000</v>
      </c>
      <c r="I52" s="11">
        <f t="shared" si="109"/>
        <v>36000</v>
      </c>
      <c r="J52" s="11">
        <f t="shared" si="109"/>
        <v>36000</v>
      </c>
      <c r="K52" s="11">
        <f t="shared" si="109"/>
        <v>36000</v>
      </c>
      <c r="L52" s="11">
        <f t="shared" si="109"/>
        <v>36000</v>
      </c>
      <c r="M52" s="11">
        <f t="shared" si="109"/>
        <v>36000</v>
      </c>
      <c r="N52" s="11">
        <f t="shared" si="109"/>
        <v>54000</v>
      </c>
      <c r="O52" s="11">
        <f t="shared" si="109"/>
        <v>54000</v>
      </c>
      <c r="P52" s="11">
        <f t="shared" si="109"/>
        <v>54000</v>
      </c>
      <c r="Q52" s="11">
        <f t="shared" si="109"/>
        <v>54000</v>
      </c>
      <c r="R52" s="11">
        <f t="shared" si="109"/>
        <v>54000</v>
      </c>
      <c r="S52" s="11">
        <f t="shared" si="109"/>
        <v>54000</v>
      </c>
      <c r="T52" s="11">
        <f t="shared" si="109"/>
        <v>54000</v>
      </c>
      <c r="U52" s="11">
        <f t="shared" si="109"/>
        <v>54000</v>
      </c>
      <c r="V52" s="11">
        <f t="shared" si="109"/>
        <v>54000</v>
      </c>
      <c r="W52" s="11">
        <f t="shared" si="109"/>
        <v>54000</v>
      </c>
      <c r="X52" s="11">
        <f t="shared" si="109"/>
        <v>54000</v>
      </c>
      <c r="Y52" s="11">
        <f t="shared" si="109"/>
        <v>54000</v>
      </c>
      <c r="Z52" s="11">
        <f t="shared" si="109"/>
        <v>54000</v>
      </c>
      <c r="AA52" s="11">
        <f t="shared" ref="AA52:AL52" si="110">AA50*$A$52</f>
        <v>54000</v>
      </c>
      <c r="AB52" s="11">
        <f t="shared" si="110"/>
        <v>54000</v>
      </c>
      <c r="AC52" s="11">
        <f t="shared" si="110"/>
        <v>54000</v>
      </c>
      <c r="AD52" s="11">
        <f t="shared" si="110"/>
        <v>54000</v>
      </c>
      <c r="AE52" s="11">
        <f t="shared" si="110"/>
        <v>54000</v>
      </c>
      <c r="AF52" s="11">
        <f t="shared" si="110"/>
        <v>54000</v>
      </c>
      <c r="AG52" s="11">
        <f t="shared" si="110"/>
        <v>54000</v>
      </c>
      <c r="AH52" s="11">
        <f t="shared" si="110"/>
        <v>54000</v>
      </c>
      <c r="AI52" s="11">
        <f t="shared" si="110"/>
        <v>54000</v>
      </c>
      <c r="AJ52" s="11">
        <f t="shared" si="110"/>
        <v>54000</v>
      </c>
      <c r="AK52" s="11">
        <f t="shared" si="110"/>
        <v>54000</v>
      </c>
      <c r="AL52" s="11">
        <f t="shared" si="110"/>
        <v>54000</v>
      </c>
    </row>
    <row r="53" spans="1:38" ht="12.75" customHeight="1" x14ac:dyDescent="0.25">
      <c r="A53" s="19">
        <v>25000</v>
      </c>
      <c r="B53" s="13" t="s">
        <v>37</v>
      </c>
      <c r="C53" s="11">
        <f>ROUNDDOWN(((C43/40)+1),0)*$A$53</f>
        <v>25000</v>
      </c>
      <c r="D53" s="11">
        <f t="shared" ref="D53:AL53" si="111">ROUNDDOWN(((D43/40)+1),0)*$A$53</f>
        <v>25000</v>
      </c>
      <c r="E53" s="11">
        <f t="shared" si="111"/>
        <v>25000</v>
      </c>
      <c r="F53" s="11">
        <f t="shared" si="111"/>
        <v>25000</v>
      </c>
      <c r="G53" s="11">
        <f t="shared" si="111"/>
        <v>50000</v>
      </c>
      <c r="H53" s="11">
        <f t="shared" si="111"/>
        <v>50000</v>
      </c>
      <c r="I53" s="11">
        <f t="shared" si="111"/>
        <v>50000</v>
      </c>
      <c r="J53" s="11">
        <f t="shared" si="111"/>
        <v>50000</v>
      </c>
      <c r="K53" s="11">
        <f t="shared" si="111"/>
        <v>50000</v>
      </c>
      <c r="L53" s="11">
        <f t="shared" si="111"/>
        <v>50000</v>
      </c>
      <c r="M53" s="11">
        <f t="shared" si="111"/>
        <v>50000</v>
      </c>
      <c r="N53" s="11">
        <f t="shared" si="111"/>
        <v>75000</v>
      </c>
      <c r="O53" s="11">
        <f t="shared" si="111"/>
        <v>75000</v>
      </c>
      <c r="P53" s="11">
        <f t="shared" si="111"/>
        <v>75000</v>
      </c>
      <c r="Q53" s="11">
        <f t="shared" si="111"/>
        <v>75000</v>
      </c>
      <c r="R53" s="11">
        <f t="shared" si="111"/>
        <v>75000</v>
      </c>
      <c r="S53" s="11">
        <f t="shared" si="111"/>
        <v>75000</v>
      </c>
      <c r="T53" s="11">
        <f t="shared" si="111"/>
        <v>75000</v>
      </c>
      <c r="U53" s="11">
        <f t="shared" si="111"/>
        <v>75000</v>
      </c>
      <c r="V53" s="11">
        <f t="shared" si="111"/>
        <v>75000</v>
      </c>
      <c r="W53" s="11">
        <f t="shared" si="111"/>
        <v>75000</v>
      </c>
      <c r="X53" s="11">
        <f t="shared" si="111"/>
        <v>75000</v>
      </c>
      <c r="Y53" s="11">
        <f t="shared" si="111"/>
        <v>75000</v>
      </c>
      <c r="Z53" s="11">
        <f t="shared" si="111"/>
        <v>75000</v>
      </c>
      <c r="AA53" s="11">
        <f t="shared" si="111"/>
        <v>75000</v>
      </c>
      <c r="AB53" s="11">
        <f t="shared" si="111"/>
        <v>75000</v>
      </c>
      <c r="AC53" s="11">
        <f t="shared" si="111"/>
        <v>75000</v>
      </c>
      <c r="AD53" s="11">
        <f t="shared" si="111"/>
        <v>75000</v>
      </c>
      <c r="AE53" s="11">
        <f t="shared" si="111"/>
        <v>75000</v>
      </c>
      <c r="AF53" s="11">
        <f t="shared" si="111"/>
        <v>75000</v>
      </c>
      <c r="AG53" s="11">
        <f t="shared" si="111"/>
        <v>75000</v>
      </c>
      <c r="AH53" s="11">
        <f t="shared" si="111"/>
        <v>75000</v>
      </c>
      <c r="AI53" s="11">
        <f t="shared" si="111"/>
        <v>75000</v>
      </c>
      <c r="AJ53" s="11">
        <f t="shared" si="111"/>
        <v>75000</v>
      </c>
      <c r="AK53" s="11">
        <f t="shared" si="111"/>
        <v>75000</v>
      </c>
      <c r="AL53" s="11">
        <f t="shared" si="111"/>
        <v>75000</v>
      </c>
    </row>
    <row r="54" spans="1:38" ht="12.75" customHeight="1" x14ac:dyDescent="0.25">
      <c r="A54" s="1"/>
      <c r="B54" s="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spans="1:38" ht="12.75" customHeight="1" x14ac:dyDescent="0.25">
      <c r="A55" s="10">
        <v>990</v>
      </c>
      <c r="B55" s="13" t="s">
        <v>38</v>
      </c>
      <c r="C55" s="11">
        <f>$A$55*C33</f>
        <v>16830</v>
      </c>
      <c r="D55" s="11">
        <f t="shared" ref="D55:Z55" si="112">$A$55*D33</f>
        <v>31680</v>
      </c>
      <c r="E55" s="11">
        <f t="shared" si="112"/>
        <v>44550</v>
      </c>
      <c r="F55" s="11">
        <f t="shared" si="112"/>
        <v>56430</v>
      </c>
      <c r="G55" s="11">
        <f t="shared" si="112"/>
        <v>66330</v>
      </c>
      <c r="H55" s="11">
        <f t="shared" si="112"/>
        <v>75240</v>
      </c>
      <c r="I55" s="11">
        <f t="shared" si="112"/>
        <v>83160</v>
      </c>
      <c r="J55" s="11">
        <f t="shared" si="112"/>
        <v>91080</v>
      </c>
      <c r="K55" s="11">
        <f t="shared" si="112"/>
        <v>99990</v>
      </c>
      <c r="L55" s="11">
        <f t="shared" si="112"/>
        <v>106920</v>
      </c>
      <c r="M55" s="11">
        <f t="shared" si="112"/>
        <v>111870</v>
      </c>
      <c r="N55" s="11">
        <f t="shared" si="112"/>
        <v>114840</v>
      </c>
      <c r="O55" s="11">
        <f t="shared" si="112"/>
        <v>116820</v>
      </c>
      <c r="P55" s="11">
        <f t="shared" si="112"/>
        <v>117810</v>
      </c>
      <c r="Q55" s="11">
        <f t="shared" si="112"/>
        <v>118800</v>
      </c>
      <c r="R55" s="11">
        <f t="shared" si="112"/>
        <v>119790</v>
      </c>
      <c r="S55" s="11">
        <f t="shared" si="112"/>
        <v>120780</v>
      </c>
      <c r="T55" s="11">
        <f t="shared" si="112"/>
        <v>122760</v>
      </c>
      <c r="U55" s="11">
        <f t="shared" si="112"/>
        <v>124740</v>
      </c>
      <c r="V55" s="11">
        <f t="shared" si="112"/>
        <v>126720</v>
      </c>
      <c r="W55" s="11">
        <f t="shared" si="112"/>
        <v>129690</v>
      </c>
      <c r="X55" s="11">
        <f t="shared" si="112"/>
        <v>132660</v>
      </c>
      <c r="Y55" s="11">
        <f t="shared" si="112"/>
        <v>133650</v>
      </c>
      <c r="Z55" s="11">
        <f t="shared" si="112"/>
        <v>134640</v>
      </c>
      <c r="AA55" s="11">
        <f t="shared" ref="AA55:AL55" si="113">$A$55*AA33</f>
        <v>133650</v>
      </c>
      <c r="AB55" s="11">
        <f t="shared" si="113"/>
        <v>132660</v>
      </c>
      <c r="AC55" s="11">
        <f t="shared" si="113"/>
        <v>131670</v>
      </c>
      <c r="AD55" s="11">
        <f t="shared" si="113"/>
        <v>130680</v>
      </c>
      <c r="AE55" s="11">
        <f t="shared" si="113"/>
        <v>130680</v>
      </c>
      <c r="AF55" s="11">
        <f t="shared" si="113"/>
        <v>130680</v>
      </c>
      <c r="AG55" s="11">
        <f t="shared" si="113"/>
        <v>131670</v>
      </c>
      <c r="AH55" s="11">
        <f t="shared" si="113"/>
        <v>131670</v>
      </c>
      <c r="AI55" s="11">
        <f t="shared" si="113"/>
        <v>132660</v>
      </c>
      <c r="AJ55" s="11">
        <f t="shared" si="113"/>
        <v>133650</v>
      </c>
      <c r="AK55" s="11">
        <f t="shared" si="113"/>
        <v>134640</v>
      </c>
      <c r="AL55" s="11">
        <f t="shared" si="113"/>
        <v>134640</v>
      </c>
    </row>
    <row r="56" spans="1:38" ht="12.75" customHeight="1" x14ac:dyDescent="0.25">
      <c r="A56" s="1"/>
      <c r="B56" s="1" t="s">
        <v>39</v>
      </c>
      <c r="C56" s="11">
        <f t="shared" ref="C56:Z56" si="114">C7+C18</f>
        <v>175000</v>
      </c>
      <c r="D56" s="11">
        <f t="shared" si="114"/>
        <v>180000</v>
      </c>
      <c r="E56" s="11">
        <f t="shared" si="114"/>
        <v>185000</v>
      </c>
      <c r="F56" s="11">
        <f t="shared" si="114"/>
        <v>190000</v>
      </c>
      <c r="G56" s="11">
        <f t="shared" si="114"/>
        <v>195000</v>
      </c>
      <c r="H56" s="11">
        <f t="shared" si="114"/>
        <v>200000</v>
      </c>
      <c r="I56" s="11">
        <f t="shared" si="114"/>
        <v>220000</v>
      </c>
      <c r="J56" s="11">
        <f t="shared" si="114"/>
        <v>240000</v>
      </c>
      <c r="K56" s="11">
        <f t="shared" si="114"/>
        <v>260000</v>
      </c>
      <c r="L56" s="11">
        <f t="shared" si="114"/>
        <v>250000</v>
      </c>
      <c r="M56" s="11">
        <f t="shared" si="114"/>
        <v>240000</v>
      </c>
      <c r="N56" s="11">
        <f t="shared" si="114"/>
        <v>230000</v>
      </c>
      <c r="O56" s="11">
        <f t="shared" si="114"/>
        <v>220000</v>
      </c>
      <c r="P56" s="11">
        <f t="shared" si="114"/>
        <v>225000</v>
      </c>
      <c r="Q56" s="11">
        <f t="shared" si="114"/>
        <v>230000</v>
      </c>
      <c r="R56" s="11">
        <f t="shared" si="114"/>
        <v>235000</v>
      </c>
      <c r="S56" s="11">
        <f t="shared" si="114"/>
        <v>240000</v>
      </c>
      <c r="T56" s="11">
        <f t="shared" si="114"/>
        <v>245000</v>
      </c>
      <c r="U56" s="11">
        <f t="shared" si="114"/>
        <v>265000</v>
      </c>
      <c r="V56" s="11">
        <f t="shared" si="114"/>
        <v>285000</v>
      </c>
      <c r="W56" s="11">
        <f t="shared" si="114"/>
        <v>305000</v>
      </c>
      <c r="X56" s="11">
        <f t="shared" si="114"/>
        <v>295000</v>
      </c>
      <c r="Y56" s="11">
        <f t="shared" si="114"/>
        <v>285000</v>
      </c>
      <c r="Z56" s="11">
        <f t="shared" si="114"/>
        <v>275000</v>
      </c>
      <c r="AA56" s="11">
        <f t="shared" ref="AA56:AL56" si="115">AA7+AA18</f>
        <v>265000</v>
      </c>
      <c r="AB56" s="11">
        <f t="shared" si="115"/>
        <v>270000</v>
      </c>
      <c r="AC56" s="11">
        <f t="shared" si="115"/>
        <v>275000</v>
      </c>
      <c r="AD56" s="11">
        <f t="shared" si="115"/>
        <v>280000</v>
      </c>
      <c r="AE56" s="11">
        <f t="shared" si="115"/>
        <v>285000</v>
      </c>
      <c r="AF56" s="11">
        <f t="shared" si="115"/>
        <v>290000</v>
      </c>
      <c r="AG56" s="11">
        <f t="shared" si="115"/>
        <v>310000</v>
      </c>
      <c r="AH56" s="11">
        <f t="shared" si="115"/>
        <v>330000</v>
      </c>
      <c r="AI56" s="11">
        <f t="shared" si="115"/>
        <v>350000</v>
      </c>
      <c r="AJ56" s="11">
        <f t="shared" si="115"/>
        <v>340000</v>
      </c>
      <c r="AK56" s="11">
        <f t="shared" si="115"/>
        <v>330000</v>
      </c>
      <c r="AL56" s="11">
        <f t="shared" si="115"/>
        <v>320000</v>
      </c>
    </row>
    <row r="57" spans="1:38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2.75" customHeight="1" x14ac:dyDescent="0.25">
      <c r="A58" s="1"/>
      <c r="B58" s="5" t="s">
        <v>40</v>
      </c>
      <c r="C58" s="6">
        <f t="shared" ref="C58:Z58" si="116">C5-C47</f>
        <v>-74330</v>
      </c>
      <c r="D58" s="6">
        <f t="shared" si="116"/>
        <v>94320</v>
      </c>
      <c r="E58" s="6">
        <f t="shared" si="116"/>
        <v>245150</v>
      </c>
      <c r="F58" s="6">
        <f t="shared" si="116"/>
        <v>387070</v>
      </c>
      <c r="G58" s="6">
        <f t="shared" si="116"/>
        <v>390370</v>
      </c>
      <c r="H58" s="6">
        <f t="shared" si="116"/>
        <v>485560</v>
      </c>
      <c r="I58" s="6">
        <f t="shared" si="116"/>
        <v>566840</v>
      </c>
      <c r="J58" s="6">
        <f t="shared" si="116"/>
        <v>638120</v>
      </c>
      <c r="K58" s="6">
        <f t="shared" si="116"/>
        <v>728310</v>
      </c>
      <c r="L58" s="6">
        <f t="shared" si="116"/>
        <v>820680</v>
      </c>
      <c r="M58" s="6">
        <f t="shared" si="116"/>
        <v>885230</v>
      </c>
      <c r="N58" s="6">
        <f t="shared" si="116"/>
        <v>821160</v>
      </c>
      <c r="O58" s="6">
        <f t="shared" si="116"/>
        <v>858980</v>
      </c>
      <c r="P58" s="6">
        <f t="shared" si="116"/>
        <v>862890</v>
      </c>
      <c r="Q58" s="6">
        <f t="shared" si="116"/>
        <v>866800</v>
      </c>
      <c r="R58" s="6">
        <f t="shared" si="116"/>
        <v>880710</v>
      </c>
      <c r="S58" s="6">
        <f t="shared" si="116"/>
        <v>884620</v>
      </c>
      <c r="T58" s="6">
        <f t="shared" si="116"/>
        <v>907440</v>
      </c>
      <c r="U58" s="6">
        <f t="shared" si="116"/>
        <v>905260</v>
      </c>
      <c r="V58" s="6">
        <f t="shared" si="116"/>
        <v>913080</v>
      </c>
      <c r="W58" s="6">
        <f t="shared" si="116"/>
        <v>929810</v>
      </c>
      <c r="X58" s="6">
        <f t="shared" si="116"/>
        <v>976540</v>
      </c>
      <c r="Y58" s="6">
        <f t="shared" si="116"/>
        <v>995450</v>
      </c>
      <c r="Z58" s="6">
        <f t="shared" si="116"/>
        <v>1014360</v>
      </c>
      <c r="AA58" s="6">
        <f t="shared" ref="AA58:AL58" si="117">AA5-AA47</f>
        <v>1015450</v>
      </c>
      <c r="AB58" s="6">
        <f t="shared" si="117"/>
        <v>1001540</v>
      </c>
      <c r="AC58" s="6">
        <f t="shared" si="117"/>
        <v>977630</v>
      </c>
      <c r="AD58" s="6">
        <f t="shared" si="117"/>
        <v>963720</v>
      </c>
      <c r="AE58" s="6">
        <f t="shared" si="117"/>
        <v>958720</v>
      </c>
      <c r="AF58" s="6">
        <f t="shared" si="117"/>
        <v>953720</v>
      </c>
      <c r="AG58" s="6">
        <f t="shared" si="117"/>
        <v>942630</v>
      </c>
      <c r="AH58" s="6">
        <f t="shared" si="117"/>
        <v>922630</v>
      </c>
      <c r="AI58" s="6">
        <f t="shared" si="117"/>
        <v>921540</v>
      </c>
      <c r="AJ58" s="6">
        <f t="shared" si="117"/>
        <v>940450</v>
      </c>
      <c r="AK58" s="6">
        <f t="shared" si="117"/>
        <v>959360</v>
      </c>
      <c r="AL58" s="6">
        <f t="shared" si="117"/>
        <v>969360</v>
      </c>
    </row>
    <row r="59" spans="1:38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2.75" customHeight="1" x14ac:dyDescent="0.25">
      <c r="A60" s="1"/>
      <c r="B60" s="5" t="s">
        <v>41</v>
      </c>
      <c r="C60" s="6">
        <f t="shared" ref="C60:Z60" si="118">SUM(C62:C73)</f>
        <v>185515</v>
      </c>
      <c r="D60" s="6">
        <f t="shared" si="118"/>
        <v>194940</v>
      </c>
      <c r="E60" s="6">
        <f t="shared" si="118"/>
        <v>233375</v>
      </c>
      <c r="F60" s="6">
        <f t="shared" si="118"/>
        <v>241315</v>
      </c>
      <c r="G60" s="6">
        <f t="shared" si="118"/>
        <v>250265</v>
      </c>
      <c r="H60" s="6">
        <f t="shared" si="118"/>
        <v>255720</v>
      </c>
      <c r="I60" s="6">
        <f t="shared" si="118"/>
        <v>261180</v>
      </c>
      <c r="J60" s="6">
        <f t="shared" si="118"/>
        <v>266140</v>
      </c>
      <c r="K60" s="6">
        <f t="shared" si="118"/>
        <v>272095</v>
      </c>
      <c r="L60" s="6">
        <f t="shared" si="118"/>
        <v>276560</v>
      </c>
      <c r="M60" s="6">
        <f t="shared" si="118"/>
        <v>279535</v>
      </c>
      <c r="N60" s="6">
        <f t="shared" si="118"/>
        <v>284020</v>
      </c>
      <c r="O60" s="6">
        <f t="shared" si="118"/>
        <v>285510</v>
      </c>
      <c r="P60" s="6">
        <f t="shared" si="118"/>
        <v>286005</v>
      </c>
      <c r="Q60" s="6">
        <f t="shared" si="118"/>
        <v>286500</v>
      </c>
      <c r="R60" s="6">
        <f t="shared" si="118"/>
        <v>287495</v>
      </c>
      <c r="S60" s="6">
        <f t="shared" si="118"/>
        <v>287990</v>
      </c>
      <c r="T60" s="6">
        <f t="shared" si="118"/>
        <v>289480</v>
      </c>
      <c r="U60" s="6">
        <f t="shared" si="118"/>
        <v>290470</v>
      </c>
      <c r="V60" s="6">
        <f t="shared" si="118"/>
        <v>291960</v>
      </c>
      <c r="W60" s="6">
        <f t="shared" si="118"/>
        <v>323945</v>
      </c>
      <c r="X60" s="6">
        <f t="shared" si="118"/>
        <v>325930</v>
      </c>
      <c r="Y60" s="6">
        <f t="shared" si="118"/>
        <v>296425</v>
      </c>
      <c r="Z60" s="6">
        <f t="shared" si="118"/>
        <v>296920</v>
      </c>
      <c r="AA60" s="6">
        <f t="shared" ref="AA60:AL60" si="119">SUM(AA62:AA73)</f>
        <v>296425</v>
      </c>
      <c r="AB60" s="6">
        <f t="shared" si="119"/>
        <v>295930</v>
      </c>
      <c r="AC60" s="6">
        <f t="shared" si="119"/>
        <v>294935</v>
      </c>
      <c r="AD60" s="6">
        <f t="shared" si="119"/>
        <v>294440</v>
      </c>
      <c r="AE60" s="6">
        <f t="shared" si="119"/>
        <v>294440</v>
      </c>
      <c r="AF60" s="6">
        <f t="shared" si="119"/>
        <v>294440</v>
      </c>
      <c r="AG60" s="6">
        <f t="shared" si="119"/>
        <v>324935</v>
      </c>
      <c r="AH60" s="6">
        <f t="shared" si="119"/>
        <v>324935</v>
      </c>
      <c r="AI60" s="6">
        <f t="shared" si="119"/>
        <v>325930</v>
      </c>
      <c r="AJ60" s="6">
        <f t="shared" si="119"/>
        <v>326425</v>
      </c>
      <c r="AK60" s="6">
        <f t="shared" si="119"/>
        <v>326920</v>
      </c>
      <c r="AL60" s="6">
        <f t="shared" si="119"/>
        <v>326920</v>
      </c>
    </row>
    <row r="61" spans="1:38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2.75" customHeight="1" x14ac:dyDescent="0.25">
      <c r="A62" s="20">
        <v>0.1</v>
      </c>
      <c r="B62" s="1" t="s">
        <v>42</v>
      </c>
      <c r="C62" s="11">
        <f t="shared" ref="C62:Z62" si="120">C53*$A$62</f>
        <v>2500</v>
      </c>
      <c r="D62" s="11">
        <f t="shared" si="120"/>
        <v>2500</v>
      </c>
      <c r="E62" s="11">
        <f t="shared" si="120"/>
        <v>2500</v>
      </c>
      <c r="F62" s="11">
        <f t="shared" si="120"/>
        <v>2500</v>
      </c>
      <c r="G62" s="11">
        <f t="shared" si="120"/>
        <v>5000</v>
      </c>
      <c r="H62" s="11">
        <f t="shared" si="120"/>
        <v>5000</v>
      </c>
      <c r="I62" s="11">
        <f t="shared" si="120"/>
        <v>5000</v>
      </c>
      <c r="J62" s="11">
        <f t="shared" si="120"/>
        <v>5000</v>
      </c>
      <c r="K62" s="11">
        <f t="shared" si="120"/>
        <v>5000</v>
      </c>
      <c r="L62" s="11">
        <f t="shared" si="120"/>
        <v>5000</v>
      </c>
      <c r="M62" s="11">
        <f t="shared" si="120"/>
        <v>5000</v>
      </c>
      <c r="N62" s="11">
        <f t="shared" si="120"/>
        <v>7500</v>
      </c>
      <c r="O62" s="11">
        <f t="shared" si="120"/>
        <v>7500</v>
      </c>
      <c r="P62" s="11">
        <f t="shared" si="120"/>
        <v>7500</v>
      </c>
      <c r="Q62" s="11">
        <f t="shared" si="120"/>
        <v>7500</v>
      </c>
      <c r="R62" s="11">
        <f t="shared" si="120"/>
        <v>7500</v>
      </c>
      <c r="S62" s="11">
        <f t="shared" si="120"/>
        <v>7500</v>
      </c>
      <c r="T62" s="11">
        <f t="shared" si="120"/>
        <v>7500</v>
      </c>
      <c r="U62" s="11">
        <f t="shared" si="120"/>
        <v>7500</v>
      </c>
      <c r="V62" s="11">
        <f t="shared" si="120"/>
        <v>7500</v>
      </c>
      <c r="W62" s="11">
        <f t="shared" si="120"/>
        <v>7500</v>
      </c>
      <c r="X62" s="11">
        <f t="shared" si="120"/>
        <v>7500</v>
      </c>
      <c r="Y62" s="11">
        <f t="shared" si="120"/>
        <v>7500</v>
      </c>
      <c r="Z62" s="11">
        <f t="shared" si="120"/>
        <v>7500</v>
      </c>
      <c r="AA62" s="11">
        <f t="shared" ref="AA62:AL62" si="121">AA53*$A$62</f>
        <v>7500</v>
      </c>
      <c r="AB62" s="11">
        <f t="shared" si="121"/>
        <v>7500</v>
      </c>
      <c r="AC62" s="11">
        <f t="shared" si="121"/>
        <v>7500</v>
      </c>
      <c r="AD62" s="11">
        <f t="shared" si="121"/>
        <v>7500</v>
      </c>
      <c r="AE62" s="11">
        <f t="shared" si="121"/>
        <v>7500</v>
      </c>
      <c r="AF62" s="11">
        <f t="shared" si="121"/>
        <v>7500</v>
      </c>
      <c r="AG62" s="11">
        <f t="shared" si="121"/>
        <v>7500</v>
      </c>
      <c r="AH62" s="11">
        <f t="shared" si="121"/>
        <v>7500</v>
      </c>
      <c r="AI62" s="11">
        <f t="shared" si="121"/>
        <v>7500</v>
      </c>
      <c r="AJ62" s="11">
        <f t="shared" si="121"/>
        <v>7500</v>
      </c>
      <c r="AK62" s="11">
        <f t="shared" si="121"/>
        <v>7500</v>
      </c>
      <c r="AL62" s="11">
        <f t="shared" si="121"/>
        <v>7500</v>
      </c>
    </row>
    <row r="63" spans="1:38" ht="12.75" customHeight="1" x14ac:dyDescent="0.25">
      <c r="A63" s="10">
        <v>8500</v>
      </c>
      <c r="B63" s="13" t="s">
        <v>43</v>
      </c>
      <c r="C63" s="11">
        <f t="shared" ref="C63:AL63" si="122">$A$63</f>
        <v>8500</v>
      </c>
      <c r="D63" s="11">
        <f t="shared" si="122"/>
        <v>8500</v>
      </c>
      <c r="E63" s="11">
        <f t="shared" si="122"/>
        <v>8500</v>
      </c>
      <c r="F63" s="11">
        <f t="shared" si="122"/>
        <v>8500</v>
      </c>
      <c r="G63" s="11">
        <f t="shared" si="122"/>
        <v>8500</v>
      </c>
      <c r="H63" s="11">
        <f t="shared" si="122"/>
        <v>8500</v>
      </c>
      <c r="I63" s="11">
        <f t="shared" si="122"/>
        <v>8500</v>
      </c>
      <c r="J63" s="11">
        <f t="shared" si="122"/>
        <v>8500</v>
      </c>
      <c r="K63" s="11">
        <f t="shared" si="122"/>
        <v>8500</v>
      </c>
      <c r="L63" s="11">
        <f t="shared" si="122"/>
        <v>8500</v>
      </c>
      <c r="M63" s="11">
        <f t="shared" si="122"/>
        <v>8500</v>
      </c>
      <c r="N63" s="11">
        <f t="shared" si="122"/>
        <v>8500</v>
      </c>
      <c r="O63" s="11">
        <f t="shared" si="122"/>
        <v>8500</v>
      </c>
      <c r="P63" s="11">
        <f t="shared" si="122"/>
        <v>8500</v>
      </c>
      <c r="Q63" s="11">
        <f t="shared" si="122"/>
        <v>8500</v>
      </c>
      <c r="R63" s="11">
        <f t="shared" si="122"/>
        <v>8500</v>
      </c>
      <c r="S63" s="11">
        <f t="shared" si="122"/>
        <v>8500</v>
      </c>
      <c r="T63" s="11">
        <f t="shared" si="122"/>
        <v>8500</v>
      </c>
      <c r="U63" s="11">
        <f t="shared" si="122"/>
        <v>8500</v>
      </c>
      <c r="V63" s="11">
        <f t="shared" si="122"/>
        <v>8500</v>
      </c>
      <c r="W63" s="11">
        <f t="shared" si="122"/>
        <v>8500</v>
      </c>
      <c r="X63" s="11">
        <f t="shared" si="122"/>
        <v>8500</v>
      </c>
      <c r="Y63" s="11">
        <f t="shared" si="122"/>
        <v>8500</v>
      </c>
      <c r="Z63" s="11">
        <f t="shared" si="122"/>
        <v>8500</v>
      </c>
      <c r="AA63" s="11">
        <f t="shared" si="122"/>
        <v>8500</v>
      </c>
      <c r="AB63" s="11">
        <f t="shared" si="122"/>
        <v>8500</v>
      </c>
      <c r="AC63" s="11">
        <f t="shared" si="122"/>
        <v>8500</v>
      </c>
      <c r="AD63" s="11">
        <f t="shared" si="122"/>
        <v>8500</v>
      </c>
      <c r="AE63" s="11">
        <f t="shared" si="122"/>
        <v>8500</v>
      </c>
      <c r="AF63" s="11">
        <f t="shared" si="122"/>
        <v>8500</v>
      </c>
      <c r="AG63" s="11">
        <f t="shared" si="122"/>
        <v>8500</v>
      </c>
      <c r="AH63" s="11">
        <f t="shared" si="122"/>
        <v>8500</v>
      </c>
      <c r="AI63" s="11">
        <f t="shared" si="122"/>
        <v>8500</v>
      </c>
      <c r="AJ63" s="11">
        <f t="shared" si="122"/>
        <v>8500</v>
      </c>
      <c r="AK63" s="11">
        <f t="shared" si="122"/>
        <v>8500</v>
      </c>
      <c r="AL63" s="11">
        <f t="shared" si="122"/>
        <v>8500</v>
      </c>
    </row>
    <row r="64" spans="1:38" ht="12.75" customHeight="1" x14ac:dyDescent="0.25">
      <c r="A64" s="1"/>
      <c r="B64" s="8" t="s">
        <v>44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2.75" customHeight="1" x14ac:dyDescent="0.25">
      <c r="A65" s="10">
        <v>30000</v>
      </c>
      <c r="B65" s="21" t="s">
        <v>45</v>
      </c>
      <c r="C65" s="11">
        <f>ROUNDDOWN(((C13/1000)+1),0)*$A$65</f>
        <v>30000</v>
      </c>
      <c r="D65" s="11">
        <f t="shared" ref="D65:AL65" si="123">ROUNDDOWN(((D13/1000)+1),0)*$A$65</f>
        <v>30000</v>
      </c>
      <c r="E65" s="11">
        <f t="shared" si="123"/>
        <v>60000</v>
      </c>
      <c r="F65" s="11">
        <f t="shared" si="123"/>
        <v>60000</v>
      </c>
      <c r="G65" s="11">
        <f t="shared" si="123"/>
        <v>60000</v>
      </c>
      <c r="H65" s="11">
        <f t="shared" si="123"/>
        <v>60000</v>
      </c>
      <c r="I65" s="11">
        <f t="shared" si="123"/>
        <v>60000</v>
      </c>
      <c r="J65" s="11">
        <f t="shared" si="123"/>
        <v>60000</v>
      </c>
      <c r="K65" s="11">
        <f t="shared" si="123"/>
        <v>60000</v>
      </c>
      <c r="L65" s="11">
        <f t="shared" si="123"/>
        <v>60000</v>
      </c>
      <c r="M65" s="11">
        <f t="shared" si="123"/>
        <v>60000</v>
      </c>
      <c r="N65" s="11">
        <f t="shared" si="123"/>
        <v>60000</v>
      </c>
      <c r="O65" s="11">
        <f t="shared" si="123"/>
        <v>60000</v>
      </c>
      <c r="P65" s="11">
        <f t="shared" si="123"/>
        <v>60000</v>
      </c>
      <c r="Q65" s="11">
        <f t="shared" si="123"/>
        <v>60000</v>
      </c>
      <c r="R65" s="11">
        <f t="shared" si="123"/>
        <v>60000</v>
      </c>
      <c r="S65" s="11">
        <f t="shared" si="123"/>
        <v>60000</v>
      </c>
      <c r="T65" s="11">
        <f t="shared" si="123"/>
        <v>60000</v>
      </c>
      <c r="U65" s="11">
        <f t="shared" si="123"/>
        <v>60000</v>
      </c>
      <c r="V65" s="11">
        <f t="shared" si="123"/>
        <v>60000</v>
      </c>
      <c r="W65" s="11">
        <f t="shared" si="123"/>
        <v>90000</v>
      </c>
      <c r="X65" s="11">
        <f t="shared" si="123"/>
        <v>90000</v>
      </c>
      <c r="Y65" s="11">
        <f t="shared" si="123"/>
        <v>60000</v>
      </c>
      <c r="Z65" s="11">
        <f t="shared" si="123"/>
        <v>60000</v>
      </c>
      <c r="AA65" s="11">
        <f t="shared" si="123"/>
        <v>60000</v>
      </c>
      <c r="AB65" s="11">
        <f t="shared" si="123"/>
        <v>60000</v>
      </c>
      <c r="AC65" s="11">
        <f t="shared" si="123"/>
        <v>60000</v>
      </c>
      <c r="AD65" s="11">
        <f t="shared" si="123"/>
        <v>60000</v>
      </c>
      <c r="AE65" s="11">
        <f t="shared" si="123"/>
        <v>60000</v>
      </c>
      <c r="AF65" s="11">
        <f t="shared" si="123"/>
        <v>60000</v>
      </c>
      <c r="AG65" s="11">
        <f t="shared" si="123"/>
        <v>90000</v>
      </c>
      <c r="AH65" s="11">
        <f t="shared" si="123"/>
        <v>90000</v>
      </c>
      <c r="AI65" s="11">
        <f t="shared" si="123"/>
        <v>90000</v>
      </c>
      <c r="AJ65" s="11">
        <f t="shared" si="123"/>
        <v>90000</v>
      </c>
      <c r="AK65" s="11">
        <f t="shared" si="123"/>
        <v>90000</v>
      </c>
      <c r="AL65" s="11">
        <f t="shared" si="123"/>
        <v>90000</v>
      </c>
    </row>
    <row r="66" spans="1:38" ht="12.75" customHeight="1" x14ac:dyDescent="0.25">
      <c r="A66" s="10">
        <v>60000</v>
      </c>
      <c r="B66" s="29" t="s">
        <v>60</v>
      </c>
      <c r="C66" s="11">
        <v>60000</v>
      </c>
      <c r="D66" s="11">
        <v>60000</v>
      </c>
      <c r="E66" s="11">
        <v>60000</v>
      </c>
      <c r="F66" s="11">
        <v>60000</v>
      </c>
      <c r="G66" s="11">
        <v>60000</v>
      </c>
      <c r="H66" s="11">
        <v>60000</v>
      </c>
      <c r="I66" s="11">
        <v>60000</v>
      </c>
      <c r="J66" s="11">
        <v>60000</v>
      </c>
      <c r="K66" s="11">
        <v>60000</v>
      </c>
      <c r="L66" s="11">
        <v>60000</v>
      </c>
      <c r="M66" s="11">
        <v>60000</v>
      </c>
      <c r="N66" s="11">
        <v>60000</v>
      </c>
      <c r="O66" s="11">
        <v>60000</v>
      </c>
      <c r="P66" s="11">
        <v>60000</v>
      </c>
      <c r="Q66" s="11">
        <v>60000</v>
      </c>
      <c r="R66" s="11">
        <v>60000</v>
      </c>
      <c r="S66" s="11">
        <v>60000</v>
      </c>
      <c r="T66" s="11">
        <v>60000</v>
      </c>
      <c r="U66" s="11">
        <v>60000</v>
      </c>
      <c r="V66" s="11">
        <v>60000</v>
      </c>
      <c r="W66" s="11">
        <v>60000</v>
      </c>
      <c r="X66" s="11">
        <v>60000</v>
      </c>
      <c r="Y66" s="11">
        <v>60000</v>
      </c>
      <c r="Z66" s="11">
        <v>60000</v>
      </c>
      <c r="AA66" s="11">
        <v>60000</v>
      </c>
      <c r="AB66" s="11">
        <v>60000</v>
      </c>
      <c r="AC66" s="11">
        <v>60000</v>
      </c>
      <c r="AD66" s="11">
        <v>60000</v>
      </c>
      <c r="AE66" s="11">
        <v>60000</v>
      </c>
      <c r="AF66" s="11">
        <v>60000</v>
      </c>
      <c r="AG66" s="11">
        <v>60000</v>
      </c>
      <c r="AH66" s="11">
        <v>60000</v>
      </c>
      <c r="AI66" s="11">
        <v>60000</v>
      </c>
      <c r="AJ66" s="11">
        <v>60000</v>
      </c>
      <c r="AK66" s="11">
        <v>60000</v>
      </c>
      <c r="AL66" s="11">
        <v>60000</v>
      </c>
    </row>
    <row r="67" spans="1:38" ht="12.75" customHeight="1" x14ac:dyDescent="0.25">
      <c r="A67" s="10">
        <v>3500</v>
      </c>
      <c r="B67" s="21" t="s">
        <v>46</v>
      </c>
      <c r="C67" s="11">
        <f t="shared" ref="C67:AL67" si="124">$A$67</f>
        <v>3500</v>
      </c>
      <c r="D67" s="11">
        <f t="shared" si="124"/>
        <v>3500</v>
      </c>
      <c r="E67" s="11">
        <f t="shared" si="124"/>
        <v>3500</v>
      </c>
      <c r="F67" s="11">
        <f t="shared" si="124"/>
        <v>3500</v>
      </c>
      <c r="G67" s="11">
        <f t="shared" si="124"/>
        <v>3500</v>
      </c>
      <c r="H67" s="11">
        <f t="shared" si="124"/>
        <v>3500</v>
      </c>
      <c r="I67" s="11">
        <f t="shared" si="124"/>
        <v>3500</v>
      </c>
      <c r="J67" s="11">
        <f t="shared" si="124"/>
        <v>3500</v>
      </c>
      <c r="K67" s="11">
        <f t="shared" si="124"/>
        <v>3500</v>
      </c>
      <c r="L67" s="11">
        <f t="shared" si="124"/>
        <v>3500</v>
      </c>
      <c r="M67" s="11">
        <f t="shared" si="124"/>
        <v>3500</v>
      </c>
      <c r="N67" s="11">
        <f t="shared" si="124"/>
        <v>3500</v>
      </c>
      <c r="O67" s="11">
        <f t="shared" si="124"/>
        <v>3500</v>
      </c>
      <c r="P67" s="11">
        <f t="shared" si="124"/>
        <v>3500</v>
      </c>
      <c r="Q67" s="11">
        <f t="shared" si="124"/>
        <v>3500</v>
      </c>
      <c r="R67" s="11">
        <f t="shared" si="124"/>
        <v>3500</v>
      </c>
      <c r="S67" s="11">
        <f t="shared" si="124"/>
        <v>3500</v>
      </c>
      <c r="T67" s="11">
        <f t="shared" si="124"/>
        <v>3500</v>
      </c>
      <c r="U67" s="11">
        <f t="shared" si="124"/>
        <v>3500</v>
      </c>
      <c r="V67" s="11">
        <f t="shared" si="124"/>
        <v>3500</v>
      </c>
      <c r="W67" s="11">
        <f t="shared" si="124"/>
        <v>3500</v>
      </c>
      <c r="X67" s="11">
        <f t="shared" si="124"/>
        <v>3500</v>
      </c>
      <c r="Y67" s="11">
        <f t="shared" si="124"/>
        <v>3500</v>
      </c>
      <c r="Z67" s="11">
        <f t="shared" si="124"/>
        <v>3500</v>
      </c>
      <c r="AA67" s="11">
        <f t="shared" si="124"/>
        <v>3500</v>
      </c>
      <c r="AB67" s="11">
        <f t="shared" si="124"/>
        <v>3500</v>
      </c>
      <c r="AC67" s="11">
        <f t="shared" si="124"/>
        <v>3500</v>
      </c>
      <c r="AD67" s="11">
        <f t="shared" si="124"/>
        <v>3500</v>
      </c>
      <c r="AE67" s="11">
        <f t="shared" si="124"/>
        <v>3500</v>
      </c>
      <c r="AF67" s="11">
        <f t="shared" si="124"/>
        <v>3500</v>
      </c>
      <c r="AG67" s="11">
        <f t="shared" si="124"/>
        <v>3500</v>
      </c>
      <c r="AH67" s="11">
        <f t="shared" si="124"/>
        <v>3500</v>
      </c>
      <c r="AI67" s="11">
        <f t="shared" si="124"/>
        <v>3500</v>
      </c>
      <c r="AJ67" s="11">
        <f t="shared" si="124"/>
        <v>3500</v>
      </c>
      <c r="AK67" s="11">
        <f t="shared" si="124"/>
        <v>3500</v>
      </c>
      <c r="AL67" s="11">
        <f t="shared" si="124"/>
        <v>3500</v>
      </c>
    </row>
    <row r="68" spans="1:38" ht="12.75" customHeight="1" x14ac:dyDescent="0.25">
      <c r="A68" s="10">
        <v>1600</v>
      </c>
      <c r="B68" s="21" t="s">
        <v>47</v>
      </c>
      <c r="C68" s="11">
        <f t="shared" ref="C68:AL68" si="125">$A$68</f>
        <v>1600</v>
      </c>
      <c r="D68" s="11">
        <f t="shared" si="125"/>
        <v>1600</v>
      </c>
      <c r="E68" s="11">
        <f t="shared" si="125"/>
        <v>1600</v>
      </c>
      <c r="F68" s="11">
        <f t="shared" si="125"/>
        <v>1600</v>
      </c>
      <c r="G68" s="11">
        <f t="shared" si="125"/>
        <v>1600</v>
      </c>
      <c r="H68" s="11">
        <f t="shared" si="125"/>
        <v>1600</v>
      </c>
      <c r="I68" s="11">
        <f t="shared" si="125"/>
        <v>1600</v>
      </c>
      <c r="J68" s="11">
        <f t="shared" si="125"/>
        <v>1600</v>
      </c>
      <c r="K68" s="11">
        <f t="shared" si="125"/>
        <v>1600</v>
      </c>
      <c r="L68" s="11">
        <f t="shared" si="125"/>
        <v>1600</v>
      </c>
      <c r="M68" s="11">
        <f t="shared" si="125"/>
        <v>1600</v>
      </c>
      <c r="N68" s="11">
        <f t="shared" si="125"/>
        <v>1600</v>
      </c>
      <c r="O68" s="11">
        <f t="shared" si="125"/>
        <v>1600</v>
      </c>
      <c r="P68" s="11">
        <f t="shared" si="125"/>
        <v>1600</v>
      </c>
      <c r="Q68" s="11">
        <f t="shared" si="125"/>
        <v>1600</v>
      </c>
      <c r="R68" s="11">
        <f t="shared" si="125"/>
        <v>1600</v>
      </c>
      <c r="S68" s="11">
        <f t="shared" si="125"/>
        <v>1600</v>
      </c>
      <c r="T68" s="11">
        <f t="shared" si="125"/>
        <v>1600</v>
      </c>
      <c r="U68" s="11">
        <f t="shared" si="125"/>
        <v>1600</v>
      </c>
      <c r="V68" s="11">
        <f t="shared" si="125"/>
        <v>1600</v>
      </c>
      <c r="W68" s="11">
        <f t="shared" si="125"/>
        <v>1600</v>
      </c>
      <c r="X68" s="11">
        <f t="shared" si="125"/>
        <v>1600</v>
      </c>
      <c r="Y68" s="11">
        <f t="shared" si="125"/>
        <v>1600</v>
      </c>
      <c r="Z68" s="11">
        <f t="shared" si="125"/>
        <v>1600</v>
      </c>
      <c r="AA68" s="11">
        <f t="shared" si="125"/>
        <v>1600</v>
      </c>
      <c r="AB68" s="11">
        <f t="shared" si="125"/>
        <v>1600</v>
      </c>
      <c r="AC68" s="11">
        <f t="shared" si="125"/>
        <v>1600</v>
      </c>
      <c r="AD68" s="11">
        <f t="shared" si="125"/>
        <v>1600</v>
      </c>
      <c r="AE68" s="11">
        <f t="shared" si="125"/>
        <v>1600</v>
      </c>
      <c r="AF68" s="11">
        <f t="shared" si="125"/>
        <v>1600</v>
      </c>
      <c r="AG68" s="11">
        <f t="shared" si="125"/>
        <v>1600</v>
      </c>
      <c r="AH68" s="11">
        <f t="shared" si="125"/>
        <v>1600</v>
      </c>
      <c r="AI68" s="11">
        <f t="shared" si="125"/>
        <v>1600</v>
      </c>
      <c r="AJ68" s="11">
        <f t="shared" si="125"/>
        <v>1600</v>
      </c>
      <c r="AK68" s="11">
        <f t="shared" si="125"/>
        <v>1600</v>
      </c>
      <c r="AL68" s="11">
        <f t="shared" si="125"/>
        <v>1600</v>
      </c>
    </row>
    <row r="69" spans="1:38" ht="12.75" customHeight="1" x14ac:dyDescent="0.25">
      <c r="A69" s="10">
        <v>10000</v>
      </c>
      <c r="B69" s="21" t="s">
        <v>48</v>
      </c>
      <c r="C69" s="11">
        <f t="shared" ref="C69:AL69" si="126">$A$69</f>
        <v>10000</v>
      </c>
      <c r="D69" s="11">
        <f t="shared" si="126"/>
        <v>10000</v>
      </c>
      <c r="E69" s="11">
        <f t="shared" si="126"/>
        <v>10000</v>
      </c>
      <c r="F69" s="11">
        <f t="shared" si="126"/>
        <v>10000</v>
      </c>
      <c r="G69" s="11">
        <f t="shared" si="126"/>
        <v>10000</v>
      </c>
      <c r="H69" s="11">
        <f t="shared" si="126"/>
        <v>10000</v>
      </c>
      <c r="I69" s="11">
        <f t="shared" si="126"/>
        <v>10000</v>
      </c>
      <c r="J69" s="11">
        <f t="shared" si="126"/>
        <v>10000</v>
      </c>
      <c r="K69" s="11">
        <f t="shared" si="126"/>
        <v>10000</v>
      </c>
      <c r="L69" s="11">
        <f t="shared" si="126"/>
        <v>10000</v>
      </c>
      <c r="M69" s="11">
        <f t="shared" si="126"/>
        <v>10000</v>
      </c>
      <c r="N69" s="11">
        <f t="shared" si="126"/>
        <v>10000</v>
      </c>
      <c r="O69" s="11">
        <f t="shared" si="126"/>
        <v>10000</v>
      </c>
      <c r="P69" s="11">
        <f t="shared" si="126"/>
        <v>10000</v>
      </c>
      <c r="Q69" s="11">
        <f t="shared" si="126"/>
        <v>10000</v>
      </c>
      <c r="R69" s="11">
        <f t="shared" si="126"/>
        <v>10000</v>
      </c>
      <c r="S69" s="11">
        <f t="shared" si="126"/>
        <v>10000</v>
      </c>
      <c r="T69" s="11">
        <f t="shared" si="126"/>
        <v>10000</v>
      </c>
      <c r="U69" s="11">
        <f t="shared" si="126"/>
        <v>10000</v>
      </c>
      <c r="V69" s="11">
        <f t="shared" si="126"/>
        <v>10000</v>
      </c>
      <c r="W69" s="11">
        <f t="shared" si="126"/>
        <v>10000</v>
      </c>
      <c r="X69" s="11">
        <f t="shared" si="126"/>
        <v>10000</v>
      </c>
      <c r="Y69" s="11">
        <f t="shared" si="126"/>
        <v>10000</v>
      </c>
      <c r="Z69" s="11">
        <f t="shared" si="126"/>
        <v>10000</v>
      </c>
      <c r="AA69" s="11">
        <f t="shared" si="126"/>
        <v>10000</v>
      </c>
      <c r="AB69" s="11">
        <f t="shared" si="126"/>
        <v>10000</v>
      </c>
      <c r="AC69" s="11">
        <f t="shared" si="126"/>
        <v>10000</v>
      </c>
      <c r="AD69" s="11">
        <f t="shared" si="126"/>
        <v>10000</v>
      </c>
      <c r="AE69" s="11">
        <f t="shared" si="126"/>
        <v>10000</v>
      </c>
      <c r="AF69" s="11">
        <f t="shared" si="126"/>
        <v>10000</v>
      </c>
      <c r="AG69" s="11">
        <f t="shared" si="126"/>
        <v>10000</v>
      </c>
      <c r="AH69" s="11">
        <f t="shared" si="126"/>
        <v>10000</v>
      </c>
      <c r="AI69" s="11">
        <f t="shared" si="126"/>
        <v>10000</v>
      </c>
      <c r="AJ69" s="11">
        <f t="shared" si="126"/>
        <v>10000</v>
      </c>
      <c r="AK69" s="11">
        <f t="shared" si="126"/>
        <v>10000</v>
      </c>
      <c r="AL69" s="11">
        <f t="shared" si="126"/>
        <v>10000</v>
      </c>
    </row>
    <row r="70" spans="1:38" ht="12.75" customHeight="1" x14ac:dyDescent="0.25">
      <c r="A70" s="10">
        <v>3000</v>
      </c>
      <c r="B70" s="21" t="s">
        <v>49</v>
      </c>
      <c r="C70" s="11">
        <f t="shared" ref="C70:AL70" si="127">$A$70</f>
        <v>3000</v>
      </c>
      <c r="D70" s="11">
        <f t="shared" si="127"/>
        <v>3000</v>
      </c>
      <c r="E70" s="11">
        <f t="shared" si="127"/>
        <v>3000</v>
      </c>
      <c r="F70" s="11">
        <f t="shared" si="127"/>
        <v>3000</v>
      </c>
      <c r="G70" s="11">
        <f t="shared" si="127"/>
        <v>3000</v>
      </c>
      <c r="H70" s="11">
        <f t="shared" si="127"/>
        <v>3000</v>
      </c>
      <c r="I70" s="11">
        <f t="shared" si="127"/>
        <v>3000</v>
      </c>
      <c r="J70" s="11">
        <f t="shared" si="127"/>
        <v>3000</v>
      </c>
      <c r="K70" s="11">
        <f t="shared" si="127"/>
        <v>3000</v>
      </c>
      <c r="L70" s="11">
        <f t="shared" si="127"/>
        <v>3000</v>
      </c>
      <c r="M70" s="11">
        <f t="shared" si="127"/>
        <v>3000</v>
      </c>
      <c r="N70" s="11">
        <f t="shared" si="127"/>
        <v>3000</v>
      </c>
      <c r="O70" s="11">
        <f t="shared" si="127"/>
        <v>3000</v>
      </c>
      <c r="P70" s="11">
        <f t="shared" si="127"/>
        <v>3000</v>
      </c>
      <c r="Q70" s="11">
        <f t="shared" si="127"/>
        <v>3000</v>
      </c>
      <c r="R70" s="11">
        <f t="shared" si="127"/>
        <v>3000</v>
      </c>
      <c r="S70" s="11">
        <f t="shared" si="127"/>
        <v>3000</v>
      </c>
      <c r="T70" s="11">
        <f t="shared" si="127"/>
        <v>3000</v>
      </c>
      <c r="U70" s="11">
        <f t="shared" si="127"/>
        <v>3000</v>
      </c>
      <c r="V70" s="11">
        <f t="shared" si="127"/>
        <v>3000</v>
      </c>
      <c r="W70" s="11">
        <f t="shared" si="127"/>
        <v>3000</v>
      </c>
      <c r="X70" s="11">
        <f t="shared" si="127"/>
        <v>3000</v>
      </c>
      <c r="Y70" s="11">
        <f t="shared" si="127"/>
        <v>3000</v>
      </c>
      <c r="Z70" s="11">
        <f t="shared" si="127"/>
        <v>3000</v>
      </c>
      <c r="AA70" s="11">
        <f t="shared" si="127"/>
        <v>3000</v>
      </c>
      <c r="AB70" s="11">
        <f t="shared" si="127"/>
        <v>3000</v>
      </c>
      <c r="AC70" s="11">
        <f t="shared" si="127"/>
        <v>3000</v>
      </c>
      <c r="AD70" s="11">
        <f t="shared" si="127"/>
        <v>3000</v>
      </c>
      <c r="AE70" s="11">
        <f t="shared" si="127"/>
        <v>3000</v>
      </c>
      <c r="AF70" s="11">
        <f t="shared" si="127"/>
        <v>3000</v>
      </c>
      <c r="AG70" s="11">
        <f t="shared" si="127"/>
        <v>3000</v>
      </c>
      <c r="AH70" s="11">
        <f t="shared" si="127"/>
        <v>3000</v>
      </c>
      <c r="AI70" s="11">
        <f t="shared" si="127"/>
        <v>3000</v>
      </c>
      <c r="AJ70" s="11">
        <f t="shared" si="127"/>
        <v>3000</v>
      </c>
      <c r="AK70" s="11">
        <f t="shared" si="127"/>
        <v>3000</v>
      </c>
      <c r="AL70" s="11">
        <f t="shared" si="127"/>
        <v>3000</v>
      </c>
    </row>
    <row r="71" spans="1:38" ht="12.75" customHeight="1" x14ac:dyDescent="0.25">
      <c r="A71" s="10">
        <v>55000</v>
      </c>
      <c r="B71" s="1" t="s">
        <v>50</v>
      </c>
      <c r="C71" s="11">
        <f t="shared" ref="C71:AL71" si="128">$A$71</f>
        <v>55000</v>
      </c>
      <c r="D71" s="11">
        <f t="shared" si="128"/>
        <v>55000</v>
      </c>
      <c r="E71" s="11">
        <f t="shared" si="128"/>
        <v>55000</v>
      </c>
      <c r="F71" s="11">
        <f t="shared" si="128"/>
        <v>55000</v>
      </c>
      <c r="G71" s="11">
        <f t="shared" si="128"/>
        <v>55000</v>
      </c>
      <c r="H71" s="11">
        <f t="shared" si="128"/>
        <v>55000</v>
      </c>
      <c r="I71" s="11">
        <f t="shared" si="128"/>
        <v>55000</v>
      </c>
      <c r="J71" s="11">
        <f t="shared" si="128"/>
        <v>55000</v>
      </c>
      <c r="K71" s="11">
        <f t="shared" si="128"/>
        <v>55000</v>
      </c>
      <c r="L71" s="11">
        <f t="shared" si="128"/>
        <v>55000</v>
      </c>
      <c r="M71" s="11">
        <f t="shared" si="128"/>
        <v>55000</v>
      </c>
      <c r="N71" s="11">
        <f t="shared" si="128"/>
        <v>55000</v>
      </c>
      <c r="O71" s="11">
        <f t="shared" si="128"/>
        <v>55000</v>
      </c>
      <c r="P71" s="11">
        <f t="shared" si="128"/>
        <v>55000</v>
      </c>
      <c r="Q71" s="11">
        <f t="shared" si="128"/>
        <v>55000</v>
      </c>
      <c r="R71" s="11">
        <f t="shared" si="128"/>
        <v>55000</v>
      </c>
      <c r="S71" s="11">
        <f t="shared" si="128"/>
        <v>55000</v>
      </c>
      <c r="T71" s="11">
        <f t="shared" si="128"/>
        <v>55000</v>
      </c>
      <c r="U71" s="11">
        <f t="shared" si="128"/>
        <v>55000</v>
      </c>
      <c r="V71" s="11">
        <f t="shared" si="128"/>
        <v>55000</v>
      </c>
      <c r="W71" s="11">
        <f t="shared" si="128"/>
        <v>55000</v>
      </c>
      <c r="X71" s="11">
        <f t="shared" si="128"/>
        <v>55000</v>
      </c>
      <c r="Y71" s="11">
        <f t="shared" si="128"/>
        <v>55000</v>
      </c>
      <c r="Z71" s="11">
        <f t="shared" si="128"/>
        <v>55000</v>
      </c>
      <c r="AA71" s="11">
        <f t="shared" si="128"/>
        <v>55000</v>
      </c>
      <c r="AB71" s="11">
        <f t="shared" si="128"/>
        <v>55000</v>
      </c>
      <c r="AC71" s="11">
        <f t="shared" si="128"/>
        <v>55000</v>
      </c>
      <c r="AD71" s="11">
        <f t="shared" si="128"/>
        <v>55000</v>
      </c>
      <c r="AE71" s="11">
        <f t="shared" si="128"/>
        <v>55000</v>
      </c>
      <c r="AF71" s="11">
        <f t="shared" si="128"/>
        <v>55000</v>
      </c>
      <c r="AG71" s="11">
        <f t="shared" si="128"/>
        <v>55000</v>
      </c>
      <c r="AH71" s="11">
        <f t="shared" si="128"/>
        <v>55000</v>
      </c>
      <c r="AI71" s="11">
        <f t="shared" si="128"/>
        <v>55000</v>
      </c>
      <c r="AJ71" s="11">
        <f t="shared" si="128"/>
        <v>55000</v>
      </c>
      <c r="AK71" s="11">
        <f t="shared" si="128"/>
        <v>55000</v>
      </c>
      <c r="AL71" s="11">
        <f t="shared" si="128"/>
        <v>55000</v>
      </c>
    </row>
    <row r="72" spans="1:38" ht="12.75" customHeight="1" x14ac:dyDescent="0.25">
      <c r="A72" s="12">
        <v>0.05</v>
      </c>
      <c r="B72" s="1" t="s">
        <v>51</v>
      </c>
      <c r="C72" s="11">
        <f t="shared" ref="C72:Z72" si="129">C5*$A$72</f>
        <v>11415</v>
      </c>
      <c r="D72" s="11">
        <f t="shared" si="129"/>
        <v>20840</v>
      </c>
      <c r="E72" s="11">
        <f t="shared" si="129"/>
        <v>29275</v>
      </c>
      <c r="F72" s="11">
        <f t="shared" si="129"/>
        <v>37215</v>
      </c>
      <c r="G72" s="11">
        <f t="shared" si="129"/>
        <v>43665</v>
      </c>
      <c r="H72" s="11">
        <f t="shared" si="129"/>
        <v>49120</v>
      </c>
      <c r="I72" s="11">
        <f t="shared" si="129"/>
        <v>54580</v>
      </c>
      <c r="J72" s="11">
        <f t="shared" si="129"/>
        <v>59540</v>
      </c>
      <c r="K72" s="11">
        <f t="shared" si="129"/>
        <v>65495</v>
      </c>
      <c r="L72" s="11">
        <f t="shared" si="129"/>
        <v>69960</v>
      </c>
      <c r="M72" s="11">
        <f t="shared" si="129"/>
        <v>72935</v>
      </c>
      <c r="N72" s="11">
        <f t="shared" si="129"/>
        <v>74920</v>
      </c>
      <c r="O72" s="11">
        <f t="shared" si="129"/>
        <v>76410</v>
      </c>
      <c r="P72" s="11">
        <f t="shared" si="129"/>
        <v>76905</v>
      </c>
      <c r="Q72" s="11">
        <f t="shared" si="129"/>
        <v>77400</v>
      </c>
      <c r="R72" s="11">
        <f t="shared" si="129"/>
        <v>78395</v>
      </c>
      <c r="S72" s="11">
        <f t="shared" si="129"/>
        <v>78890</v>
      </c>
      <c r="T72" s="11">
        <f t="shared" si="129"/>
        <v>80380</v>
      </c>
      <c r="U72" s="11">
        <f t="shared" si="129"/>
        <v>81370</v>
      </c>
      <c r="V72" s="11">
        <f t="shared" si="129"/>
        <v>82860</v>
      </c>
      <c r="W72" s="11">
        <f t="shared" si="129"/>
        <v>84845</v>
      </c>
      <c r="X72" s="11">
        <f t="shared" si="129"/>
        <v>86830</v>
      </c>
      <c r="Y72" s="11">
        <f t="shared" si="129"/>
        <v>87325</v>
      </c>
      <c r="Z72" s="11">
        <f t="shared" si="129"/>
        <v>87820</v>
      </c>
      <c r="AA72" s="11">
        <f t="shared" ref="AA72:AL72" si="130">AA5*$A$72</f>
        <v>87325</v>
      </c>
      <c r="AB72" s="11">
        <f t="shared" si="130"/>
        <v>86830</v>
      </c>
      <c r="AC72" s="11">
        <f t="shared" si="130"/>
        <v>85835</v>
      </c>
      <c r="AD72" s="11">
        <f t="shared" si="130"/>
        <v>85340</v>
      </c>
      <c r="AE72" s="11">
        <f t="shared" si="130"/>
        <v>85340</v>
      </c>
      <c r="AF72" s="11">
        <f t="shared" si="130"/>
        <v>85340</v>
      </c>
      <c r="AG72" s="11">
        <f t="shared" si="130"/>
        <v>85835</v>
      </c>
      <c r="AH72" s="11">
        <f t="shared" si="130"/>
        <v>85835</v>
      </c>
      <c r="AI72" s="11">
        <f t="shared" si="130"/>
        <v>86830</v>
      </c>
      <c r="AJ72" s="11">
        <f t="shared" si="130"/>
        <v>87325</v>
      </c>
      <c r="AK72" s="11">
        <f t="shared" si="130"/>
        <v>87820</v>
      </c>
      <c r="AL72" s="11">
        <f t="shared" si="130"/>
        <v>87820</v>
      </c>
    </row>
    <row r="73" spans="1:38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2.75" customHeight="1" x14ac:dyDescent="0.25">
      <c r="A74" s="1"/>
      <c r="B74" s="5" t="s">
        <v>52</v>
      </c>
      <c r="C74" s="22">
        <f t="shared" ref="C74:Z74" si="131">C58-C60</f>
        <v>-259845</v>
      </c>
      <c r="D74" s="22">
        <f t="shared" si="131"/>
        <v>-100620</v>
      </c>
      <c r="E74" s="22">
        <f t="shared" si="131"/>
        <v>11775</v>
      </c>
      <c r="F74" s="22">
        <f t="shared" si="131"/>
        <v>145755</v>
      </c>
      <c r="G74" s="22">
        <f t="shared" si="131"/>
        <v>140105</v>
      </c>
      <c r="H74" s="22">
        <f t="shared" si="131"/>
        <v>229840</v>
      </c>
      <c r="I74" s="22">
        <f t="shared" si="131"/>
        <v>305660</v>
      </c>
      <c r="J74" s="22">
        <f t="shared" si="131"/>
        <v>371980</v>
      </c>
      <c r="K74" s="22">
        <f t="shared" si="131"/>
        <v>456215</v>
      </c>
      <c r="L74" s="22">
        <f t="shared" si="131"/>
        <v>544120</v>
      </c>
      <c r="M74" s="22">
        <f t="shared" si="131"/>
        <v>605695</v>
      </c>
      <c r="N74" s="22">
        <f t="shared" si="131"/>
        <v>537140</v>
      </c>
      <c r="O74" s="22">
        <f t="shared" si="131"/>
        <v>573470</v>
      </c>
      <c r="P74" s="22">
        <f t="shared" si="131"/>
        <v>576885</v>
      </c>
      <c r="Q74" s="22">
        <f t="shared" si="131"/>
        <v>580300</v>
      </c>
      <c r="R74" s="22">
        <f t="shared" si="131"/>
        <v>593215</v>
      </c>
      <c r="S74" s="22">
        <f t="shared" si="131"/>
        <v>596630</v>
      </c>
      <c r="T74" s="22">
        <f t="shared" si="131"/>
        <v>617960</v>
      </c>
      <c r="U74" s="22">
        <f t="shared" si="131"/>
        <v>614790</v>
      </c>
      <c r="V74" s="22">
        <f t="shared" si="131"/>
        <v>621120</v>
      </c>
      <c r="W74" s="22">
        <f t="shared" si="131"/>
        <v>605865</v>
      </c>
      <c r="X74" s="22">
        <f t="shared" si="131"/>
        <v>650610</v>
      </c>
      <c r="Y74" s="22">
        <f t="shared" si="131"/>
        <v>699025</v>
      </c>
      <c r="Z74" s="22">
        <f t="shared" si="131"/>
        <v>717440</v>
      </c>
      <c r="AA74" s="22">
        <f t="shared" ref="AA74:AL74" si="132">AA58-AA60</f>
        <v>719025</v>
      </c>
      <c r="AB74" s="22">
        <f t="shared" si="132"/>
        <v>705610</v>
      </c>
      <c r="AC74" s="22">
        <f t="shared" si="132"/>
        <v>682695</v>
      </c>
      <c r="AD74" s="22">
        <f t="shared" si="132"/>
        <v>669280</v>
      </c>
      <c r="AE74" s="22">
        <f t="shared" si="132"/>
        <v>664280</v>
      </c>
      <c r="AF74" s="22">
        <f t="shared" si="132"/>
        <v>659280</v>
      </c>
      <c r="AG74" s="22">
        <f t="shared" si="132"/>
        <v>617695</v>
      </c>
      <c r="AH74" s="22">
        <f t="shared" si="132"/>
        <v>597695</v>
      </c>
      <c r="AI74" s="22">
        <f t="shared" si="132"/>
        <v>595610</v>
      </c>
      <c r="AJ74" s="22">
        <f t="shared" si="132"/>
        <v>614025</v>
      </c>
      <c r="AK74" s="22">
        <f t="shared" si="132"/>
        <v>632440</v>
      </c>
      <c r="AL74" s="22">
        <f t="shared" si="132"/>
        <v>642440</v>
      </c>
    </row>
    <row r="75" spans="1:38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2.75" customHeight="1" x14ac:dyDescent="0.25">
      <c r="A76" s="12">
        <v>7.0000000000000007E-2</v>
      </c>
      <c r="B76" s="1" t="s">
        <v>53</v>
      </c>
      <c r="C76" s="11">
        <f t="shared" ref="C76:AL76" si="133">$A$76*C$5</f>
        <v>15981.000000000002</v>
      </c>
      <c r="D76" s="11">
        <f t="shared" si="133"/>
        <v>29176.000000000004</v>
      </c>
      <c r="E76" s="11">
        <f t="shared" si="133"/>
        <v>40985.000000000007</v>
      </c>
      <c r="F76" s="11">
        <f t="shared" si="133"/>
        <v>52101.000000000007</v>
      </c>
      <c r="G76" s="11">
        <f t="shared" si="133"/>
        <v>61131.000000000007</v>
      </c>
      <c r="H76" s="11">
        <f t="shared" si="133"/>
        <v>68768</v>
      </c>
      <c r="I76" s="11">
        <f t="shared" si="133"/>
        <v>76412</v>
      </c>
      <c r="J76" s="11">
        <f t="shared" si="133"/>
        <v>83356.000000000015</v>
      </c>
      <c r="K76" s="11">
        <f t="shared" si="133"/>
        <v>91693.000000000015</v>
      </c>
      <c r="L76" s="11">
        <f t="shared" si="133"/>
        <v>97944.000000000015</v>
      </c>
      <c r="M76" s="11">
        <f t="shared" si="133"/>
        <v>102109.00000000001</v>
      </c>
      <c r="N76" s="11">
        <f t="shared" si="133"/>
        <v>104888.00000000001</v>
      </c>
      <c r="O76" s="11">
        <f t="shared" si="133"/>
        <v>106974.00000000001</v>
      </c>
      <c r="P76" s="11">
        <f t="shared" si="133"/>
        <v>107667.00000000001</v>
      </c>
      <c r="Q76" s="11">
        <f t="shared" si="133"/>
        <v>108360.00000000001</v>
      </c>
      <c r="R76" s="11">
        <f t="shared" si="133"/>
        <v>109753.00000000001</v>
      </c>
      <c r="S76" s="11">
        <f t="shared" si="133"/>
        <v>110446.00000000001</v>
      </c>
      <c r="T76" s="11">
        <f t="shared" si="133"/>
        <v>112532.00000000001</v>
      </c>
      <c r="U76" s="11">
        <f t="shared" si="133"/>
        <v>113918.00000000001</v>
      </c>
      <c r="V76" s="11">
        <f t="shared" si="133"/>
        <v>116004.00000000001</v>
      </c>
      <c r="W76" s="11">
        <f t="shared" si="133"/>
        <v>118783.00000000001</v>
      </c>
      <c r="X76" s="11">
        <f t="shared" si="133"/>
        <v>121562.00000000001</v>
      </c>
      <c r="Y76" s="11">
        <f t="shared" si="133"/>
        <v>122255.00000000001</v>
      </c>
      <c r="Z76" s="11">
        <f t="shared" si="133"/>
        <v>122948.00000000001</v>
      </c>
      <c r="AA76" s="11">
        <f t="shared" si="133"/>
        <v>122255.00000000001</v>
      </c>
      <c r="AB76" s="11">
        <f t="shared" si="133"/>
        <v>121562.00000000001</v>
      </c>
      <c r="AC76" s="11">
        <f t="shared" si="133"/>
        <v>120169.00000000001</v>
      </c>
      <c r="AD76" s="11">
        <f t="shared" si="133"/>
        <v>119476.00000000001</v>
      </c>
      <c r="AE76" s="11">
        <f t="shared" si="133"/>
        <v>119476.00000000001</v>
      </c>
      <c r="AF76" s="11">
        <f t="shared" si="133"/>
        <v>119476.00000000001</v>
      </c>
      <c r="AG76" s="11">
        <f t="shared" si="133"/>
        <v>120169.00000000001</v>
      </c>
      <c r="AH76" s="11">
        <f t="shared" si="133"/>
        <v>120169.00000000001</v>
      </c>
      <c r="AI76" s="11">
        <f t="shared" si="133"/>
        <v>121562.00000000001</v>
      </c>
      <c r="AJ76" s="11">
        <f t="shared" si="133"/>
        <v>122255.00000000001</v>
      </c>
      <c r="AK76" s="11">
        <f t="shared" si="133"/>
        <v>122948.00000000001</v>
      </c>
      <c r="AL76" s="11">
        <f t="shared" si="133"/>
        <v>122948.00000000001</v>
      </c>
    </row>
    <row r="77" spans="1:38" ht="12.75" customHeight="1" x14ac:dyDescent="0.25">
      <c r="A77" s="1"/>
      <c r="B77" s="1" t="s">
        <v>54</v>
      </c>
      <c r="C77" s="11">
        <f>$A$84/24</f>
        <v>0</v>
      </c>
      <c r="D77" s="11">
        <f t="shared" ref="D77:AL77" si="134">$A$84/24</f>
        <v>0</v>
      </c>
      <c r="E77" s="11">
        <f t="shared" si="134"/>
        <v>0</v>
      </c>
      <c r="F77" s="11">
        <f t="shared" si="134"/>
        <v>0</v>
      </c>
      <c r="G77" s="11">
        <f t="shared" si="134"/>
        <v>0</v>
      </c>
      <c r="H77" s="11">
        <f t="shared" si="134"/>
        <v>0</v>
      </c>
      <c r="I77" s="11">
        <f t="shared" si="134"/>
        <v>0</v>
      </c>
      <c r="J77" s="11">
        <f t="shared" si="134"/>
        <v>0</v>
      </c>
      <c r="K77" s="11">
        <f t="shared" si="134"/>
        <v>0</v>
      </c>
      <c r="L77" s="11">
        <f t="shared" si="134"/>
        <v>0</v>
      </c>
      <c r="M77" s="11">
        <f t="shared" si="134"/>
        <v>0</v>
      </c>
      <c r="N77" s="11">
        <f t="shared" si="134"/>
        <v>0</v>
      </c>
      <c r="O77" s="11">
        <f t="shared" si="134"/>
        <v>0</v>
      </c>
      <c r="P77" s="11">
        <f t="shared" si="134"/>
        <v>0</v>
      </c>
      <c r="Q77" s="11">
        <f t="shared" si="134"/>
        <v>0</v>
      </c>
      <c r="R77" s="11">
        <f t="shared" si="134"/>
        <v>0</v>
      </c>
      <c r="S77" s="11">
        <f t="shared" si="134"/>
        <v>0</v>
      </c>
      <c r="T77" s="11">
        <f t="shared" si="134"/>
        <v>0</v>
      </c>
      <c r="U77" s="11">
        <f t="shared" si="134"/>
        <v>0</v>
      </c>
      <c r="V77" s="11">
        <f t="shared" si="134"/>
        <v>0</v>
      </c>
      <c r="W77" s="11">
        <f t="shared" si="134"/>
        <v>0</v>
      </c>
      <c r="X77" s="11">
        <f t="shared" si="134"/>
        <v>0</v>
      </c>
      <c r="Y77" s="11">
        <f t="shared" si="134"/>
        <v>0</v>
      </c>
      <c r="Z77" s="11">
        <f t="shared" si="134"/>
        <v>0</v>
      </c>
      <c r="AA77" s="11">
        <f t="shared" si="134"/>
        <v>0</v>
      </c>
      <c r="AB77" s="11">
        <f t="shared" si="134"/>
        <v>0</v>
      </c>
      <c r="AC77" s="11">
        <f t="shared" si="134"/>
        <v>0</v>
      </c>
      <c r="AD77" s="11">
        <f t="shared" si="134"/>
        <v>0</v>
      </c>
      <c r="AE77" s="11">
        <f t="shared" si="134"/>
        <v>0</v>
      </c>
      <c r="AF77" s="11">
        <f t="shared" si="134"/>
        <v>0</v>
      </c>
      <c r="AG77" s="11">
        <f t="shared" si="134"/>
        <v>0</v>
      </c>
      <c r="AH77" s="11">
        <f t="shared" si="134"/>
        <v>0</v>
      </c>
      <c r="AI77" s="11">
        <f t="shared" si="134"/>
        <v>0</v>
      </c>
      <c r="AJ77" s="11">
        <f t="shared" si="134"/>
        <v>0</v>
      </c>
      <c r="AK77" s="11">
        <f t="shared" si="134"/>
        <v>0</v>
      </c>
      <c r="AL77" s="11">
        <f t="shared" si="134"/>
        <v>0</v>
      </c>
    </row>
    <row r="78" spans="1:38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2.75" customHeight="1" x14ac:dyDescent="0.2">
      <c r="A79" s="4"/>
      <c r="B79" s="4" t="s">
        <v>55</v>
      </c>
      <c r="C79" s="9">
        <f t="shared" ref="C79:Z79" si="135">C74-SUM(C76:C78)</f>
        <v>-275826</v>
      </c>
      <c r="D79" s="9">
        <f t="shared" si="135"/>
        <v>-129796</v>
      </c>
      <c r="E79" s="9">
        <f t="shared" si="135"/>
        <v>-29210.000000000007</v>
      </c>
      <c r="F79" s="9">
        <f t="shared" si="135"/>
        <v>93654</v>
      </c>
      <c r="G79" s="9">
        <f t="shared" si="135"/>
        <v>78974</v>
      </c>
      <c r="H79" s="9">
        <f t="shared" si="135"/>
        <v>161072</v>
      </c>
      <c r="I79" s="9">
        <f t="shared" si="135"/>
        <v>229248</v>
      </c>
      <c r="J79" s="9">
        <f t="shared" si="135"/>
        <v>288624</v>
      </c>
      <c r="K79" s="9">
        <f t="shared" si="135"/>
        <v>364522</v>
      </c>
      <c r="L79" s="9">
        <f t="shared" si="135"/>
        <v>446176</v>
      </c>
      <c r="M79" s="9">
        <f t="shared" si="135"/>
        <v>503586</v>
      </c>
      <c r="N79" s="9">
        <f t="shared" si="135"/>
        <v>432252</v>
      </c>
      <c r="O79" s="9">
        <f t="shared" si="135"/>
        <v>466496</v>
      </c>
      <c r="P79" s="9">
        <f t="shared" si="135"/>
        <v>469218</v>
      </c>
      <c r="Q79" s="9">
        <f t="shared" si="135"/>
        <v>471940</v>
      </c>
      <c r="R79" s="9">
        <f t="shared" si="135"/>
        <v>483462</v>
      </c>
      <c r="S79" s="9">
        <f t="shared" si="135"/>
        <v>486184</v>
      </c>
      <c r="T79" s="9">
        <f t="shared" si="135"/>
        <v>505428</v>
      </c>
      <c r="U79" s="9">
        <f t="shared" si="135"/>
        <v>500872</v>
      </c>
      <c r="V79" s="9">
        <f t="shared" si="135"/>
        <v>505116</v>
      </c>
      <c r="W79" s="9">
        <f t="shared" si="135"/>
        <v>487082</v>
      </c>
      <c r="X79" s="9">
        <f t="shared" si="135"/>
        <v>529048</v>
      </c>
      <c r="Y79" s="9">
        <f t="shared" si="135"/>
        <v>576770</v>
      </c>
      <c r="Z79" s="9">
        <f t="shared" si="135"/>
        <v>594492</v>
      </c>
      <c r="AA79" s="9">
        <f t="shared" ref="AA79:AL79" si="136">AA74-SUM(AA76:AA78)</f>
        <v>596770</v>
      </c>
      <c r="AB79" s="9">
        <f t="shared" si="136"/>
        <v>584048</v>
      </c>
      <c r="AC79" s="9">
        <f t="shared" si="136"/>
        <v>562526</v>
      </c>
      <c r="AD79" s="9">
        <f t="shared" si="136"/>
        <v>549804</v>
      </c>
      <c r="AE79" s="9">
        <f t="shared" si="136"/>
        <v>544804</v>
      </c>
      <c r="AF79" s="9">
        <f t="shared" si="136"/>
        <v>539804</v>
      </c>
      <c r="AG79" s="9">
        <f t="shared" si="136"/>
        <v>497526</v>
      </c>
      <c r="AH79" s="9">
        <f t="shared" si="136"/>
        <v>477526</v>
      </c>
      <c r="AI79" s="9">
        <f t="shared" si="136"/>
        <v>474048</v>
      </c>
      <c r="AJ79" s="9">
        <f t="shared" si="136"/>
        <v>491770</v>
      </c>
      <c r="AK79" s="9">
        <f t="shared" si="136"/>
        <v>509492</v>
      </c>
      <c r="AL79" s="9">
        <f t="shared" si="136"/>
        <v>519492</v>
      </c>
    </row>
    <row r="80" spans="1:38" ht="12.75" customHeight="1" x14ac:dyDescent="0.25">
      <c r="A80" s="23"/>
      <c r="B80" s="23" t="s">
        <v>56</v>
      </c>
      <c r="C80" s="24">
        <f t="shared" ref="C80:Z80" si="137">C79/C5</f>
        <v>-1.208173455978975</v>
      </c>
      <c r="D80" s="24">
        <f t="shared" si="137"/>
        <v>-0.31141074856046064</v>
      </c>
      <c r="E80" s="24">
        <f t="shared" si="137"/>
        <v>-4.9888983774551678E-2</v>
      </c>
      <c r="F80" s="24">
        <f t="shared" si="137"/>
        <v>0.12582829504232165</v>
      </c>
      <c r="G80" s="24">
        <f t="shared" si="137"/>
        <v>9.0431695866254436E-2</v>
      </c>
      <c r="H80" s="24">
        <f t="shared" si="137"/>
        <v>0.16395765472312704</v>
      </c>
      <c r="I80" s="24">
        <f t="shared" si="137"/>
        <v>0.21001099303774276</v>
      </c>
      <c r="J80" s="24">
        <f t="shared" si="137"/>
        <v>0.2423782331205912</v>
      </c>
      <c r="K80" s="24">
        <f t="shared" si="137"/>
        <v>0.27828231162684175</v>
      </c>
      <c r="L80" s="24">
        <f t="shared" si="137"/>
        <v>0.3188793596340766</v>
      </c>
      <c r="M80" s="24">
        <f t="shared" si="137"/>
        <v>0.34522931377253718</v>
      </c>
      <c r="N80" s="24">
        <f t="shared" si="137"/>
        <v>0.28847570742124934</v>
      </c>
      <c r="O80" s="24">
        <f t="shared" si="137"/>
        <v>0.3052584740217249</v>
      </c>
      <c r="P80" s="24">
        <f t="shared" si="137"/>
        <v>0.30506338989662568</v>
      </c>
      <c r="Q80" s="24">
        <f t="shared" si="137"/>
        <v>0.30487080103359171</v>
      </c>
      <c r="R80" s="24">
        <f t="shared" si="137"/>
        <v>0.30835002232285225</v>
      </c>
      <c r="S80" s="24">
        <f t="shared" si="137"/>
        <v>0.30814044872607427</v>
      </c>
      <c r="T80" s="24">
        <f t="shared" si="137"/>
        <v>0.31439910425478973</v>
      </c>
      <c r="U80" s="24">
        <f t="shared" si="137"/>
        <v>0.30777436401622221</v>
      </c>
      <c r="V80" s="24">
        <f t="shared" si="137"/>
        <v>0.30480086893555397</v>
      </c>
      <c r="W80" s="24">
        <f t="shared" si="137"/>
        <v>0.28704225352112678</v>
      </c>
      <c r="X80" s="24">
        <f t="shared" si="137"/>
        <v>0.30464585972590119</v>
      </c>
      <c r="Y80" s="24">
        <f t="shared" si="137"/>
        <v>0.33024334383051818</v>
      </c>
      <c r="Z80" s="24">
        <f t="shared" si="137"/>
        <v>0.33847187428831699</v>
      </c>
      <c r="AA80" s="24">
        <f t="shared" ref="AA80:AL80" si="138">AA79/AA5</f>
        <v>0.34169481820784425</v>
      </c>
      <c r="AB80" s="24">
        <f t="shared" si="138"/>
        <v>0.33631694114937233</v>
      </c>
      <c r="AC80" s="24">
        <f t="shared" si="138"/>
        <v>0.32767868585076015</v>
      </c>
      <c r="AD80" s="24">
        <f t="shared" si="138"/>
        <v>0.32212561518631355</v>
      </c>
      <c r="AE80" s="24">
        <f t="shared" si="138"/>
        <v>0.31919615655026951</v>
      </c>
      <c r="AF80" s="24">
        <f t="shared" si="138"/>
        <v>0.31626669791422546</v>
      </c>
      <c r="AG80" s="24">
        <f t="shared" si="138"/>
        <v>0.28981534339139048</v>
      </c>
      <c r="AH80" s="24">
        <f t="shared" si="138"/>
        <v>0.27816508417312286</v>
      </c>
      <c r="AI80" s="24">
        <f t="shared" si="138"/>
        <v>0.27297477830243005</v>
      </c>
      <c r="AJ80" s="24">
        <f t="shared" si="138"/>
        <v>0.28157457772688232</v>
      </c>
      <c r="AK80" s="24">
        <f t="shared" si="138"/>
        <v>0.29007743110908679</v>
      </c>
      <c r="AL80" s="24">
        <f t="shared" si="138"/>
        <v>0.29577089501252563</v>
      </c>
    </row>
    <row r="81" spans="1:44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44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44" ht="12.75" customHeight="1" x14ac:dyDescent="0.25">
      <c r="A83" s="1"/>
      <c r="B83" s="1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 spans="1:44" ht="12.75" customHeight="1" x14ac:dyDescent="0.25">
      <c r="A84" s="1"/>
      <c r="B84" s="1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1:44" ht="12.75" customHeight="1" x14ac:dyDescent="0.25">
      <c r="A85" s="1"/>
      <c r="B85" s="1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N85" s="30" t="s">
        <v>61</v>
      </c>
      <c r="AO85" s="30"/>
      <c r="AP85" s="30"/>
      <c r="AQ85" s="30"/>
      <c r="AR85" s="30"/>
    </row>
    <row r="86" spans="1:44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N86" s="30"/>
      <c r="AO86" s="30"/>
      <c r="AP86" s="30"/>
      <c r="AQ86" s="30"/>
      <c r="AR86" s="30"/>
    </row>
    <row r="87" spans="1:44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N87" s="30"/>
      <c r="AO87" s="30"/>
      <c r="AP87" s="30"/>
      <c r="AQ87" s="30"/>
      <c r="AR87" s="30"/>
    </row>
    <row r="88" spans="1:44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44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44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44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44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44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44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44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44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ht="12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ht="12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ht="12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ht="12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ht="12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</sheetData>
  <mergeCells count="1">
    <mergeCell ref="AN85:AR87"/>
  </mergeCells>
  <conditionalFormatting sqref="C8:AL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AL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PL</vt:lpstr>
      <vt:lpstr>Не так оптимистично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Софья Зименкова</cp:lastModifiedBy>
  <dcterms:modified xsi:type="dcterms:W3CDTF">2026-05-24T17:41:22Z</dcterms:modified>
</cp:coreProperties>
</file>