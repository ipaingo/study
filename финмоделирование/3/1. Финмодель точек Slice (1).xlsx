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Софья Зименкова\учёба\магистратура\2 сем\финмоделирование\3\"/>
    </mc:Choice>
  </mc:AlternateContent>
  <xr:revisionPtr revIDLastSave="0" documentId="13_ncr:1_{F9A5626C-E0AC-45FC-ADE5-CF008C4FA24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Инвестору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FQZcyUnvmijcbfqtC17Yjfk9ZfLF9Bvuwk5oC0O2tU="/>
    </ext>
  </extLst>
</workbook>
</file>

<file path=xl/calcChain.xml><?xml version="1.0" encoding="utf-8"?>
<calcChain xmlns="http://schemas.openxmlformats.org/spreadsheetml/2006/main">
  <c r="J78" i="1" l="1"/>
  <c r="K78" i="1"/>
  <c r="L78" i="1"/>
  <c r="M78" i="1"/>
  <c r="N78" i="1"/>
  <c r="O78" i="1"/>
  <c r="P78" i="1"/>
  <c r="Q78" i="1"/>
  <c r="R78" i="1"/>
  <c r="S78" i="1"/>
  <c r="M70" i="1"/>
  <c r="N70" i="1"/>
  <c r="T78" i="1"/>
  <c r="E45" i="1"/>
  <c r="J76" i="1"/>
  <c r="K58" i="1"/>
  <c r="L49" i="1"/>
  <c r="J73" i="1"/>
  <c r="O70" i="1"/>
  <c r="E50" i="1"/>
  <c r="C17" i="1"/>
  <c r="I43" i="1"/>
  <c r="I61" i="1" s="1"/>
  <c r="J45" i="1"/>
  <c r="J43" i="1" s="1"/>
  <c r="K46" i="1"/>
  <c r="L46" i="1"/>
  <c r="M46" i="1"/>
  <c r="N46" i="1"/>
  <c r="J47" i="1"/>
  <c r="J48" i="1"/>
  <c r="K49" i="1"/>
  <c r="K51" i="1" s="1"/>
  <c r="M49" i="1"/>
  <c r="N49" i="1"/>
  <c r="P49" i="1"/>
  <c r="R49" i="1"/>
  <c r="S49" i="1"/>
  <c r="T49" i="1" s="1"/>
  <c r="K52" i="1"/>
  <c r="L52" i="1"/>
  <c r="M52" i="1"/>
  <c r="N52" i="1" s="1"/>
  <c r="O52" i="1" s="1"/>
  <c r="P52" i="1" s="1"/>
  <c r="Q52" i="1" s="1"/>
  <c r="R52" i="1" s="1"/>
  <c r="S52" i="1" s="1"/>
  <c r="K53" i="1"/>
  <c r="L53" i="1" s="1"/>
  <c r="M53" i="1" s="1"/>
  <c r="N53" i="1" s="1"/>
  <c r="O53" i="1" s="1"/>
  <c r="P53" i="1" s="1"/>
  <c r="Q53" i="1" s="1"/>
  <c r="R53" i="1" s="1"/>
  <c r="S53" i="1" s="1"/>
  <c r="K55" i="1"/>
  <c r="L55" i="1" s="1"/>
  <c r="M55" i="1" s="1"/>
  <c r="N55" i="1" s="1"/>
  <c r="O55" i="1" s="1"/>
  <c r="P55" i="1" s="1"/>
  <c r="Q55" i="1" s="1"/>
  <c r="R55" i="1" s="1"/>
  <c r="S55" i="1" s="1"/>
  <c r="K56" i="1"/>
  <c r="L56" i="1" s="1"/>
  <c r="M56" i="1" s="1"/>
  <c r="N56" i="1" s="1"/>
  <c r="O56" i="1" s="1"/>
  <c r="P56" i="1" s="1"/>
  <c r="Q56" i="1" s="1"/>
  <c r="R56" i="1" s="1"/>
  <c r="S56" i="1" s="1"/>
  <c r="L58" i="1"/>
  <c r="M58" i="1" s="1"/>
  <c r="N58" i="1" s="1"/>
  <c r="O58" i="1" s="1"/>
  <c r="P58" i="1" s="1"/>
  <c r="Q58" i="1" s="1"/>
  <c r="R58" i="1" s="1"/>
  <c r="S58" i="1" s="1"/>
  <c r="I59" i="1"/>
  <c r="J59" i="1"/>
  <c r="E62" i="1"/>
  <c r="E78" i="1" s="1"/>
  <c r="E63" i="1"/>
  <c r="E64" i="1"/>
  <c r="J64" i="1"/>
  <c r="K64" i="1"/>
  <c r="L64" i="1"/>
  <c r="M64" i="1" s="1"/>
  <c r="E65" i="1"/>
  <c r="J65" i="1"/>
  <c r="K65" i="1"/>
  <c r="L65" i="1"/>
  <c r="M65" i="1"/>
  <c r="N65" i="1" s="1"/>
  <c r="O65" i="1" s="1"/>
  <c r="P65" i="1" s="1"/>
  <c r="Q65" i="1" s="1"/>
  <c r="R65" i="1" s="1"/>
  <c r="S65" i="1" s="1"/>
  <c r="T65" i="1" s="1"/>
  <c r="E66" i="1"/>
  <c r="J66" i="1"/>
  <c r="K66" i="1"/>
  <c r="L66" i="1" s="1"/>
  <c r="M66" i="1" s="1"/>
  <c r="N66" i="1" s="1"/>
  <c r="O66" i="1" s="1"/>
  <c r="P66" i="1" s="1"/>
  <c r="Q66" i="1" s="1"/>
  <c r="R66" i="1" s="1"/>
  <c r="S66" i="1" s="1"/>
  <c r="T66" i="1" s="1"/>
  <c r="E67" i="1"/>
  <c r="J67" i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E68" i="1"/>
  <c r="E69" i="1"/>
  <c r="J69" i="1"/>
  <c r="K69" i="1"/>
  <c r="L69" i="1"/>
  <c r="M69" i="1"/>
  <c r="N69" i="1" s="1"/>
  <c r="O69" i="1" s="1"/>
  <c r="P69" i="1" s="1"/>
  <c r="Q69" i="1" s="1"/>
  <c r="R69" i="1" s="1"/>
  <c r="S69" i="1" s="1"/>
  <c r="T69" i="1" s="1"/>
  <c r="E70" i="1"/>
  <c r="E72" i="1"/>
  <c r="E74" i="1"/>
  <c r="E75" i="1"/>
  <c r="K75" i="1"/>
  <c r="L75" i="1"/>
  <c r="M75" i="1" s="1"/>
  <c r="N75" i="1" s="1"/>
  <c r="O75" i="1" s="1"/>
  <c r="P75" i="1" s="1"/>
  <c r="Q75" i="1" s="1"/>
  <c r="R75" i="1" s="1"/>
  <c r="S75" i="1" s="1"/>
  <c r="T75" i="1" s="1"/>
  <c r="C18" i="1"/>
  <c r="F18" i="1"/>
  <c r="E25" i="1"/>
  <c r="F19" i="1" s="1"/>
  <c r="E24" i="1"/>
  <c r="D24" i="1"/>
  <c r="C23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E18" i="1"/>
  <c r="D18" i="1"/>
  <c r="C16" i="1"/>
  <c r="N64" i="1" l="1"/>
  <c r="L51" i="1"/>
  <c r="T56" i="1"/>
  <c r="T55" i="1"/>
  <c r="T58" i="1"/>
  <c r="T53" i="1"/>
  <c r="J61" i="1"/>
  <c r="J68" i="1"/>
  <c r="K68" i="1" s="1"/>
  <c r="K63" i="1" s="1"/>
  <c r="I71" i="1"/>
  <c r="I63" i="1" s="1"/>
  <c r="I73" i="1" s="1"/>
  <c r="I78" i="1" s="1"/>
  <c r="E52" i="1"/>
  <c r="T52" i="1"/>
  <c r="O46" i="1"/>
  <c r="K76" i="1"/>
  <c r="L76" i="1" s="1"/>
  <c r="M76" i="1" s="1"/>
  <c r="N76" i="1" s="1"/>
  <c r="O76" i="1" s="1"/>
  <c r="P76" i="1" s="1"/>
  <c r="Q76" i="1" s="1"/>
  <c r="R76" i="1" s="1"/>
  <c r="S76" i="1" s="1"/>
  <c r="T76" i="1" s="1"/>
  <c r="K57" i="1"/>
  <c r="L57" i="1" s="1"/>
  <c r="M57" i="1" s="1"/>
  <c r="N57" i="1" s="1"/>
  <c r="O57" i="1" s="1"/>
  <c r="P57" i="1" s="1"/>
  <c r="Q57" i="1" s="1"/>
  <c r="R57" i="1" s="1"/>
  <c r="S57" i="1" s="1"/>
  <c r="T57" i="1" s="1"/>
  <c r="K54" i="1"/>
  <c r="L54" i="1" s="1"/>
  <c r="M54" i="1" s="1"/>
  <c r="N54" i="1" s="1"/>
  <c r="O54" i="1" s="1"/>
  <c r="P54" i="1" s="1"/>
  <c r="Q54" i="1" s="1"/>
  <c r="R54" i="1" s="1"/>
  <c r="S54" i="1" s="1"/>
  <c r="T54" i="1" s="1"/>
  <c r="E26" i="1"/>
  <c r="C20" i="1"/>
  <c r="D14" i="1" s="1"/>
  <c r="D20" i="1" s="1"/>
  <c r="E14" i="1" s="1"/>
  <c r="F24" i="1"/>
  <c r="F25" i="1" s="1"/>
  <c r="I81" i="1" l="1"/>
  <c r="J63" i="1"/>
  <c r="M51" i="1"/>
  <c r="L47" i="1"/>
  <c r="P46" i="1"/>
  <c r="K47" i="1"/>
  <c r="O64" i="1"/>
  <c r="F26" i="1"/>
  <c r="J79" i="1" l="1"/>
  <c r="P64" i="1"/>
  <c r="L48" i="1"/>
  <c r="L45" i="1"/>
  <c r="K48" i="1"/>
  <c r="K45" i="1"/>
  <c r="Q46" i="1"/>
  <c r="N51" i="1"/>
  <c r="M47" i="1"/>
  <c r="J81" i="1"/>
  <c r="E15" i="1"/>
  <c r="J82" i="1" l="1"/>
  <c r="R46" i="1"/>
  <c r="L43" i="1"/>
  <c r="L59" i="1"/>
  <c r="O51" i="1"/>
  <c r="N47" i="1"/>
  <c r="K43" i="1"/>
  <c r="K59" i="1"/>
  <c r="Q64" i="1"/>
  <c r="M48" i="1"/>
  <c r="M45" i="1"/>
  <c r="G19" i="1"/>
  <c r="G24" i="1" s="1"/>
  <c r="E20" i="1"/>
  <c r="F14" i="1" s="1"/>
  <c r="N48" i="1" l="1"/>
  <c r="N45" i="1"/>
  <c r="L61" i="1"/>
  <c r="L68" i="1"/>
  <c r="L63" i="1" s="1"/>
  <c r="M43" i="1"/>
  <c r="M59" i="1"/>
  <c r="R64" i="1"/>
  <c r="K61" i="1"/>
  <c r="K73" i="1" s="1"/>
  <c r="P51" i="1"/>
  <c r="O47" i="1"/>
  <c r="S46" i="1"/>
  <c r="G25" i="1"/>
  <c r="O48" i="1" l="1"/>
  <c r="O45" i="1"/>
  <c r="K79" i="1"/>
  <c r="F15" i="1"/>
  <c r="F20" i="1" s="1"/>
  <c r="G14" i="1" s="1"/>
  <c r="K81" i="1"/>
  <c r="Q51" i="1"/>
  <c r="P47" i="1"/>
  <c r="S64" i="1"/>
  <c r="N59" i="1"/>
  <c r="N43" i="1"/>
  <c r="T46" i="1"/>
  <c r="M68" i="1"/>
  <c r="M63" i="1" s="1"/>
  <c r="M61" i="1"/>
  <c r="L73" i="1"/>
  <c r="G26" i="1"/>
  <c r="T64" i="1" l="1"/>
  <c r="M73" i="1"/>
  <c r="N68" i="1"/>
  <c r="N63" i="1" s="1"/>
  <c r="N61" i="1"/>
  <c r="R51" i="1"/>
  <c r="Q47" i="1"/>
  <c r="H19" i="1"/>
  <c r="H24" i="1" s="1"/>
  <c r="H25" i="1" s="1"/>
  <c r="H26" i="1" s="1"/>
  <c r="P48" i="1"/>
  <c r="P45" i="1"/>
  <c r="L81" i="1"/>
  <c r="K82" i="1"/>
  <c r="O43" i="1"/>
  <c r="O59" i="1"/>
  <c r="G15" i="1"/>
  <c r="G20" i="1" s="1"/>
  <c r="H14" i="1" s="1"/>
  <c r="L79" i="1"/>
  <c r="P43" i="1" l="1"/>
  <c r="P59" i="1"/>
  <c r="O68" i="1"/>
  <c r="O61" i="1"/>
  <c r="L82" i="1"/>
  <c r="M81" i="1"/>
  <c r="S51" i="1"/>
  <c r="R47" i="1"/>
  <c r="N73" i="1"/>
  <c r="M79" i="1"/>
  <c r="H15" i="1"/>
  <c r="H20" i="1" s="1"/>
  <c r="I14" i="1" s="1"/>
  <c r="I19" i="1"/>
  <c r="I24" i="1" s="1"/>
  <c r="I25" i="1" s="1"/>
  <c r="I26" i="1" s="1"/>
  <c r="Q48" i="1"/>
  <c r="Q45" i="1"/>
  <c r="N79" i="1" l="1"/>
  <c r="I15" i="1"/>
  <c r="I20" i="1" s="1"/>
  <c r="J14" i="1" s="1"/>
  <c r="S47" i="1"/>
  <c r="T51" i="1"/>
  <c r="T47" i="1" s="1"/>
  <c r="R48" i="1"/>
  <c r="R45" i="1"/>
  <c r="M82" i="1"/>
  <c r="N81" i="1"/>
  <c r="J19" i="1"/>
  <c r="J24" i="1" s="1"/>
  <c r="J25" i="1" s="1"/>
  <c r="K19" i="1" s="1"/>
  <c r="K24" i="1" s="1"/>
  <c r="K25" i="1" s="1"/>
  <c r="O63" i="1"/>
  <c r="O73" i="1" s="1"/>
  <c r="Q43" i="1"/>
  <c r="Q59" i="1"/>
  <c r="P68" i="1"/>
  <c r="P63" i="1" s="1"/>
  <c r="P70" i="1"/>
  <c r="P61" i="1"/>
  <c r="O79" i="1" l="1"/>
  <c r="J15" i="1"/>
  <c r="J20" i="1" s="1"/>
  <c r="K14" i="1" s="1"/>
  <c r="P73" i="1"/>
  <c r="Q68" i="1"/>
  <c r="Q63" i="1" s="1"/>
  <c r="Q70" i="1"/>
  <c r="Q61" i="1"/>
  <c r="N82" i="1"/>
  <c r="O81" i="1"/>
  <c r="R43" i="1"/>
  <c r="R59" i="1"/>
  <c r="T48" i="1"/>
  <c r="T45" i="1"/>
  <c r="S48" i="1"/>
  <c r="S45" i="1"/>
  <c r="J26" i="1"/>
  <c r="L19" i="1"/>
  <c r="L24" i="1" s="1"/>
  <c r="L25" i="1" s="1"/>
  <c r="K26" i="1"/>
  <c r="Q73" i="1" l="1"/>
  <c r="P79" i="1"/>
  <c r="K15" i="1"/>
  <c r="K20" i="1" s="1"/>
  <c r="L14" i="1" s="1"/>
  <c r="S59" i="1"/>
  <c r="S43" i="1"/>
  <c r="T59" i="1"/>
  <c r="T43" i="1"/>
  <c r="R68" i="1"/>
  <c r="R61" i="1"/>
  <c r="R70" i="1"/>
  <c r="O82" i="1"/>
  <c r="P81" i="1"/>
  <c r="L26" i="1"/>
  <c r="M19" i="1"/>
  <c r="M24" i="1" s="1"/>
  <c r="M25" i="1" s="1"/>
  <c r="Q81" i="1" l="1"/>
  <c r="P82" i="1"/>
  <c r="R63" i="1"/>
  <c r="S68" i="1"/>
  <c r="S70" i="1"/>
  <c r="S61" i="1"/>
  <c r="R73" i="1"/>
  <c r="T68" i="1"/>
  <c r="T70" i="1"/>
  <c r="T61" i="1"/>
  <c r="Q79" i="1"/>
  <c r="L15" i="1"/>
  <c r="L20" i="1" s="1"/>
  <c r="M14" i="1" s="1"/>
  <c r="M26" i="1"/>
  <c r="N19" i="1" l="1"/>
  <c r="N24" i="1" s="1"/>
  <c r="I5" i="1" s="1"/>
  <c r="T63" i="1"/>
  <c r="E46" i="1" s="1"/>
  <c r="S63" i="1"/>
  <c r="S73" i="1" s="1"/>
  <c r="R79" i="1"/>
  <c r="M15" i="1"/>
  <c r="M20" i="1" s="1"/>
  <c r="N14" i="1" s="1"/>
  <c r="R81" i="1"/>
  <c r="Q82" i="1"/>
  <c r="N25" i="1" l="1"/>
  <c r="N26" i="1" s="1"/>
  <c r="S79" i="1"/>
  <c r="N15" i="1"/>
  <c r="N20" i="1" s="1"/>
  <c r="O14" i="1" s="1"/>
  <c r="S81" i="1"/>
  <c r="R82" i="1"/>
  <c r="T73" i="1"/>
  <c r="O19" i="1" l="1"/>
  <c r="O24" i="1" s="1"/>
  <c r="T79" i="1"/>
  <c r="E56" i="1"/>
  <c r="E57" i="1" s="1"/>
  <c r="O15" i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T81" i="1"/>
  <c r="T82" i="1" s="1"/>
  <c r="S82" i="1"/>
  <c r="O25" i="1"/>
  <c r="O26" i="1" s="1"/>
  <c r="O20" i="1" l="1"/>
  <c r="P14" i="1" s="1"/>
  <c r="P20" i="1" s="1"/>
  <c r="Q14" i="1" s="1"/>
  <c r="Q20" i="1" s="1"/>
  <c r="R14" i="1" s="1"/>
  <c r="R20" i="1" s="1"/>
  <c r="S14" i="1" s="1"/>
  <c r="S20" i="1" s="1"/>
  <c r="T14" i="1" s="1"/>
  <c r="T20" i="1" s="1"/>
  <c r="U14" i="1" s="1"/>
  <c r="U20" i="1" s="1"/>
  <c r="V14" i="1" s="1"/>
  <c r="V20" i="1" s="1"/>
  <c r="W14" i="1" s="1"/>
  <c r="W20" i="1" s="1"/>
  <c r="X14" i="1" s="1"/>
  <c r="X20" i="1" s="1"/>
  <c r="Y14" i="1" s="1"/>
  <c r="Y20" i="1" s="1"/>
  <c r="Z14" i="1" s="1"/>
  <c r="Z20" i="1" s="1"/>
  <c r="AA14" i="1" s="1"/>
  <c r="AA20" i="1" s="1"/>
  <c r="AB14" i="1" s="1"/>
  <c r="AB20" i="1" s="1"/>
  <c r="AC14" i="1" s="1"/>
  <c r="AC20" i="1" s="1"/>
  <c r="AD14" i="1" s="1"/>
  <c r="AD20" i="1" s="1"/>
  <c r="AE14" i="1" s="1"/>
  <c r="AE20" i="1" s="1"/>
  <c r="AF14" i="1" s="1"/>
  <c r="AF20" i="1" s="1"/>
  <c r="AG14" i="1" s="1"/>
  <c r="AG20" i="1" s="1"/>
  <c r="AH14" i="1" s="1"/>
  <c r="AH20" i="1" s="1"/>
  <c r="AI14" i="1" s="1"/>
  <c r="AI20" i="1" s="1"/>
  <c r="AJ14" i="1" s="1"/>
  <c r="AJ20" i="1" s="1"/>
  <c r="AK14" i="1" s="1"/>
  <c r="AK20" i="1" s="1"/>
  <c r="AL14" i="1" s="1"/>
  <c r="AL20" i="1" s="1"/>
  <c r="E53" i="1"/>
  <c r="P19" i="1"/>
  <c r="P24" i="1" s="1"/>
  <c r="P25" i="1" s="1"/>
  <c r="Q19" i="1" l="1"/>
  <c r="Q24" i="1" s="1"/>
  <c r="Q25" i="1" s="1"/>
  <c r="P26" i="1"/>
  <c r="R19" i="1" l="1"/>
  <c r="R24" i="1" s="1"/>
  <c r="Q26" i="1"/>
  <c r="R25" i="1"/>
  <c r="S19" i="1" l="1"/>
  <c r="S24" i="1" s="1"/>
  <c r="S25" i="1" s="1"/>
  <c r="R26" i="1"/>
  <c r="T19" i="1" l="1"/>
  <c r="T24" i="1" s="1"/>
  <c r="T25" i="1"/>
  <c r="S26" i="1"/>
  <c r="U19" i="1" l="1"/>
  <c r="U24" i="1" s="1"/>
  <c r="T26" i="1"/>
  <c r="U25" i="1"/>
  <c r="U26" i="1" l="1"/>
  <c r="V19" i="1"/>
  <c r="V24" i="1" s="1"/>
  <c r="V25" i="1" s="1"/>
  <c r="V26" i="1" l="1"/>
  <c r="W19" i="1"/>
  <c r="W24" i="1" s="1"/>
  <c r="W25" i="1" s="1"/>
  <c r="W26" i="1" l="1"/>
  <c r="X19" i="1"/>
  <c r="X24" i="1" s="1"/>
  <c r="X25" i="1" s="1"/>
  <c r="X26" i="1" l="1"/>
  <c r="Y19" i="1"/>
  <c r="Y24" i="1" s="1"/>
  <c r="Y25" i="1" s="1"/>
  <c r="Y26" i="1" l="1"/>
  <c r="Z19" i="1"/>
  <c r="Z24" i="1" s="1"/>
  <c r="I6" i="1" s="1"/>
  <c r="Z25" i="1" l="1"/>
  <c r="AA19" i="1" l="1"/>
  <c r="AA24" i="1" s="1"/>
  <c r="Z26" i="1"/>
  <c r="AA25" i="1" l="1"/>
  <c r="AB19" i="1" l="1"/>
  <c r="AB24" i="1" s="1"/>
  <c r="AA26" i="1"/>
  <c r="AB25" i="1" l="1"/>
  <c r="AC19" i="1" l="1"/>
  <c r="AC24" i="1" s="1"/>
  <c r="AB26" i="1"/>
  <c r="AC25" i="1" l="1"/>
  <c r="AD19" i="1" l="1"/>
  <c r="AD24" i="1" s="1"/>
  <c r="AD25" i="1" s="1"/>
  <c r="AC26" i="1"/>
  <c r="AE19" i="1" l="1"/>
  <c r="AE24" i="1" s="1"/>
  <c r="AE25" i="1" s="1"/>
  <c r="AD26" i="1"/>
  <c r="AF19" i="1" l="1"/>
  <c r="AF24" i="1" s="1"/>
  <c r="AE26" i="1"/>
  <c r="AF25" i="1"/>
  <c r="AG19" i="1" l="1"/>
  <c r="AG24" i="1" s="1"/>
  <c r="AG25" i="1" s="1"/>
  <c r="AF26" i="1"/>
  <c r="AH19" i="1" l="1"/>
  <c r="AH24" i="1" s="1"/>
  <c r="AH25" i="1" s="1"/>
  <c r="AG26" i="1"/>
  <c r="AI19" i="1" l="1"/>
  <c r="AI24" i="1" s="1"/>
  <c r="AI25" i="1" s="1"/>
  <c r="AH26" i="1"/>
  <c r="AJ19" i="1" l="1"/>
  <c r="AJ24" i="1" s="1"/>
  <c r="AI26" i="1"/>
  <c r="AJ25" i="1"/>
  <c r="AK19" i="1" l="1"/>
  <c r="AK24" i="1" s="1"/>
  <c r="AK25" i="1" s="1"/>
  <c r="AJ26" i="1"/>
  <c r="AK26" i="1" l="1"/>
  <c r="AL19" i="1"/>
  <c r="AL24" i="1" s="1"/>
  <c r="I7" i="1" s="1"/>
  <c r="I8" i="1" s="1"/>
  <c r="J9" i="1" s="1"/>
  <c r="AL25" i="1" l="1"/>
  <c r="AL26" i="1" s="1"/>
  <c r="J4" i="1" s="1"/>
</calcChain>
</file>

<file path=xl/sharedStrings.xml><?xml version="1.0" encoding="utf-8"?>
<sst xmlns="http://schemas.openxmlformats.org/spreadsheetml/2006/main" count="104" uniqueCount="96">
  <si>
    <t>Общие условия</t>
  </si>
  <si>
    <t>Результаты</t>
  </si>
  <si>
    <t>Вложения инвестора</t>
  </si>
  <si>
    <t xml:space="preserve">Окупаемость </t>
  </si>
  <si>
    <t>месяцев</t>
  </si>
  <si>
    <t>Доля инвестора</t>
  </si>
  <si>
    <t>до окупаемости</t>
  </si>
  <si>
    <t>Доход за 1 год</t>
  </si>
  <si>
    <t>рублей</t>
  </si>
  <si>
    <t>после окупаемости</t>
  </si>
  <si>
    <t>Доход за 2 год</t>
  </si>
  <si>
    <t>Открываем точек</t>
  </si>
  <si>
    <t>Доход за 3 год</t>
  </si>
  <si>
    <t>Расходы на УК в месяц, рублей</t>
  </si>
  <si>
    <t>Итого за 3 года</t>
  </si>
  <si>
    <t>ROI за 3 года</t>
  </si>
  <si>
    <t>Отчет о движении денег</t>
  </si>
  <si>
    <t>Месяц</t>
  </si>
  <si>
    <t>Остаток денег на начало месяца</t>
  </si>
  <si>
    <t>Операционная прибыль с точек [1]</t>
  </si>
  <si>
    <t>Входящие инвестиции</t>
  </si>
  <si>
    <t>Вложения в открытие 10 точек</t>
  </si>
  <si>
    <t>Расходы на УК</t>
  </si>
  <si>
    <t>Возврат средств инвестору [2]</t>
  </si>
  <si>
    <t>Остаток денег на конец месяца</t>
  </si>
  <si>
    <t>Инвестору</t>
  </si>
  <si>
    <t>Вложения</t>
  </si>
  <si>
    <t>Возврат средств</t>
  </si>
  <si>
    <t>Возврат накопительно</t>
  </si>
  <si>
    <t>Окупаемость</t>
  </si>
  <si>
    <t>[1] для расчета используется «чистая прибыль» с вкладки «финплан 1 точка»</t>
  </si>
  <si>
    <t>Точки работают с 3-го месяца. Мы рассчитываем 2 месяца с запасом на поиск локаций, подготовку.</t>
  </si>
  <si>
    <t>После 12 места заложен рост прибыли 1% в месяц</t>
  </si>
  <si>
    <t xml:space="preserve">Рост продаж в первые 3 месяца для точки взят пессимистичный — 10% вместо 20% в базовом прогнозе </t>
  </si>
  <si>
    <t>[2] выплата доли средств инвестору выполняется через месяц, в котором получена прибыль</t>
  </si>
  <si>
    <t>Для того, чтобы не попадать в кассовый разрыв в момент роста</t>
  </si>
  <si>
    <t>ПОКАЗАТЕЛИ</t>
  </si>
  <si>
    <t>ВЫРУЧКА</t>
  </si>
  <si>
    <t>Точка безубыточности (руб/мес)</t>
  </si>
  <si>
    <t>Выручка от  продаж</t>
  </si>
  <si>
    <t>Точка безубыточности (руб/день)</t>
  </si>
  <si>
    <t>Кол-во рабочих дней</t>
  </si>
  <si>
    <t>Выручка в день</t>
  </si>
  <si>
    <t>Чеков в день (ср чек 220р)</t>
  </si>
  <si>
    <t>Рост продаж в месяц</t>
  </si>
  <si>
    <t>Маржинальность средняя</t>
  </si>
  <si>
    <t>Цена</t>
  </si>
  <si>
    <t>Наименование</t>
  </si>
  <si>
    <t>КОФЕ</t>
  </si>
  <si>
    <t>Итого вложения всего (с запасом):</t>
  </si>
  <si>
    <t>ВТОРЫЕ БЛЮДА</t>
  </si>
  <si>
    <t>Месяц окупаемости</t>
  </si>
  <si>
    <t>ПЕРВЫЕ БЛЮДА</t>
  </si>
  <si>
    <t>САЛАТЫ</t>
  </si>
  <si>
    <t>ДЕСЕРТЫ/ЗАВТРАКИ</t>
  </si>
  <si>
    <t>Прибыль за год</t>
  </si>
  <si>
    <t>СЕНДВИЧИ</t>
  </si>
  <si>
    <t>Доходность, % годовых</t>
  </si>
  <si>
    <t>ФРУКТЫ, ЯГОДЫ, ОРЕШКИ</t>
  </si>
  <si>
    <t>ДОСТАВКА ПО РАЙОНУ ТОЧКИ ПРОДАЖ</t>
  </si>
  <si>
    <t>ИНВЕСТИЦИИ</t>
  </si>
  <si>
    <t>Себестоимость сырья (вкл. списание, порча)</t>
  </si>
  <si>
    <t>кол-во</t>
  </si>
  <si>
    <t>цена</t>
  </si>
  <si>
    <t>стоимость</t>
  </si>
  <si>
    <t xml:space="preserve">КОНСТРУКЦИЯ/МЕБЕЛЬ </t>
  </si>
  <si>
    <t>9 кв м</t>
  </si>
  <si>
    <t>ВАЛОВАЯ ПРИБЫЛЬ</t>
  </si>
  <si>
    <t xml:space="preserve">ТВ </t>
  </si>
  <si>
    <t>IIKO — аренда сервера</t>
  </si>
  <si>
    <t>Прочие расходы</t>
  </si>
  <si>
    <t>ХОЛОДИЛЬНИК</t>
  </si>
  <si>
    <t xml:space="preserve">Аренда торговой площади </t>
  </si>
  <si>
    <t>СВЧ</t>
  </si>
  <si>
    <t>Зарплата повар/кассир 2/2</t>
  </si>
  <si>
    <t>ФОРМА ДЛЯ СОТРУДНИКОВ</t>
  </si>
  <si>
    <t>Лизинг кофемашина</t>
  </si>
  <si>
    <t>ХОЗ. РАСХОДЫ</t>
  </si>
  <si>
    <t>Маркетинг/реклама/промо</t>
  </si>
  <si>
    <t>ВИДЕОНАБЛЮДЕНИЕ</t>
  </si>
  <si>
    <t>Банковские расходы</t>
  </si>
  <si>
    <t>ОНЛАЙН-КАССА</t>
  </si>
  <si>
    <t>ОБОРУДОВАНИЕ IIKO</t>
  </si>
  <si>
    <t>Роялти % (с 4-го мес.)</t>
  </si>
  <si>
    <t>Инвестиции на открытие точки</t>
  </si>
  <si>
    <t>КОФЕМАШИНА FRESH MILK / ЛИЗИНГ</t>
  </si>
  <si>
    <t>1 шт</t>
  </si>
  <si>
    <t>АРЕНДА (первый + посл. мес.)</t>
  </si>
  <si>
    <t>ПРИБЫЛЬ (EBITDA)</t>
  </si>
  <si>
    <t>ПЕРВЫЙ ЗАКУП ПРОДУКТОВ</t>
  </si>
  <si>
    <t>ПРОЧИЕ НЕПРЕДВИДЕННЫЕ</t>
  </si>
  <si>
    <t>Патент</t>
  </si>
  <si>
    <t xml:space="preserve">Амортизация </t>
  </si>
  <si>
    <t>ИТОГО ИНВЕСТИЦИИ</t>
  </si>
  <si>
    <t>Чистая прибыль</t>
  </si>
  <si>
    <t>Рентабельность по чистой прибыли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</si>
</sst>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??\ _₽_-;_-@"/>
  </numFmts>
  <fonts count="20" x14ac:knownFonts="1">
    <font>
      <sz val="12"/>
      <color theme="1"/>
      <name val="Calibri"/>
      <scheme val="minor"/>
    </font>
    <font>
      <b/>
      <sz val="14"/>
      <color theme="1"/>
      <name val="Century Gothic"/>
    </font>
    <font>
      <sz val="10"/>
      <color theme="1"/>
      <name val="Century Gothic"/>
    </font>
    <font>
      <b/>
      <sz val="10"/>
      <color theme="1"/>
      <name val="Century Gothic"/>
    </font>
    <font>
      <b/>
      <sz val="12"/>
      <color theme="1"/>
      <name val="Calibri"/>
    </font>
    <font>
      <sz val="10"/>
      <color rgb="FF00B050"/>
      <name val="Century Gothic"/>
    </font>
    <font>
      <sz val="12"/>
      <color rgb="FF7F7F7F"/>
      <name val="Calibri"/>
    </font>
    <font>
      <b/>
      <sz val="10"/>
      <color rgb="FF7F7F7F"/>
      <name val="Century Gothic"/>
    </font>
    <font>
      <sz val="12"/>
      <color rgb="FF00B050"/>
      <name val="Calibri"/>
    </font>
    <font>
      <sz val="10"/>
      <color rgb="FFC00000"/>
      <name val="Century Gothic"/>
    </font>
    <font>
      <sz val="10"/>
      <color rgb="FF7F7F7F"/>
      <name val="Century Gothic"/>
    </font>
    <font>
      <sz val="12"/>
      <color theme="1"/>
      <name val="Calibri"/>
    </font>
    <font>
      <b/>
      <i/>
      <sz val="14"/>
      <color theme="1"/>
      <name val="Century Gothic"/>
    </font>
    <font>
      <b/>
      <i/>
      <sz val="10"/>
      <color theme="1"/>
      <name val="Century Gothic"/>
    </font>
    <font>
      <b/>
      <sz val="10"/>
      <color theme="0"/>
      <name val="Century Gothic"/>
    </font>
    <font>
      <sz val="10"/>
      <color theme="0"/>
      <name val="Century Gothic"/>
    </font>
    <font>
      <b/>
      <sz val="10"/>
      <color rgb="FFA5A5A5"/>
      <name val="Century Gothic"/>
    </font>
    <font>
      <b/>
      <sz val="10"/>
      <color rgb="FF00B050"/>
      <name val="Century Gothic"/>
    </font>
    <font>
      <i/>
      <sz val="10"/>
      <color rgb="FFA5A5A5"/>
      <name val="Century Gothic"/>
    </font>
    <font>
      <sz val="12"/>
      <color rgb="FFA5A5A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9" fontId="2" fillId="2" borderId="1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 wrapText="1"/>
    </xf>
    <xf numFmtId="1" fontId="5" fillId="0" borderId="0" xfId="0" applyNumberFormat="1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4" fontId="3" fillId="0" borderId="0" xfId="0" applyNumberFormat="1" applyFont="1" applyAlignment="1">
      <alignment horizontal="right" vertical="center" wrapText="1"/>
    </xf>
    <xf numFmtId="9" fontId="3" fillId="0" borderId="0" xfId="0" applyNumberFormat="1" applyFont="1" applyAlignment="1">
      <alignment horizontal="right"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1" fontId="3" fillId="0" borderId="2" xfId="0" applyNumberFormat="1" applyFont="1" applyBorder="1" applyAlignment="1">
      <alignment vertical="center" wrapText="1"/>
    </xf>
    <xf numFmtId="1" fontId="8" fillId="0" borderId="0" xfId="0" applyNumberFormat="1" applyFont="1"/>
    <xf numFmtId="1" fontId="9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14" fillId="3" borderId="3" xfId="0" applyFont="1" applyFill="1" applyBorder="1" applyAlignment="1">
      <alignment vertical="center"/>
    </xf>
    <xf numFmtId="0" fontId="15" fillId="3" borderId="3" xfId="0" applyFont="1" applyFill="1" applyBorder="1" applyAlignment="1">
      <alignment vertical="center"/>
    </xf>
    <xf numFmtId="164" fontId="14" fillId="3" borderId="3" xfId="0" applyNumberFormat="1" applyFont="1" applyFill="1" applyBorder="1" applyAlignment="1">
      <alignment vertical="center"/>
    </xf>
    <xf numFmtId="164" fontId="14" fillId="3" borderId="1" xfId="0" applyNumberFormat="1" applyFont="1" applyFill="1" applyBorder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164" fontId="16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9" fontId="3" fillId="0" borderId="0" xfId="0" applyNumberFormat="1" applyFont="1" applyAlignment="1">
      <alignment horizontal="center" vertical="center"/>
    </xf>
    <xf numFmtId="9" fontId="16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164" fontId="3" fillId="0" borderId="2" xfId="0" applyNumberFormat="1" applyFont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left" vertical="center" wrapText="1"/>
    </xf>
    <xf numFmtId="9" fontId="18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0" fontId="0" fillId="0" borderId="0" xfId="0" applyFont="1" applyAlignment="1"/>
    <xf numFmtId="164" fontId="3" fillId="0" borderId="0" xfId="0" applyNumberFormat="1" applyFont="1" applyAlignment="1">
      <alignment horizontal="right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77</xdr:row>
      <xdr:rowOff>-19050</xdr:rowOff>
    </xdr:from>
    <xdr:ext cx="66675" cy="476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CB50DB9-68DA-4FAB-87CF-CB660BBDB13A}"/>
            </a:ext>
          </a:extLst>
        </xdr:cNvPr>
        <xdr:cNvSpPr/>
      </xdr:nvSpPr>
      <xdr:spPr>
        <a:xfrm>
          <a:off x="5467350" y="8181975"/>
          <a:ext cx="66675" cy="47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77</xdr:row>
      <xdr:rowOff>19050</xdr:rowOff>
    </xdr:from>
    <xdr:ext cx="66675" cy="476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E6FAD0D-B2A7-4D34-B530-953B57B1A0EC}"/>
            </a:ext>
          </a:extLst>
        </xdr:cNvPr>
        <xdr:cNvSpPr/>
      </xdr:nvSpPr>
      <xdr:spPr>
        <a:xfrm>
          <a:off x="5467350" y="8220075"/>
          <a:ext cx="66675" cy="47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64</xdr:row>
      <xdr:rowOff>19050</xdr:rowOff>
    </xdr:from>
    <xdr:ext cx="66675" cy="476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DCAB0A6A-1BC1-45A2-9B3C-FD9A72F80C54}"/>
            </a:ext>
          </a:extLst>
        </xdr:cNvPr>
        <xdr:cNvSpPr/>
      </xdr:nvSpPr>
      <xdr:spPr>
        <a:xfrm>
          <a:off x="5467350" y="5619750"/>
          <a:ext cx="66675" cy="47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1343025</xdr:colOff>
      <xdr:row>37</xdr:row>
      <xdr:rowOff>0</xdr:rowOff>
    </xdr:from>
    <xdr:ext cx="4933950" cy="714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5B6DE762-271F-49AF-91F8-2904DF3FDA76}"/>
            </a:ext>
          </a:extLst>
        </xdr:cNvPr>
        <xdr:cNvSpPr txBox="1"/>
      </xdr:nvSpPr>
      <xdr:spPr>
        <a:xfrm>
          <a:off x="1533525" y="200025"/>
          <a:ext cx="4933950" cy="714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Century Gothic"/>
            <a:buNone/>
          </a:pPr>
          <a:r>
            <a:rPr lang="en-US" sz="1800" b="1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ФИНАНСОВЫЙ ПЛАН РАЗВИТИЯ ТОЧКИ SLICE </a:t>
          </a:r>
          <a:endParaRPr sz="1800" b="1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НА ПЕРВЫЕ 12 МЕСЯЦЕВ С МОМЕНТА ОТКРЫТИЯ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82"/>
  <sheetViews>
    <sheetView showGridLines="0" tabSelected="1" topLeftCell="A7" workbookViewId="0">
      <selection activeCell="G25" sqref="G25"/>
    </sheetView>
  </sheetViews>
  <sheetFormatPr defaultColWidth="11.25" defaultRowHeight="15.75" x14ac:dyDescent="0.25"/>
  <cols>
    <col min="1" max="1" width="3" customWidth="1"/>
    <col min="2" max="2" width="31" customWidth="1"/>
    <col min="3" max="3" width="10.875" bestFit="1" customWidth="1"/>
    <col min="4" max="4" width="17.625" bestFit="1" customWidth="1"/>
    <col min="5" max="5" width="10" bestFit="1" customWidth="1"/>
    <col min="6" max="6" width="6.625" bestFit="1" customWidth="1"/>
    <col min="7" max="7" width="15.125" bestFit="1" customWidth="1"/>
    <col min="8" max="8" width="19" bestFit="1" customWidth="1"/>
    <col min="9" max="9" width="8.75" bestFit="1" customWidth="1"/>
    <col min="10" max="10" width="8.625" bestFit="1" customWidth="1"/>
    <col min="11" max="16" width="8.625" customWidth="1"/>
    <col min="17" max="20" width="10" bestFit="1" customWidth="1"/>
    <col min="21" max="38" width="8.625" customWidth="1"/>
  </cols>
  <sheetData>
    <row r="2" spans="1:38" ht="18" x14ac:dyDescent="0.25">
      <c r="B2" s="1" t="s">
        <v>0</v>
      </c>
      <c r="C2" s="2"/>
      <c r="D2" s="2"/>
      <c r="E2" s="2"/>
      <c r="F2" s="2"/>
      <c r="G2" s="1" t="s">
        <v>1</v>
      </c>
      <c r="H2" s="2"/>
      <c r="I2" s="2"/>
      <c r="J2" s="2"/>
      <c r="K2" s="2"/>
      <c r="L2" s="2"/>
      <c r="M2" s="2"/>
      <c r="N2" s="2"/>
      <c r="O2" s="2"/>
    </row>
    <row r="3" spans="1:38" ht="18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38" x14ac:dyDescent="0.25">
      <c r="B4" s="2" t="s">
        <v>2</v>
      </c>
      <c r="C4" s="3">
        <v>10000000</v>
      </c>
      <c r="F4" s="2"/>
      <c r="G4" s="4" t="s">
        <v>3</v>
      </c>
      <c r="H4" s="5"/>
      <c r="I4" s="6"/>
      <c r="J4" s="5">
        <f>MIN(26:26)</f>
        <v>15</v>
      </c>
      <c r="K4" s="5" t="s">
        <v>4</v>
      </c>
      <c r="L4" s="2"/>
      <c r="M4" s="2"/>
      <c r="N4" s="2"/>
      <c r="O4" s="2"/>
    </row>
    <row r="5" spans="1:38" x14ac:dyDescent="0.25">
      <c r="B5" s="2" t="s">
        <v>5</v>
      </c>
      <c r="C5" s="7">
        <v>0.7</v>
      </c>
      <c r="D5" s="8" t="s">
        <v>6</v>
      </c>
      <c r="F5" s="2"/>
      <c r="G5" s="8" t="s">
        <v>7</v>
      </c>
      <c r="H5" s="2"/>
      <c r="I5" s="64">
        <f>-SUM(F24:N24)</f>
        <v>6206332.4885371653</v>
      </c>
      <c r="J5" s="65"/>
      <c r="K5" s="2" t="s">
        <v>8</v>
      </c>
      <c r="L5" s="2"/>
      <c r="M5" s="2"/>
      <c r="N5" s="2"/>
      <c r="O5" s="2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38" x14ac:dyDescent="0.25">
      <c r="B6" s="2"/>
      <c r="C6" s="7">
        <v>0.5</v>
      </c>
      <c r="D6" s="8" t="s">
        <v>9</v>
      </c>
      <c r="F6" s="2"/>
      <c r="G6" s="8" t="s">
        <v>10</v>
      </c>
      <c r="H6" s="2"/>
      <c r="I6" s="64">
        <f>-SUM(O24:Z24)</f>
        <v>14485502.087753765</v>
      </c>
      <c r="J6" s="65"/>
      <c r="K6" s="2" t="s">
        <v>8</v>
      </c>
      <c r="L6" s="2"/>
      <c r="M6" s="2"/>
      <c r="N6" s="2"/>
      <c r="O6" s="2"/>
    </row>
    <row r="7" spans="1:38" x14ac:dyDescent="0.25">
      <c r="B7" s="2" t="s">
        <v>11</v>
      </c>
      <c r="C7" s="11">
        <v>10</v>
      </c>
      <c r="D7" s="2"/>
      <c r="F7" s="2"/>
      <c r="G7" s="8" t="s">
        <v>12</v>
      </c>
      <c r="H7" s="2"/>
      <c r="I7" s="64">
        <f>-SUM(AA24:AL24)</f>
        <v>15148250.300729459</v>
      </c>
      <c r="J7" s="65"/>
      <c r="K7" s="2" t="s">
        <v>8</v>
      </c>
      <c r="L7" s="2"/>
      <c r="M7" s="2"/>
      <c r="N7" s="2"/>
      <c r="O7" s="2"/>
    </row>
    <row r="8" spans="1:38" x14ac:dyDescent="0.25">
      <c r="B8" s="2" t="s">
        <v>13</v>
      </c>
      <c r="C8" s="3">
        <v>750000</v>
      </c>
      <c r="D8" s="2"/>
      <c r="E8" s="2"/>
      <c r="F8" s="2"/>
      <c r="G8" s="4" t="s">
        <v>14</v>
      </c>
      <c r="H8" s="5"/>
      <c r="I8" s="66">
        <f>SUM(I5:J7)</f>
        <v>35840084.877020389</v>
      </c>
      <c r="J8" s="65"/>
      <c r="K8" s="5" t="s">
        <v>8</v>
      </c>
      <c r="L8" s="2"/>
      <c r="M8" s="2"/>
      <c r="N8" s="2"/>
      <c r="O8" s="2"/>
    </row>
    <row r="9" spans="1:38" x14ac:dyDescent="0.25">
      <c r="B9" s="2"/>
      <c r="C9" s="2"/>
      <c r="D9" s="2"/>
      <c r="E9" s="2"/>
      <c r="F9" s="2"/>
      <c r="G9" s="4" t="s">
        <v>15</v>
      </c>
      <c r="H9" s="5"/>
      <c r="I9" s="12"/>
      <c r="J9" s="13">
        <f>(I8-C4)/C4</f>
        <v>2.5840084877020391</v>
      </c>
      <c r="K9" s="5"/>
      <c r="L9" s="2"/>
      <c r="M9" s="2"/>
      <c r="N9" s="2"/>
      <c r="O9" s="2"/>
    </row>
    <row r="10" spans="1:38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38" ht="18" x14ac:dyDescent="0.25">
      <c r="B11" s="1" t="s">
        <v>16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38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38" x14ac:dyDescent="0.25">
      <c r="A13" s="14"/>
      <c r="B13" s="15" t="s">
        <v>17</v>
      </c>
      <c r="C13" s="15">
        <v>1</v>
      </c>
      <c r="D13" s="15">
        <v>2</v>
      </c>
      <c r="E13" s="15">
        <v>3</v>
      </c>
      <c r="F13" s="15">
        <v>4</v>
      </c>
      <c r="G13" s="15">
        <v>5</v>
      </c>
      <c r="H13" s="15">
        <v>6</v>
      </c>
      <c r="I13" s="15">
        <v>7</v>
      </c>
      <c r="J13" s="15">
        <v>8</v>
      </c>
      <c r="K13" s="15">
        <v>9</v>
      </c>
      <c r="L13" s="15">
        <v>10</v>
      </c>
      <c r="M13" s="15">
        <v>11</v>
      </c>
      <c r="N13" s="15">
        <v>12</v>
      </c>
      <c r="O13" s="15">
        <v>13</v>
      </c>
      <c r="P13" s="15">
        <v>14</v>
      </c>
      <c r="Q13" s="15">
        <v>15</v>
      </c>
      <c r="R13" s="15">
        <v>16</v>
      </c>
      <c r="S13" s="15">
        <v>17</v>
      </c>
      <c r="T13" s="15">
        <v>18</v>
      </c>
      <c r="U13" s="15">
        <v>19</v>
      </c>
      <c r="V13" s="15">
        <v>20</v>
      </c>
      <c r="W13" s="15">
        <v>21</v>
      </c>
      <c r="X13" s="15">
        <v>22</v>
      </c>
      <c r="Y13" s="15">
        <v>23</v>
      </c>
      <c r="Z13" s="15">
        <v>24</v>
      </c>
      <c r="AA13" s="15">
        <v>25</v>
      </c>
      <c r="AB13" s="15">
        <v>26</v>
      </c>
      <c r="AC13" s="15">
        <v>27</v>
      </c>
      <c r="AD13" s="15">
        <v>28</v>
      </c>
      <c r="AE13" s="15">
        <v>29</v>
      </c>
      <c r="AF13" s="15">
        <v>30</v>
      </c>
      <c r="AG13" s="15">
        <v>31</v>
      </c>
      <c r="AH13" s="15">
        <v>32</v>
      </c>
      <c r="AI13" s="15">
        <v>33</v>
      </c>
      <c r="AJ13" s="15">
        <v>34</v>
      </c>
      <c r="AK13" s="15">
        <v>35</v>
      </c>
      <c r="AL13" s="15">
        <v>36</v>
      </c>
    </row>
    <row r="14" spans="1:38" x14ac:dyDescent="0.25">
      <c r="B14" s="16" t="s">
        <v>18</v>
      </c>
      <c r="C14" s="17">
        <v>0</v>
      </c>
      <c r="D14" s="17">
        <f t="shared" ref="D14:AL14" si="0">C20</f>
        <v>1240000</v>
      </c>
      <c r="E14" s="17">
        <f t="shared" si="0"/>
        <v>490000</v>
      </c>
      <c r="F14" s="17">
        <f>E20</f>
        <v>70561.333333333139</v>
      </c>
      <c r="G14" s="17">
        <f>F20</f>
        <v>-48027.333333333721</v>
      </c>
      <c r="H14" s="17">
        <f t="shared" si="0"/>
        <v>144101.87999999942</v>
      </c>
      <c r="I14" s="17">
        <f t="shared" si="0"/>
        <v>288179.33133333386</v>
      </c>
      <c r="J14" s="17">
        <f t="shared" si="0"/>
        <v>779831.19446666795</v>
      </c>
      <c r="K14" s="17">
        <f t="shared" si="0"/>
        <v>1462648.9840900027</v>
      </c>
      <c r="L14" s="17">
        <f t="shared" si="0"/>
        <v>2346190.9965278385</v>
      </c>
      <c r="M14" s="17">
        <f t="shared" si="0"/>
        <v>3356189.269338808</v>
      </c>
      <c r="N14" s="17">
        <f t="shared" si="0"/>
        <v>4496437.4903341066</v>
      </c>
      <c r="O14" s="17">
        <f t="shared" si="0"/>
        <v>5770843.1579592638</v>
      </c>
      <c r="P14" s="17">
        <f t="shared" si="0"/>
        <v>7183430.9956131764</v>
      </c>
      <c r="Q14" s="17">
        <f t="shared" si="0"/>
        <v>8617644.7116436288</v>
      </c>
      <c r="R14" s="17">
        <f t="shared" si="0"/>
        <v>10073700.564834386</v>
      </c>
      <c r="S14" s="17">
        <f t="shared" si="0"/>
        <v>11551816.97655705</v>
      </c>
      <c r="T14" s="17">
        <f t="shared" si="0"/>
        <v>13052214.55239694</v>
      </c>
      <c r="U14" s="17">
        <f t="shared" si="0"/>
        <v>14575116.10399523</v>
      </c>
      <c r="V14" s="17">
        <f t="shared" si="0"/>
        <v>16120746.671109501</v>
      </c>
      <c r="W14" s="17">
        <f t="shared" si="0"/>
        <v>17689333.543894917</v>
      </c>
      <c r="X14" s="17">
        <f t="shared" si="0"/>
        <v>19281106.285408188</v>
      </c>
      <c r="Y14" s="17">
        <f t="shared" si="0"/>
        <v>20896296.754336588</v>
      </c>
      <c r="Z14" s="17">
        <f t="shared" si="0"/>
        <v>22535139.127954274</v>
      </c>
      <c r="AA14" s="17">
        <f t="shared" si="0"/>
        <v>24197869.925308138</v>
      </c>
      <c r="AB14" s="17">
        <f t="shared" si="0"/>
        <v>25884728.030635539</v>
      </c>
      <c r="AC14" s="17">
        <f t="shared" si="0"/>
        <v>27595954.717016216</v>
      </c>
      <c r="AD14" s="17">
        <f t="shared" si="0"/>
        <v>29331793.670260698</v>
      </c>
      <c r="AE14" s="17">
        <f t="shared" si="0"/>
        <v>31092491.013037626</v>
      </c>
      <c r="AF14" s="17">
        <f t="shared" si="0"/>
        <v>32878295.329242319</v>
      </c>
      <c r="AG14" s="17">
        <f t="shared" si="0"/>
        <v>34689457.688609064</v>
      </c>
      <c r="AH14" s="17">
        <f t="shared" si="0"/>
        <v>36526231.671569474</v>
      </c>
      <c r="AI14" s="17">
        <f t="shared" si="0"/>
        <v>38388873.394359492</v>
      </c>
      <c r="AJ14" s="17">
        <f t="shared" si="0"/>
        <v>40277641.534377411</v>
      </c>
      <c r="AK14" s="17">
        <f t="shared" si="0"/>
        <v>42192797.355795503</v>
      </c>
      <c r="AL14" s="17">
        <f t="shared" si="0"/>
        <v>44134604.735427782</v>
      </c>
    </row>
    <row r="15" spans="1:38" x14ac:dyDescent="0.25">
      <c r="B15" s="2" t="s">
        <v>19</v>
      </c>
      <c r="C15" s="18"/>
      <c r="D15" s="10"/>
      <c r="E15" s="10">
        <f>Инвестору!J78*$C$7</f>
        <v>330561.33333333314</v>
      </c>
      <c r="F15" s="10">
        <f>Инвестору!K78*$C$7</f>
        <v>631411.33333333314</v>
      </c>
      <c r="G15" s="10">
        <f>Инвестору!L78*$C$7</f>
        <v>942129.21333333314</v>
      </c>
      <c r="H15" s="10">
        <f>Инвестору!M78*$C$7</f>
        <v>894077.45133333444</v>
      </c>
      <c r="I15" s="10">
        <f>Инвестору!N78*$C$7</f>
        <v>1241651.8631333341</v>
      </c>
      <c r="J15" s="10">
        <f>Инвестору!O78*$C$7</f>
        <v>1432817.7896233348</v>
      </c>
      <c r="K15" s="10">
        <f>Инвестору!P78*$C$7</f>
        <v>1633542.0124378356</v>
      </c>
      <c r="L15" s="10">
        <f>Инвестору!Q78*$C$7</f>
        <v>1759998.2728109697</v>
      </c>
      <c r="M15" s="10">
        <f>Инвестору!R78*$C$7</f>
        <v>1890248.2209952981</v>
      </c>
      <c r="N15" s="10">
        <f>Инвестору!S78*$C$7</f>
        <v>2024405.6676251567</v>
      </c>
      <c r="O15" s="10">
        <f>Инвестору!T78*$C$7</f>
        <v>2162587.8376539126</v>
      </c>
      <c r="P15" s="10">
        <f t="shared" ref="P15:AL15" si="1">O15*101%</f>
        <v>2184213.7160304519</v>
      </c>
      <c r="Q15" s="10">
        <f t="shared" si="1"/>
        <v>2206055.8531907564</v>
      </c>
      <c r="R15" s="10">
        <f t="shared" si="1"/>
        <v>2228116.4117226638</v>
      </c>
      <c r="S15" s="10">
        <f t="shared" si="1"/>
        <v>2250397.5758398906</v>
      </c>
      <c r="T15" s="10">
        <f t="shared" si="1"/>
        <v>2272901.5515982895</v>
      </c>
      <c r="U15" s="10">
        <f t="shared" si="1"/>
        <v>2295630.5671142726</v>
      </c>
      <c r="V15" s="10">
        <f t="shared" si="1"/>
        <v>2318586.8727854155</v>
      </c>
      <c r="W15" s="10">
        <f t="shared" si="1"/>
        <v>2341772.7415132695</v>
      </c>
      <c r="X15" s="10">
        <f t="shared" si="1"/>
        <v>2365190.4689284023</v>
      </c>
      <c r="Y15" s="10">
        <f t="shared" si="1"/>
        <v>2388842.3736176863</v>
      </c>
      <c r="Z15" s="10">
        <f t="shared" si="1"/>
        <v>2412730.7973538633</v>
      </c>
      <c r="AA15" s="10">
        <f t="shared" si="1"/>
        <v>2436858.1053274018</v>
      </c>
      <c r="AB15" s="10">
        <f t="shared" si="1"/>
        <v>2461226.686380676</v>
      </c>
      <c r="AC15" s="10">
        <f t="shared" si="1"/>
        <v>2485838.9532444826</v>
      </c>
      <c r="AD15" s="10">
        <f t="shared" si="1"/>
        <v>2510697.3427769276</v>
      </c>
      <c r="AE15" s="10">
        <f t="shared" si="1"/>
        <v>2535804.3162046969</v>
      </c>
      <c r="AF15" s="10">
        <f t="shared" si="1"/>
        <v>2561162.3593667438</v>
      </c>
      <c r="AG15" s="10">
        <f t="shared" si="1"/>
        <v>2586773.9829604113</v>
      </c>
      <c r="AH15" s="10">
        <f t="shared" si="1"/>
        <v>2612641.7227900154</v>
      </c>
      <c r="AI15" s="10">
        <f t="shared" si="1"/>
        <v>2638768.1400179155</v>
      </c>
      <c r="AJ15" s="10">
        <f t="shared" si="1"/>
        <v>2665155.8214180949</v>
      </c>
      <c r="AK15" s="10">
        <f t="shared" si="1"/>
        <v>2691807.379632276</v>
      </c>
      <c r="AL15" s="10">
        <f t="shared" si="1"/>
        <v>2718725.4534285986</v>
      </c>
    </row>
    <row r="16" spans="1:38" x14ac:dyDescent="0.25">
      <c r="B16" s="2" t="s">
        <v>20</v>
      </c>
      <c r="C16" s="10">
        <f>C4</f>
        <v>10000000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spans="2:38" x14ac:dyDescent="0.25">
      <c r="B17" s="2" t="s">
        <v>21</v>
      </c>
      <c r="C17" s="19">
        <f>-Инвестору!E78*10</f>
        <v>-8010000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x14ac:dyDescent="0.25">
      <c r="B18" s="2" t="s">
        <v>22</v>
      </c>
      <c r="C18" s="19">
        <f>-$C$8</f>
        <v>-750000</v>
      </c>
      <c r="D18" s="19">
        <f t="shared" ref="D18:AL18" si="2">-$C$8</f>
        <v>-750000</v>
      </c>
      <c r="E18" s="19">
        <f t="shared" si="2"/>
        <v>-750000</v>
      </c>
      <c r="F18" s="19">
        <f>-$C$8</f>
        <v>-750000</v>
      </c>
      <c r="G18" s="19">
        <f t="shared" si="2"/>
        <v>-750000</v>
      </c>
      <c r="H18" s="19">
        <f t="shared" si="2"/>
        <v>-750000</v>
      </c>
      <c r="I18" s="19">
        <f t="shared" si="2"/>
        <v>-750000</v>
      </c>
      <c r="J18" s="19">
        <f t="shared" si="2"/>
        <v>-750000</v>
      </c>
      <c r="K18" s="19">
        <f t="shared" si="2"/>
        <v>-750000</v>
      </c>
      <c r="L18" s="19">
        <f t="shared" si="2"/>
        <v>-750000</v>
      </c>
      <c r="M18" s="19">
        <f t="shared" si="2"/>
        <v>-750000</v>
      </c>
      <c r="N18" s="19">
        <f t="shared" si="2"/>
        <v>-750000</v>
      </c>
      <c r="O18" s="19">
        <f t="shared" si="2"/>
        <v>-750000</v>
      </c>
      <c r="P18" s="19">
        <f t="shared" si="2"/>
        <v>-750000</v>
      </c>
      <c r="Q18" s="19">
        <f t="shared" si="2"/>
        <v>-750000</v>
      </c>
      <c r="R18" s="19">
        <f t="shared" si="2"/>
        <v>-750000</v>
      </c>
      <c r="S18" s="19">
        <f t="shared" si="2"/>
        <v>-750000</v>
      </c>
      <c r="T18" s="19">
        <f t="shared" si="2"/>
        <v>-750000</v>
      </c>
      <c r="U18" s="19">
        <f t="shared" si="2"/>
        <v>-750000</v>
      </c>
      <c r="V18" s="19">
        <f t="shared" si="2"/>
        <v>-750000</v>
      </c>
      <c r="W18" s="19">
        <f t="shared" si="2"/>
        <v>-750000</v>
      </c>
      <c r="X18" s="19">
        <f t="shared" si="2"/>
        <v>-750000</v>
      </c>
      <c r="Y18" s="19">
        <f t="shared" si="2"/>
        <v>-750000</v>
      </c>
      <c r="Z18" s="19">
        <f t="shared" si="2"/>
        <v>-750000</v>
      </c>
      <c r="AA18" s="19">
        <f t="shared" si="2"/>
        <v>-750000</v>
      </c>
      <c r="AB18" s="19">
        <f t="shared" si="2"/>
        <v>-750000</v>
      </c>
      <c r="AC18" s="19">
        <f t="shared" si="2"/>
        <v>-750000</v>
      </c>
      <c r="AD18" s="19">
        <f t="shared" si="2"/>
        <v>-750000</v>
      </c>
      <c r="AE18" s="19">
        <f t="shared" si="2"/>
        <v>-750000</v>
      </c>
      <c r="AF18" s="19">
        <f t="shared" si="2"/>
        <v>-750000</v>
      </c>
      <c r="AG18" s="19">
        <f t="shared" si="2"/>
        <v>-750000</v>
      </c>
      <c r="AH18" s="19">
        <f t="shared" si="2"/>
        <v>-750000</v>
      </c>
      <c r="AI18" s="19">
        <f t="shared" si="2"/>
        <v>-750000</v>
      </c>
      <c r="AJ18" s="19">
        <f t="shared" si="2"/>
        <v>-750000</v>
      </c>
      <c r="AK18" s="19">
        <f t="shared" si="2"/>
        <v>-750000</v>
      </c>
      <c r="AL18" s="19">
        <f t="shared" si="2"/>
        <v>-750000</v>
      </c>
    </row>
    <row r="19" spans="2:38" x14ac:dyDescent="0.25">
      <c r="B19" s="2" t="s">
        <v>23</v>
      </c>
      <c r="C19" s="19"/>
      <c r="D19" s="19"/>
      <c r="E19" s="19"/>
      <c r="F19" s="19">
        <f>IF(E25&gt;$C$4,-D15*$C$6,-D15*$C$5)</f>
        <v>0</v>
      </c>
      <c r="G19" s="19">
        <f t="shared" ref="G19:AL19" si="3">IF(F25&gt;$C$4,-E15*$C$6,-E15*$C$5)</f>
        <v>-231392.93333333317</v>
      </c>
      <c r="H19" s="19">
        <f t="shared" si="3"/>
        <v>-441987.93333333317</v>
      </c>
      <c r="I19" s="19">
        <f t="shared" si="3"/>
        <v>-659490.44933333318</v>
      </c>
      <c r="J19" s="19">
        <f t="shared" si="3"/>
        <v>-625854.21593333408</v>
      </c>
      <c r="K19" s="19">
        <f t="shared" si="3"/>
        <v>-869156.30419333384</v>
      </c>
      <c r="L19" s="19">
        <f t="shared" si="3"/>
        <v>-1002972.4527363343</v>
      </c>
      <c r="M19" s="19">
        <f t="shared" si="3"/>
        <v>-1143479.4087064848</v>
      </c>
      <c r="N19" s="19">
        <f t="shared" si="3"/>
        <v>-1231998.7909676787</v>
      </c>
      <c r="O19" s="19">
        <f t="shared" si="3"/>
        <v>-1323173.7546967086</v>
      </c>
      <c r="P19" s="19">
        <f t="shared" si="3"/>
        <v>-1417083.9673376095</v>
      </c>
      <c r="Q19" s="19">
        <f t="shared" si="3"/>
        <v>-1513811.4863577387</v>
      </c>
      <c r="R19" s="19">
        <f t="shared" si="3"/>
        <v>-1092106.858015226</v>
      </c>
      <c r="S19" s="19">
        <f t="shared" si="3"/>
        <v>-1103027.9265953782</v>
      </c>
      <c r="T19" s="19">
        <f t="shared" si="3"/>
        <v>-1114058.2058613319</v>
      </c>
      <c r="U19" s="19">
        <f t="shared" si="3"/>
        <v>-1125198.7879199453</v>
      </c>
      <c r="V19" s="19">
        <f t="shared" si="3"/>
        <v>-1136450.7757991448</v>
      </c>
      <c r="W19" s="19">
        <f t="shared" si="3"/>
        <v>-1147815.2835571363</v>
      </c>
      <c r="X19" s="19">
        <f t="shared" si="3"/>
        <v>-1159293.4363927078</v>
      </c>
      <c r="Y19" s="19">
        <f t="shared" si="3"/>
        <v>-1170886.3707566347</v>
      </c>
      <c r="Z19" s="19">
        <f t="shared" si="3"/>
        <v>-1182595.2344642011</v>
      </c>
      <c r="AA19" s="19">
        <f t="shared" si="3"/>
        <v>-1194421.1868088432</v>
      </c>
      <c r="AB19" s="19">
        <f t="shared" si="3"/>
        <v>-1206365.3986769316</v>
      </c>
      <c r="AC19" s="19">
        <f t="shared" si="3"/>
        <v>-1218429.0526637009</v>
      </c>
      <c r="AD19" s="19">
        <f t="shared" si="3"/>
        <v>-1230613.343190338</v>
      </c>
      <c r="AE19" s="19">
        <f t="shared" si="3"/>
        <v>-1242919.4766222413</v>
      </c>
      <c r="AF19" s="19">
        <f t="shared" si="3"/>
        <v>-1255348.6713884638</v>
      </c>
      <c r="AG19" s="19">
        <f t="shared" si="3"/>
        <v>-1267902.1581023484</v>
      </c>
      <c r="AH19" s="19">
        <f t="shared" si="3"/>
        <v>-1280581.1796833719</v>
      </c>
      <c r="AI19" s="19">
        <f t="shared" si="3"/>
        <v>-1293386.9914802057</v>
      </c>
      <c r="AJ19" s="19">
        <f t="shared" si="3"/>
        <v>-1306320.8613950077</v>
      </c>
      <c r="AK19" s="19">
        <f t="shared" si="3"/>
        <v>-1319384.0700089578</v>
      </c>
      <c r="AL19" s="19">
        <f t="shared" si="3"/>
        <v>-1332577.9107090475</v>
      </c>
    </row>
    <row r="20" spans="2:38" x14ac:dyDescent="0.25">
      <c r="B20" s="16" t="s">
        <v>24</v>
      </c>
      <c r="C20" s="17">
        <f t="shared" ref="C20:AL20" si="4">SUM(C14:C18)</f>
        <v>1240000</v>
      </c>
      <c r="D20" s="17">
        <f t="shared" si="4"/>
        <v>490000</v>
      </c>
      <c r="E20" s="17">
        <f t="shared" si="4"/>
        <v>70561.333333333139</v>
      </c>
      <c r="F20" s="17">
        <f>SUM(F14:F18)</f>
        <v>-48027.333333333721</v>
      </c>
      <c r="G20" s="17">
        <f t="shared" si="4"/>
        <v>144101.87999999942</v>
      </c>
      <c r="H20" s="17">
        <f t="shared" si="4"/>
        <v>288179.33133333386</v>
      </c>
      <c r="I20" s="17">
        <f t="shared" si="4"/>
        <v>779831.19446666795</v>
      </c>
      <c r="J20" s="17">
        <f t="shared" si="4"/>
        <v>1462648.9840900027</v>
      </c>
      <c r="K20" s="17">
        <f t="shared" si="4"/>
        <v>2346190.9965278385</v>
      </c>
      <c r="L20" s="17">
        <f t="shared" si="4"/>
        <v>3356189.269338808</v>
      </c>
      <c r="M20" s="17">
        <f t="shared" si="4"/>
        <v>4496437.4903341066</v>
      </c>
      <c r="N20" s="17">
        <f t="shared" si="4"/>
        <v>5770843.1579592638</v>
      </c>
      <c r="O20" s="17">
        <f t="shared" si="4"/>
        <v>7183430.9956131764</v>
      </c>
      <c r="P20" s="17">
        <f t="shared" si="4"/>
        <v>8617644.7116436288</v>
      </c>
      <c r="Q20" s="17">
        <f t="shared" si="4"/>
        <v>10073700.564834386</v>
      </c>
      <c r="R20" s="17">
        <f t="shared" si="4"/>
        <v>11551816.97655705</v>
      </c>
      <c r="S20" s="17">
        <f t="shared" si="4"/>
        <v>13052214.55239694</v>
      </c>
      <c r="T20" s="17">
        <f t="shared" si="4"/>
        <v>14575116.10399523</v>
      </c>
      <c r="U20" s="17">
        <f t="shared" si="4"/>
        <v>16120746.671109501</v>
      </c>
      <c r="V20" s="17">
        <f t="shared" si="4"/>
        <v>17689333.543894917</v>
      </c>
      <c r="W20" s="17">
        <f t="shared" si="4"/>
        <v>19281106.285408188</v>
      </c>
      <c r="X20" s="17">
        <f t="shared" si="4"/>
        <v>20896296.754336588</v>
      </c>
      <c r="Y20" s="17">
        <f t="shared" si="4"/>
        <v>22535139.127954274</v>
      </c>
      <c r="Z20" s="17">
        <f t="shared" si="4"/>
        <v>24197869.925308138</v>
      </c>
      <c r="AA20" s="17">
        <f t="shared" si="4"/>
        <v>25884728.030635539</v>
      </c>
      <c r="AB20" s="17">
        <f t="shared" si="4"/>
        <v>27595954.717016216</v>
      </c>
      <c r="AC20" s="17">
        <f t="shared" si="4"/>
        <v>29331793.670260698</v>
      </c>
      <c r="AD20" s="17">
        <f t="shared" si="4"/>
        <v>31092491.013037626</v>
      </c>
      <c r="AE20" s="17">
        <f t="shared" si="4"/>
        <v>32878295.329242319</v>
      </c>
      <c r="AF20" s="17">
        <f t="shared" si="4"/>
        <v>34689457.688609064</v>
      </c>
      <c r="AG20" s="17">
        <f t="shared" si="4"/>
        <v>36526231.671569474</v>
      </c>
      <c r="AH20" s="17">
        <f t="shared" si="4"/>
        <v>38388873.394359492</v>
      </c>
      <c r="AI20" s="17">
        <f t="shared" si="4"/>
        <v>40277641.534377411</v>
      </c>
      <c r="AJ20" s="17">
        <f t="shared" si="4"/>
        <v>42192797.355795503</v>
      </c>
      <c r="AK20" s="17">
        <f t="shared" si="4"/>
        <v>44134604.735427782</v>
      </c>
      <c r="AL20" s="17">
        <f t="shared" si="4"/>
        <v>46103330.188856378</v>
      </c>
    </row>
    <row r="21" spans="2:38" x14ac:dyDescent="0.25">
      <c r="B21" s="2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ht="18" x14ac:dyDescent="0.25">
      <c r="B22" s="1" t="s">
        <v>25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x14ac:dyDescent="0.25">
      <c r="B23" s="2" t="s">
        <v>26</v>
      </c>
      <c r="C23" s="20">
        <f>C16</f>
        <v>10000000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x14ac:dyDescent="0.25">
      <c r="B24" s="2" t="s">
        <v>27</v>
      </c>
      <c r="C24" s="20"/>
      <c r="D24" s="20">
        <f t="shared" ref="D24:AL24" si="5">D19</f>
        <v>0</v>
      </c>
      <c r="E24" s="20">
        <f t="shared" si="5"/>
        <v>0</v>
      </c>
      <c r="F24" s="20">
        <f t="shared" si="5"/>
        <v>0</v>
      </c>
      <c r="G24" s="20">
        <f t="shared" si="5"/>
        <v>-231392.93333333317</v>
      </c>
      <c r="H24" s="20">
        <f t="shared" si="5"/>
        <v>-441987.93333333317</v>
      </c>
      <c r="I24" s="20">
        <f t="shared" si="5"/>
        <v>-659490.44933333318</v>
      </c>
      <c r="J24" s="20">
        <f t="shared" si="5"/>
        <v>-625854.21593333408</v>
      </c>
      <c r="K24" s="20">
        <f t="shared" si="5"/>
        <v>-869156.30419333384</v>
      </c>
      <c r="L24" s="20">
        <f t="shared" si="5"/>
        <v>-1002972.4527363343</v>
      </c>
      <c r="M24" s="20">
        <f t="shared" si="5"/>
        <v>-1143479.4087064848</v>
      </c>
      <c r="N24" s="20">
        <f t="shared" si="5"/>
        <v>-1231998.7909676787</v>
      </c>
      <c r="O24" s="20">
        <f t="shared" si="5"/>
        <v>-1323173.7546967086</v>
      </c>
      <c r="P24" s="20">
        <f t="shared" si="5"/>
        <v>-1417083.9673376095</v>
      </c>
      <c r="Q24" s="20">
        <f t="shared" si="5"/>
        <v>-1513811.4863577387</v>
      </c>
      <c r="R24" s="20">
        <f t="shared" si="5"/>
        <v>-1092106.858015226</v>
      </c>
      <c r="S24" s="20">
        <f t="shared" si="5"/>
        <v>-1103027.9265953782</v>
      </c>
      <c r="T24" s="20">
        <f t="shared" si="5"/>
        <v>-1114058.2058613319</v>
      </c>
      <c r="U24" s="20">
        <f t="shared" si="5"/>
        <v>-1125198.7879199453</v>
      </c>
      <c r="V24" s="20">
        <f t="shared" si="5"/>
        <v>-1136450.7757991448</v>
      </c>
      <c r="W24" s="20">
        <f t="shared" si="5"/>
        <v>-1147815.2835571363</v>
      </c>
      <c r="X24" s="20">
        <f t="shared" si="5"/>
        <v>-1159293.4363927078</v>
      </c>
      <c r="Y24" s="20">
        <f t="shared" si="5"/>
        <v>-1170886.3707566347</v>
      </c>
      <c r="Z24" s="20">
        <f t="shared" si="5"/>
        <v>-1182595.2344642011</v>
      </c>
      <c r="AA24" s="20">
        <f t="shared" si="5"/>
        <v>-1194421.1868088432</v>
      </c>
      <c r="AB24" s="20">
        <f t="shared" si="5"/>
        <v>-1206365.3986769316</v>
      </c>
      <c r="AC24" s="20">
        <f t="shared" si="5"/>
        <v>-1218429.0526637009</v>
      </c>
      <c r="AD24" s="20">
        <f t="shared" si="5"/>
        <v>-1230613.343190338</v>
      </c>
      <c r="AE24" s="20">
        <f t="shared" si="5"/>
        <v>-1242919.4766222413</v>
      </c>
      <c r="AF24" s="20">
        <f t="shared" si="5"/>
        <v>-1255348.6713884638</v>
      </c>
      <c r="AG24" s="20">
        <f t="shared" si="5"/>
        <v>-1267902.1581023484</v>
      </c>
      <c r="AH24" s="20">
        <f t="shared" si="5"/>
        <v>-1280581.1796833719</v>
      </c>
      <c r="AI24" s="20">
        <f t="shared" si="5"/>
        <v>-1293386.9914802057</v>
      </c>
      <c r="AJ24" s="20">
        <f t="shared" si="5"/>
        <v>-1306320.8613950077</v>
      </c>
      <c r="AK24" s="20">
        <f t="shared" si="5"/>
        <v>-1319384.0700089578</v>
      </c>
      <c r="AL24" s="20">
        <f t="shared" si="5"/>
        <v>-1332577.9107090475</v>
      </c>
    </row>
    <row r="25" spans="2:38" x14ac:dyDescent="0.25">
      <c r="B25" s="2" t="s">
        <v>28</v>
      </c>
      <c r="C25" s="20"/>
      <c r="D25" s="20"/>
      <c r="E25" s="20">
        <f t="shared" ref="E25:AL25" si="6">D25-E24</f>
        <v>0</v>
      </c>
      <c r="F25" s="20">
        <f t="shared" si="6"/>
        <v>0</v>
      </c>
      <c r="G25" s="20">
        <f t="shared" si="6"/>
        <v>231392.93333333317</v>
      </c>
      <c r="H25" s="20">
        <f t="shared" si="6"/>
        <v>673380.86666666635</v>
      </c>
      <c r="I25" s="20">
        <f t="shared" si="6"/>
        <v>1332871.3159999996</v>
      </c>
      <c r="J25" s="20">
        <f t="shared" si="6"/>
        <v>1958725.5319333337</v>
      </c>
      <c r="K25" s="20">
        <f t="shared" si="6"/>
        <v>2827881.8361266674</v>
      </c>
      <c r="L25" s="20">
        <f t="shared" si="6"/>
        <v>3830854.2888630019</v>
      </c>
      <c r="M25" s="20">
        <f t="shared" si="6"/>
        <v>4974333.6975694867</v>
      </c>
      <c r="N25" s="20">
        <f t="shared" si="6"/>
        <v>6206332.4885371653</v>
      </c>
      <c r="O25" s="20">
        <f t="shared" si="6"/>
        <v>7529506.2432338744</v>
      </c>
      <c r="P25" s="20">
        <f t="shared" si="6"/>
        <v>8946590.2105714846</v>
      </c>
      <c r="Q25" s="20">
        <f t="shared" si="6"/>
        <v>10460401.696929224</v>
      </c>
      <c r="R25" s="20">
        <f t="shared" si="6"/>
        <v>11552508.55494445</v>
      </c>
      <c r="S25" s="20">
        <f t="shared" si="6"/>
        <v>12655536.481539829</v>
      </c>
      <c r="T25" s="20">
        <f t="shared" si="6"/>
        <v>13769594.687401161</v>
      </c>
      <c r="U25" s="20">
        <f t="shared" si="6"/>
        <v>14894793.475321107</v>
      </c>
      <c r="V25" s="20">
        <f t="shared" si="6"/>
        <v>16031244.251120251</v>
      </c>
      <c r="W25" s="20">
        <f t="shared" si="6"/>
        <v>17179059.534677386</v>
      </c>
      <c r="X25" s="20">
        <f t="shared" si="6"/>
        <v>18338352.971070096</v>
      </c>
      <c r="Y25" s="20">
        <f t="shared" si="6"/>
        <v>19509239.341826729</v>
      </c>
      <c r="Z25" s="20">
        <f t="shared" si="6"/>
        <v>20691834.576290932</v>
      </c>
      <c r="AA25" s="20">
        <f t="shared" si="6"/>
        <v>21886255.763099775</v>
      </c>
      <c r="AB25" s="20">
        <f t="shared" si="6"/>
        <v>23092621.161776707</v>
      </c>
      <c r="AC25" s="20">
        <f t="shared" si="6"/>
        <v>24311050.214440409</v>
      </c>
      <c r="AD25" s="20">
        <f t="shared" si="6"/>
        <v>25541663.557630748</v>
      </c>
      <c r="AE25" s="20">
        <f t="shared" si="6"/>
        <v>26784583.03425299</v>
      </c>
      <c r="AF25" s="20">
        <f t="shared" si="6"/>
        <v>28039931.705641452</v>
      </c>
      <c r="AG25" s="20">
        <f t="shared" si="6"/>
        <v>29307833.863743801</v>
      </c>
      <c r="AH25" s="20">
        <f t="shared" si="6"/>
        <v>30588415.043427173</v>
      </c>
      <c r="AI25" s="20">
        <f t="shared" si="6"/>
        <v>31881802.034907378</v>
      </c>
      <c r="AJ25" s="20">
        <f t="shared" si="6"/>
        <v>33188122.896302387</v>
      </c>
      <c r="AK25" s="20">
        <f t="shared" si="6"/>
        <v>34507506.966311343</v>
      </c>
      <c r="AL25" s="20">
        <f t="shared" si="6"/>
        <v>35840084.877020389</v>
      </c>
    </row>
    <row r="26" spans="2:38" x14ac:dyDescent="0.25">
      <c r="B26" s="2" t="s">
        <v>29</v>
      </c>
      <c r="C26" s="20"/>
      <c r="D26" s="20"/>
      <c r="E26" s="20" t="str">
        <f t="shared" ref="E26:AL26" si="7">IF(E25&gt;$C$23,E13,"")</f>
        <v/>
      </c>
      <c r="F26" s="20" t="str">
        <f t="shared" si="7"/>
        <v/>
      </c>
      <c r="G26" s="20" t="str">
        <f t="shared" si="7"/>
        <v/>
      </c>
      <c r="H26" s="20" t="str">
        <f t="shared" si="7"/>
        <v/>
      </c>
      <c r="I26" s="20" t="str">
        <f t="shared" si="7"/>
        <v/>
      </c>
      <c r="J26" s="20" t="str">
        <f t="shared" si="7"/>
        <v/>
      </c>
      <c r="K26" s="20" t="str">
        <f t="shared" si="7"/>
        <v/>
      </c>
      <c r="L26" s="20" t="str">
        <f t="shared" si="7"/>
        <v/>
      </c>
      <c r="M26" s="20" t="str">
        <f t="shared" si="7"/>
        <v/>
      </c>
      <c r="N26" s="20" t="str">
        <f t="shared" si="7"/>
        <v/>
      </c>
      <c r="O26" s="20" t="str">
        <f>IF(O25&gt;$C$23,O13,"")</f>
        <v/>
      </c>
      <c r="P26" s="20" t="str">
        <f t="shared" si="7"/>
        <v/>
      </c>
      <c r="Q26" s="20">
        <f t="shared" si="7"/>
        <v>15</v>
      </c>
      <c r="R26" s="20">
        <f t="shared" si="7"/>
        <v>16</v>
      </c>
      <c r="S26" s="20">
        <f t="shared" si="7"/>
        <v>17</v>
      </c>
      <c r="T26" s="20">
        <f t="shared" si="7"/>
        <v>18</v>
      </c>
      <c r="U26" s="20">
        <f t="shared" si="7"/>
        <v>19</v>
      </c>
      <c r="V26" s="20">
        <f t="shared" si="7"/>
        <v>20</v>
      </c>
      <c r="W26" s="20">
        <f t="shared" si="7"/>
        <v>21</v>
      </c>
      <c r="X26" s="20">
        <f t="shared" si="7"/>
        <v>22</v>
      </c>
      <c r="Y26" s="20">
        <f t="shared" si="7"/>
        <v>23</v>
      </c>
      <c r="Z26" s="20">
        <f t="shared" si="7"/>
        <v>24</v>
      </c>
      <c r="AA26" s="20">
        <f t="shared" si="7"/>
        <v>25</v>
      </c>
      <c r="AB26" s="20">
        <f t="shared" si="7"/>
        <v>26</v>
      </c>
      <c r="AC26" s="20">
        <f t="shared" si="7"/>
        <v>27</v>
      </c>
      <c r="AD26" s="20">
        <f t="shared" si="7"/>
        <v>28</v>
      </c>
      <c r="AE26" s="20">
        <f t="shared" si="7"/>
        <v>29</v>
      </c>
      <c r="AF26" s="20">
        <f t="shared" si="7"/>
        <v>30</v>
      </c>
      <c r="AG26" s="20">
        <f t="shared" si="7"/>
        <v>31</v>
      </c>
      <c r="AH26" s="20">
        <f t="shared" si="7"/>
        <v>32</v>
      </c>
      <c r="AI26" s="20">
        <f t="shared" si="7"/>
        <v>33</v>
      </c>
      <c r="AJ26" s="20">
        <f t="shared" si="7"/>
        <v>34</v>
      </c>
      <c r="AK26" s="20">
        <f t="shared" si="7"/>
        <v>35</v>
      </c>
      <c r="AL26" s="20">
        <f t="shared" si="7"/>
        <v>36</v>
      </c>
    </row>
    <row r="28" spans="2:38" x14ac:dyDescent="0.25">
      <c r="B28" s="21" t="s">
        <v>30</v>
      </c>
    </row>
    <row r="29" spans="2:38" x14ac:dyDescent="0.25">
      <c r="B29" s="22" t="s">
        <v>31</v>
      </c>
    </row>
    <row r="30" spans="2:38" x14ac:dyDescent="0.25">
      <c r="B30" s="22" t="s">
        <v>32</v>
      </c>
    </row>
    <row r="31" spans="2:38" x14ac:dyDescent="0.25">
      <c r="B31" s="23" t="s">
        <v>33</v>
      </c>
    </row>
    <row r="32" spans="2:38" x14ac:dyDescent="0.25">
      <c r="B32" s="22"/>
    </row>
    <row r="33" spans="2:20" x14ac:dyDescent="0.25">
      <c r="B33" s="24" t="s">
        <v>34</v>
      </c>
    </row>
    <row r="34" spans="2:20" x14ac:dyDescent="0.25">
      <c r="B34" s="22" t="s">
        <v>35</v>
      </c>
    </row>
    <row r="38" spans="2:20" ht="18" x14ac:dyDescent="0.25">
      <c r="B38" s="25"/>
      <c r="C38" s="25"/>
      <c r="D38" s="25"/>
      <c r="E38" s="25"/>
      <c r="F38" s="25"/>
      <c r="G38" s="26"/>
      <c r="H38" s="25"/>
      <c r="I38" s="27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2:20" x14ac:dyDescent="0.25">
      <c r="B39" s="25"/>
      <c r="C39" s="25"/>
      <c r="D39" s="25"/>
      <c r="E39" s="25"/>
      <c r="F39" s="25"/>
      <c r="G39" s="26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2:20" x14ac:dyDescent="0.25">
      <c r="B40" s="25"/>
      <c r="C40" s="25"/>
      <c r="D40" s="25"/>
      <c r="E40" s="25"/>
      <c r="F40" s="25"/>
      <c r="G40" s="26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2:20" x14ac:dyDescent="0.25">
      <c r="B41" s="28"/>
      <c r="C41" s="28"/>
      <c r="D41" s="28"/>
      <c r="E41" s="28"/>
      <c r="F41" s="28"/>
      <c r="G41" s="26"/>
      <c r="H41" s="29" t="s">
        <v>17</v>
      </c>
      <c r="I41" s="30">
        <v>1</v>
      </c>
      <c r="J41" s="31">
        <v>2</v>
      </c>
      <c r="K41" s="31">
        <v>3</v>
      </c>
      <c r="L41" s="31">
        <v>4</v>
      </c>
      <c r="M41" s="31">
        <v>5</v>
      </c>
      <c r="N41" s="31">
        <v>6</v>
      </c>
      <c r="O41" s="31">
        <v>7</v>
      </c>
      <c r="P41" s="31">
        <v>8</v>
      </c>
      <c r="Q41" s="31">
        <v>9</v>
      </c>
      <c r="R41" s="31">
        <v>10</v>
      </c>
      <c r="S41" s="31">
        <v>11</v>
      </c>
      <c r="T41" s="31">
        <v>12</v>
      </c>
    </row>
    <row r="42" spans="2:20" x14ac:dyDescent="0.25">
      <c r="B42" s="56"/>
      <c r="C42" s="56"/>
      <c r="D42" s="56"/>
      <c r="E42" s="56"/>
      <c r="F42" s="56"/>
      <c r="G42" s="26"/>
      <c r="H42" s="4"/>
      <c r="I42" s="4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</row>
    <row r="43" spans="2:20" x14ac:dyDescent="0.25">
      <c r="B43" s="33" t="s">
        <v>36</v>
      </c>
      <c r="C43" s="34"/>
      <c r="D43" s="34"/>
      <c r="E43" s="33"/>
      <c r="F43" s="4"/>
      <c r="G43" s="26"/>
      <c r="H43" s="35" t="s">
        <v>37</v>
      </c>
      <c r="I43" s="36">
        <f t="shared" ref="I43:T43" si="8">I45</f>
        <v>0</v>
      </c>
      <c r="J43" s="36">
        <f t="shared" si="8"/>
        <v>601700</v>
      </c>
      <c r="K43" s="36">
        <f t="shared" si="8"/>
        <v>661870</v>
      </c>
      <c r="L43" s="36">
        <f t="shared" si="8"/>
        <v>728057</v>
      </c>
      <c r="M43" s="36">
        <f t="shared" si="8"/>
        <v>800862.70000000019</v>
      </c>
      <c r="N43" s="36">
        <f t="shared" si="8"/>
        <v>880948.9700000002</v>
      </c>
      <c r="O43" s="36">
        <f t="shared" si="8"/>
        <v>924996.41850000038</v>
      </c>
      <c r="P43" s="36">
        <f t="shared" si="8"/>
        <v>971246.2394250005</v>
      </c>
      <c r="Q43" s="36">
        <f t="shared" si="8"/>
        <v>1000383.6266077503</v>
      </c>
      <c r="R43" s="36">
        <f t="shared" si="8"/>
        <v>1030395.1354059827</v>
      </c>
      <c r="S43" s="36">
        <f t="shared" si="8"/>
        <v>1061306.9894681619</v>
      </c>
      <c r="T43" s="36">
        <f t="shared" si="8"/>
        <v>1093146.1991522072</v>
      </c>
    </row>
    <row r="44" spans="2:20" x14ac:dyDescent="0.25">
      <c r="B44" s="56"/>
      <c r="C44" s="56"/>
      <c r="D44" s="56"/>
      <c r="E44" s="56"/>
      <c r="F44" s="56"/>
      <c r="G44" s="26"/>
      <c r="H44" s="4"/>
      <c r="I44" s="4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 spans="2:20" x14ac:dyDescent="0.25">
      <c r="B45" s="4" t="s">
        <v>38</v>
      </c>
      <c r="C45" s="4"/>
      <c r="D45" s="4"/>
      <c r="E45" s="12">
        <f>(T63+T75+T76)/E50</f>
        <v>660628.63162142481</v>
      </c>
      <c r="F45" s="9"/>
      <c r="G45" s="26"/>
      <c r="H45" s="4" t="s">
        <v>39</v>
      </c>
      <c r="I45" s="9"/>
      <c r="J45" s="12">
        <f t="shared" ref="J45:T45" si="9">J46*J47</f>
        <v>601700</v>
      </c>
      <c r="K45" s="12">
        <f t="shared" si="9"/>
        <v>661870</v>
      </c>
      <c r="L45" s="12">
        <f t="shared" si="9"/>
        <v>728057</v>
      </c>
      <c r="M45" s="12">
        <f t="shared" si="9"/>
        <v>800862.70000000019</v>
      </c>
      <c r="N45" s="12">
        <f t="shared" si="9"/>
        <v>880948.9700000002</v>
      </c>
      <c r="O45" s="12">
        <f t="shared" si="9"/>
        <v>924996.41850000038</v>
      </c>
      <c r="P45" s="12">
        <f t="shared" si="9"/>
        <v>971246.2394250005</v>
      </c>
      <c r="Q45" s="12">
        <f t="shared" si="9"/>
        <v>1000383.6266077503</v>
      </c>
      <c r="R45" s="12">
        <f t="shared" si="9"/>
        <v>1030395.1354059827</v>
      </c>
      <c r="S45" s="12">
        <f t="shared" si="9"/>
        <v>1061306.9894681619</v>
      </c>
      <c r="T45" s="12">
        <f t="shared" si="9"/>
        <v>1093146.1991522072</v>
      </c>
    </row>
    <row r="46" spans="2:20" x14ac:dyDescent="0.25">
      <c r="B46" s="38" t="s">
        <v>40</v>
      </c>
      <c r="C46" s="38"/>
      <c r="D46" s="38"/>
      <c r="E46" s="39">
        <f>E45/T46</f>
        <v>30028.574164610218</v>
      </c>
      <c r="F46" s="9"/>
      <c r="G46" s="26"/>
      <c r="H46" s="40" t="s">
        <v>41</v>
      </c>
      <c r="I46" s="5"/>
      <c r="J46" s="39">
        <v>22</v>
      </c>
      <c r="K46" s="39">
        <f t="shared" ref="K46:T46" si="10">J46</f>
        <v>22</v>
      </c>
      <c r="L46" s="39">
        <f t="shared" si="10"/>
        <v>22</v>
      </c>
      <c r="M46" s="39">
        <f t="shared" si="10"/>
        <v>22</v>
      </c>
      <c r="N46" s="39">
        <f t="shared" si="10"/>
        <v>22</v>
      </c>
      <c r="O46" s="39">
        <f t="shared" si="10"/>
        <v>22</v>
      </c>
      <c r="P46" s="39">
        <f t="shared" si="10"/>
        <v>22</v>
      </c>
      <c r="Q46" s="39">
        <f t="shared" si="10"/>
        <v>22</v>
      </c>
      <c r="R46" s="39">
        <f t="shared" si="10"/>
        <v>22</v>
      </c>
      <c r="S46" s="39">
        <f t="shared" si="10"/>
        <v>22</v>
      </c>
      <c r="T46" s="39">
        <f t="shared" si="10"/>
        <v>22</v>
      </c>
    </row>
    <row r="47" spans="2:20" x14ac:dyDescent="0.25">
      <c r="B47" s="38"/>
      <c r="C47" s="38"/>
      <c r="D47" s="38"/>
      <c r="E47" s="38"/>
      <c r="F47" s="56"/>
      <c r="G47" s="26"/>
      <c r="H47" s="40" t="s">
        <v>42</v>
      </c>
      <c r="I47" s="5"/>
      <c r="J47" s="39">
        <f t="shared" ref="J47:T47" si="11">SUMPRODUCT($G$51:$G$58,J51:J58)</f>
        <v>27350</v>
      </c>
      <c r="K47" s="39">
        <f t="shared" si="11"/>
        <v>30085</v>
      </c>
      <c r="L47" s="39">
        <f t="shared" si="11"/>
        <v>33093.5</v>
      </c>
      <c r="M47" s="39">
        <f t="shared" si="11"/>
        <v>36402.850000000006</v>
      </c>
      <c r="N47" s="39">
        <f t="shared" si="11"/>
        <v>40043.135000000009</v>
      </c>
      <c r="O47" s="39">
        <f t="shared" si="11"/>
        <v>42045.291750000019</v>
      </c>
      <c r="P47" s="39">
        <f t="shared" si="11"/>
        <v>44147.55633750002</v>
      </c>
      <c r="Q47" s="39">
        <f t="shared" si="11"/>
        <v>45471.983027625014</v>
      </c>
      <c r="R47" s="39">
        <f t="shared" si="11"/>
        <v>46836.142518453758</v>
      </c>
      <c r="S47" s="39">
        <f t="shared" si="11"/>
        <v>48241.226794007365</v>
      </c>
      <c r="T47" s="39">
        <f t="shared" si="11"/>
        <v>49688.463597827606</v>
      </c>
    </row>
    <row r="48" spans="2:20" ht="25.5" x14ac:dyDescent="0.25">
      <c r="B48" s="38"/>
      <c r="C48" s="38"/>
      <c r="D48" s="38"/>
      <c r="E48" s="38"/>
      <c r="F48" s="56"/>
      <c r="G48" s="26"/>
      <c r="H48" s="5" t="s">
        <v>43</v>
      </c>
      <c r="I48" s="5"/>
      <c r="J48" s="12">
        <f t="shared" ref="J48:T48" si="12">J47/220</f>
        <v>124.31818181818181</v>
      </c>
      <c r="K48" s="12">
        <f t="shared" si="12"/>
        <v>136.75</v>
      </c>
      <c r="L48" s="12">
        <f t="shared" si="12"/>
        <v>150.42500000000001</v>
      </c>
      <c r="M48" s="12">
        <f t="shared" si="12"/>
        <v>165.46750000000003</v>
      </c>
      <c r="N48" s="12">
        <f t="shared" si="12"/>
        <v>182.01425000000003</v>
      </c>
      <c r="O48" s="12">
        <f t="shared" si="12"/>
        <v>191.11496250000008</v>
      </c>
      <c r="P48" s="12">
        <f t="shared" si="12"/>
        <v>200.67071062500008</v>
      </c>
      <c r="Q48" s="12">
        <f t="shared" si="12"/>
        <v>206.69083194375006</v>
      </c>
      <c r="R48" s="12">
        <f t="shared" si="12"/>
        <v>212.89155690206255</v>
      </c>
      <c r="S48" s="12">
        <f t="shared" si="12"/>
        <v>219.27830360912438</v>
      </c>
      <c r="T48" s="12">
        <f t="shared" si="12"/>
        <v>225.85665271739822</v>
      </c>
    </row>
    <row r="49" spans="2:20" x14ac:dyDescent="0.25">
      <c r="B49" s="38"/>
      <c r="C49" s="38"/>
      <c r="D49" s="38"/>
      <c r="E49" s="38"/>
      <c r="F49" s="56"/>
      <c r="G49" s="41">
        <v>0.1</v>
      </c>
      <c r="H49" s="42" t="s">
        <v>44</v>
      </c>
      <c r="I49" s="56"/>
      <c r="J49" s="56"/>
      <c r="K49" s="43">
        <f>G49</f>
        <v>0.1</v>
      </c>
      <c r="L49" s="43">
        <f>K49</f>
        <v>0.1</v>
      </c>
      <c r="M49" s="43">
        <f>L49</f>
        <v>0.1</v>
      </c>
      <c r="N49" s="43">
        <f>M49</f>
        <v>0.1</v>
      </c>
      <c r="O49" s="43">
        <v>0.05</v>
      </c>
      <c r="P49" s="43">
        <f>O49</f>
        <v>0.05</v>
      </c>
      <c r="Q49" s="43">
        <v>0.03</v>
      </c>
      <c r="R49" s="43">
        <f>Q49</f>
        <v>0.03</v>
      </c>
      <c r="S49" s="43">
        <f>R49</f>
        <v>0.03</v>
      </c>
      <c r="T49" s="43">
        <f>S49</f>
        <v>0.03</v>
      </c>
    </row>
    <row r="50" spans="2:20" x14ac:dyDescent="0.25">
      <c r="B50" s="38" t="s">
        <v>45</v>
      </c>
      <c r="C50" s="38"/>
      <c r="D50" s="38"/>
      <c r="E50" s="44">
        <f>T61/T45</f>
        <v>0.5</v>
      </c>
      <c r="F50" s="45"/>
      <c r="G50" s="46" t="s">
        <v>46</v>
      </c>
      <c r="H50" s="5" t="s">
        <v>47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2:20" x14ac:dyDescent="0.25">
      <c r="B51" s="38"/>
      <c r="C51" s="38"/>
      <c r="D51" s="38"/>
      <c r="E51" s="38"/>
      <c r="F51" s="9"/>
      <c r="G51" s="47">
        <v>100</v>
      </c>
      <c r="H51" s="49" t="s">
        <v>48</v>
      </c>
      <c r="I51" s="56"/>
      <c r="J51" s="47">
        <v>50</v>
      </c>
      <c r="K51" s="9">
        <f t="shared" ref="K51:T51" si="13">J51*(100%+K$49)</f>
        <v>55.000000000000007</v>
      </c>
      <c r="L51" s="9">
        <f t="shared" si="13"/>
        <v>60.500000000000014</v>
      </c>
      <c r="M51" s="9">
        <f t="shared" si="13"/>
        <v>66.550000000000026</v>
      </c>
      <c r="N51" s="9">
        <f t="shared" si="13"/>
        <v>73.205000000000041</v>
      </c>
      <c r="O51" s="9">
        <f t="shared" si="13"/>
        <v>76.865250000000046</v>
      </c>
      <c r="P51" s="9">
        <f t="shared" si="13"/>
        <v>80.708512500000055</v>
      </c>
      <c r="Q51" s="9">
        <f t="shared" si="13"/>
        <v>83.129767875000056</v>
      </c>
      <c r="R51" s="9">
        <f t="shared" si="13"/>
        <v>85.623660911250056</v>
      </c>
      <c r="S51" s="9">
        <f t="shared" si="13"/>
        <v>88.192370738587556</v>
      </c>
      <c r="T51" s="9">
        <f t="shared" si="13"/>
        <v>90.838141860745182</v>
      </c>
    </row>
    <row r="52" spans="2:20" x14ac:dyDescent="0.25">
      <c r="B52" s="38" t="s">
        <v>49</v>
      </c>
      <c r="C52" s="38"/>
      <c r="D52" s="38"/>
      <c r="E52" s="39">
        <f>E78</f>
        <v>801000</v>
      </c>
      <c r="F52" s="56"/>
      <c r="G52" s="47">
        <v>180</v>
      </c>
      <c r="H52" s="49" t="s">
        <v>50</v>
      </c>
      <c r="I52" s="56"/>
      <c r="J52" s="47">
        <v>70</v>
      </c>
      <c r="K52" s="9">
        <f t="shared" ref="K52:T52" si="14">J52*(100%+K$49)</f>
        <v>77</v>
      </c>
      <c r="L52" s="9">
        <f t="shared" si="14"/>
        <v>84.7</v>
      </c>
      <c r="M52" s="9">
        <f t="shared" si="14"/>
        <v>93.170000000000016</v>
      </c>
      <c r="N52" s="9">
        <f t="shared" si="14"/>
        <v>102.48700000000002</v>
      </c>
      <c r="O52" s="9">
        <f t="shared" si="14"/>
        <v>107.61135000000003</v>
      </c>
      <c r="P52" s="9">
        <f t="shared" si="14"/>
        <v>112.99191750000004</v>
      </c>
      <c r="Q52" s="9">
        <f t="shared" si="14"/>
        <v>116.38167502500005</v>
      </c>
      <c r="R52" s="9">
        <f t="shared" si="14"/>
        <v>119.87312527575006</v>
      </c>
      <c r="S52" s="9">
        <f t="shared" si="14"/>
        <v>123.46931903402256</v>
      </c>
      <c r="T52" s="9">
        <f t="shared" si="14"/>
        <v>127.17339860504325</v>
      </c>
    </row>
    <row r="53" spans="2:20" x14ac:dyDescent="0.25">
      <c r="B53" s="38" t="s">
        <v>51</v>
      </c>
      <c r="C53" s="38"/>
      <c r="D53" s="38"/>
      <c r="E53" s="38">
        <f>MIN(I82:T82)</f>
        <v>9</v>
      </c>
      <c r="F53" s="56"/>
      <c r="G53" s="47">
        <v>120</v>
      </c>
      <c r="H53" s="49" t="s">
        <v>52</v>
      </c>
      <c r="I53" s="56"/>
      <c r="J53" s="47">
        <v>5</v>
      </c>
      <c r="K53" s="9">
        <f t="shared" ref="K53:T53" si="15">J53*(100%+K$49)</f>
        <v>5.5</v>
      </c>
      <c r="L53" s="9">
        <f t="shared" si="15"/>
        <v>6.0500000000000007</v>
      </c>
      <c r="M53" s="9">
        <f t="shared" si="15"/>
        <v>6.6550000000000011</v>
      </c>
      <c r="N53" s="9">
        <f t="shared" si="15"/>
        <v>7.3205000000000018</v>
      </c>
      <c r="O53" s="9">
        <f t="shared" si="15"/>
        <v>7.6865250000000023</v>
      </c>
      <c r="P53" s="9">
        <f t="shared" si="15"/>
        <v>8.0708512500000023</v>
      </c>
      <c r="Q53" s="9">
        <f t="shared" si="15"/>
        <v>8.312976787500002</v>
      </c>
      <c r="R53" s="9">
        <f t="shared" si="15"/>
        <v>8.5623660911250017</v>
      </c>
      <c r="S53" s="9">
        <f t="shared" si="15"/>
        <v>8.8192370738587513</v>
      </c>
      <c r="T53" s="9">
        <f t="shared" si="15"/>
        <v>9.0838141860745143</v>
      </c>
    </row>
    <row r="54" spans="2:20" x14ac:dyDescent="0.25">
      <c r="B54" s="38"/>
      <c r="C54" s="38"/>
      <c r="D54" s="38"/>
      <c r="E54" s="38"/>
      <c r="F54" s="56"/>
      <c r="G54" s="47">
        <v>120</v>
      </c>
      <c r="H54" s="49" t="s">
        <v>53</v>
      </c>
      <c r="I54" s="56"/>
      <c r="J54" s="47">
        <v>5</v>
      </c>
      <c r="K54" s="9">
        <f t="shared" ref="K54:T54" si="16">J54*(100%+K$49)</f>
        <v>5.5</v>
      </c>
      <c r="L54" s="9">
        <f t="shared" si="16"/>
        <v>6.0500000000000007</v>
      </c>
      <c r="M54" s="9">
        <f t="shared" si="16"/>
        <v>6.6550000000000011</v>
      </c>
      <c r="N54" s="9">
        <f t="shared" si="16"/>
        <v>7.3205000000000018</v>
      </c>
      <c r="O54" s="9">
        <f t="shared" si="16"/>
        <v>7.6865250000000023</v>
      </c>
      <c r="P54" s="9">
        <f t="shared" si="16"/>
        <v>8.0708512500000023</v>
      </c>
      <c r="Q54" s="9">
        <f t="shared" si="16"/>
        <v>8.312976787500002</v>
      </c>
      <c r="R54" s="9">
        <f t="shared" si="16"/>
        <v>8.5623660911250017</v>
      </c>
      <c r="S54" s="9">
        <f t="shared" si="16"/>
        <v>8.8192370738587513</v>
      </c>
      <c r="T54" s="9">
        <f t="shared" si="16"/>
        <v>9.0838141860745143</v>
      </c>
    </row>
    <row r="55" spans="2:20" x14ac:dyDescent="0.25">
      <c r="B55" s="38"/>
      <c r="C55" s="38"/>
      <c r="D55" s="38"/>
      <c r="E55" s="38"/>
      <c r="F55" s="56"/>
      <c r="G55" s="47">
        <v>120</v>
      </c>
      <c r="H55" s="49" t="s">
        <v>54</v>
      </c>
      <c r="I55" s="56"/>
      <c r="J55" s="47">
        <v>10</v>
      </c>
      <c r="K55" s="9">
        <f t="shared" ref="K55:T55" si="17">J55*(100%+K$49)</f>
        <v>11</v>
      </c>
      <c r="L55" s="9">
        <f t="shared" si="17"/>
        <v>12.100000000000001</v>
      </c>
      <c r="M55" s="9">
        <f t="shared" si="17"/>
        <v>13.310000000000002</v>
      </c>
      <c r="N55" s="9">
        <f t="shared" si="17"/>
        <v>14.641000000000004</v>
      </c>
      <c r="O55" s="9">
        <f t="shared" si="17"/>
        <v>15.373050000000005</v>
      </c>
      <c r="P55" s="9">
        <f t="shared" si="17"/>
        <v>16.141702500000005</v>
      </c>
      <c r="Q55" s="9">
        <f t="shared" si="17"/>
        <v>16.625953575000004</v>
      </c>
      <c r="R55" s="9">
        <f t="shared" si="17"/>
        <v>17.124732182250003</v>
      </c>
      <c r="S55" s="9">
        <f t="shared" si="17"/>
        <v>17.638474147717503</v>
      </c>
      <c r="T55" s="9">
        <f t="shared" si="17"/>
        <v>18.167628372149029</v>
      </c>
    </row>
    <row r="56" spans="2:20" x14ac:dyDescent="0.25">
      <c r="B56" s="38" t="s">
        <v>55</v>
      </c>
      <c r="C56" s="38"/>
      <c r="D56" s="38"/>
      <c r="E56" s="39">
        <f>SUM(J78:T78)</f>
        <v>1494343.0995613174</v>
      </c>
      <c r="F56" s="48"/>
      <c r="G56" s="47">
        <v>120</v>
      </c>
      <c r="H56" s="49" t="s">
        <v>56</v>
      </c>
      <c r="I56" s="56"/>
      <c r="J56" s="47">
        <v>10</v>
      </c>
      <c r="K56" s="9">
        <f t="shared" ref="K56:T56" si="18">J56*(100%+K$49)</f>
        <v>11</v>
      </c>
      <c r="L56" s="9">
        <f t="shared" si="18"/>
        <v>12.100000000000001</v>
      </c>
      <c r="M56" s="9">
        <f t="shared" si="18"/>
        <v>13.310000000000002</v>
      </c>
      <c r="N56" s="9">
        <f t="shared" si="18"/>
        <v>14.641000000000004</v>
      </c>
      <c r="O56" s="9">
        <f t="shared" si="18"/>
        <v>15.373050000000005</v>
      </c>
      <c r="P56" s="9">
        <f t="shared" si="18"/>
        <v>16.141702500000005</v>
      </c>
      <c r="Q56" s="9">
        <f t="shared" si="18"/>
        <v>16.625953575000004</v>
      </c>
      <c r="R56" s="9">
        <f t="shared" si="18"/>
        <v>17.124732182250003</v>
      </c>
      <c r="S56" s="9">
        <f t="shared" si="18"/>
        <v>17.638474147717503</v>
      </c>
      <c r="T56" s="9">
        <f t="shared" si="18"/>
        <v>18.167628372149029</v>
      </c>
    </row>
    <row r="57" spans="2:20" ht="27" x14ac:dyDescent="0.25">
      <c r="B57" s="38" t="s">
        <v>57</v>
      </c>
      <c r="C57" s="38"/>
      <c r="D57" s="38"/>
      <c r="E57" s="44">
        <f>E56/E52</f>
        <v>1.8655968783537045</v>
      </c>
      <c r="F57" s="9"/>
      <c r="G57" s="47">
        <v>120</v>
      </c>
      <c r="H57" s="49" t="s">
        <v>58</v>
      </c>
      <c r="I57" s="56"/>
      <c r="J57" s="47">
        <v>10</v>
      </c>
      <c r="K57" s="9">
        <f t="shared" ref="K57:T57" si="19">J57*(100%+K$49)</f>
        <v>11</v>
      </c>
      <c r="L57" s="9">
        <f t="shared" si="19"/>
        <v>12.100000000000001</v>
      </c>
      <c r="M57" s="9">
        <f t="shared" si="19"/>
        <v>13.310000000000002</v>
      </c>
      <c r="N57" s="9">
        <f t="shared" si="19"/>
        <v>14.641000000000004</v>
      </c>
      <c r="O57" s="9">
        <f t="shared" si="19"/>
        <v>15.373050000000005</v>
      </c>
      <c r="P57" s="9">
        <f t="shared" si="19"/>
        <v>16.141702500000005</v>
      </c>
      <c r="Q57" s="9">
        <f t="shared" si="19"/>
        <v>16.625953575000004</v>
      </c>
      <c r="R57" s="9">
        <f t="shared" si="19"/>
        <v>17.124732182250003</v>
      </c>
      <c r="S57" s="9">
        <f t="shared" si="19"/>
        <v>17.638474147717503</v>
      </c>
      <c r="T57" s="9">
        <f t="shared" si="19"/>
        <v>18.167628372149029</v>
      </c>
    </row>
    <row r="58" spans="2:20" ht="40.5" x14ac:dyDescent="0.25">
      <c r="B58" s="56"/>
      <c r="C58" s="56"/>
      <c r="D58" s="56"/>
      <c r="E58" s="56"/>
      <c r="F58" s="9"/>
      <c r="G58" s="47">
        <v>990</v>
      </c>
      <c r="H58" s="49" t="s">
        <v>59</v>
      </c>
      <c r="I58" s="56"/>
      <c r="J58" s="47">
        <v>5</v>
      </c>
      <c r="K58" s="9">
        <f>J58*(100%+K$49)</f>
        <v>5.5</v>
      </c>
      <c r="L58" s="9">
        <f t="shared" ref="L58:T58" si="20">K58*(100%+L$49)</f>
        <v>6.0500000000000007</v>
      </c>
      <c r="M58" s="9">
        <f t="shared" si="20"/>
        <v>6.6550000000000011</v>
      </c>
      <c r="N58" s="9">
        <f t="shared" si="20"/>
        <v>7.3205000000000018</v>
      </c>
      <c r="O58" s="9">
        <f t="shared" si="20"/>
        <v>7.6865250000000023</v>
      </c>
      <c r="P58" s="9">
        <f t="shared" si="20"/>
        <v>8.0708512500000023</v>
      </c>
      <c r="Q58" s="9">
        <f t="shared" si="20"/>
        <v>8.312976787500002</v>
      </c>
      <c r="R58" s="9">
        <f t="shared" si="20"/>
        <v>8.5623660911250017</v>
      </c>
      <c r="S58" s="9">
        <f t="shared" si="20"/>
        <v>8.8192370738587513</v>
      </c>
      <c r="T58" s="9">
        <f t="shared" si="20"/>
        <v>9.0838141860745143</v>
      </c>
    </row>
    <row r="59" spans="2:20" ht="38.25" x14ac:dyDescent="0.25">
      <c r="B59" s="33" t="s">
        <v>60</v>
      </c>
      <c r="C59" s="34"/>
      <c r="D59" s="34"/>
      <c r="E59" s="33"/>
      <c r="F59" s="9"/>
      <c r="G59" s="50">
        <v>0.5</v>
      </c>
      <c r="H59" s="5" t="s">
        <v>61</v>
      </c>
      <c r="I59" s="12">
        <f>I45*$G$62</f>
        <v>0</v>
      </c>
      <c r="J59" s="12">
        <f t="shared" ref="J59:T59" si="21">J45*$G$59</f>
        <v>300850</v>
      </c>
      <c r="K59" s="12">
        <f t="shared" si="21"/>
        <v>330935</v>
      </c>
      <c r="L59" s="12">
        <f t="shared" si="21"/>
        <v>364028.5</v>
      </c>
      <c r="M59" s="12">
        <f t="shared" si="21"/>
        <v>400431.35000000009</v>
      </c>
      <c r="N59" s="12">
        <f t="shared" si="21"/>
        <v>440474.4850000001</v>
      </c>
      <c r="O59" s="12">
        <f t="shared" si="21"/>
        <v>462498.20925000019</v>
      </c>
      <c r="P59" s="12">
        <f t="shared" si="21"/>
        <v>485623.11971250025</v>
      </c>
      <c r="Q59" s="12">
        <f t="shared" si="21"/>
        <v>500191.81330387515</v>
      </c>
      <c r="R59" s="12">
        <f t="shared" si="21"/>
        <v>515197.56770299136</v>
      </c>
      <c r="S59" s="12">
        <f t="shared" si="21"/>
        <v>530653.49473408097</v>
      </c>
      <c r="T59" s="12">
        <f t="shared" si="21"/>
        <v>546573.09957610362</v>
      </c>
    </row>
    <row r="60" spans="2:20" x14ac:dyDescent="0.25">
      <c r="B60" s="25"/>
      <c r="C60" s="51" t="s">
        <v>62</v>
      </c>
      <c r="D60" s="51" t="s">
        <v>63</v>
      </c>
      <c r="E60" s="51" t="s">
        <v>64</v>
      </c>
      <c r="F60" s="9"/>
      <c r="G60" s="26"/>
      <c r="H60" s="5"/>
      <c r="I60" s="5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2:20" x14ac:dyDescent="0.25">
      <c r="B61" s="56" t="s">
        <v>65</v>
      </c>
      <c r="C61" s="9" t="s">
        <v>66</v>
      </c>
      <c r="D61" s="52">
        <v>200000</v>
      </c>
      <c r="E61" s="9">
        <v>200000</v>
      </c>
      <c r="F61" s="9"/>
      <c r="G61" s="26"/>
      <c r="H61" s="53" t="s">
        <v>67</v>
      </c>
      <c r="I61" s="54">
        <f t="shared" ref="I61:T61" si="22">I43-I59</f>
        <v>0</v>
      </c>
      <c r="J61" s="55">
        <f t="shared" si="22"/>
        <v>300850</v>
      </c>
      <c r="K61" s="55">
        <f t="shared" si="22"/>
        <v>330935</v>
      </c>
      <c r="L61" s="55">
        <f t="shared" si="22"/>
        <v>364028.5</v>
      </c>
      <c r="M61" s="55">
        <f t="shared" si="22"/>
        <v>400431.35000000009</v>
      </c>
      <c r="N61" s="55">
        <f t="shared" si="22"/>
        <v>440474.4850000001</v>
      </c>
      <c r="O61" s="55">
        <f t="shared" si="22"/>
        <v>462498.20925000019</v>
      </c>
      <c r="P61" s="55">
        <f t="shared" si="22"/>
        <v>485623.11971250025</v>
      </c>
      <c r="Q61" s="55">
        <f t="shared" si="22"/>
        <v>500191.81330387515</v>
      </c>
      <c r="R61" s="55">
        <f t="shared" si="22"/>
        <v>515197.56770299136</v>
      </c>
      <c r="S61" s="55">
        <f t="shared" si="22"/>
        <v>530653.49473408097</v>
      </c>
      <c r="T61" s="55">
        <f t="shared" si="22"/>
        <v>546573.09957610362</v>
      </c>
    </row>
    <row r="62" spans="2:20" x14ac:dyDescent="0.25">
      <c r="B62" s="56" t="s">
        <v>68</v>
      </c>
      <c r="C62" s="52">
        <v>2</v>
      </c>
      <c r="D62" s="52">
        <v>15000</v>
      </c>
      <c r="E62" s="9">
        <f t="shared" ref="E62:E70" si="23">C62*D62</f>
        <v>30000</v>
      </c>
      <c r="F62" s="9"/>
      <c r="G62" s="26"/>
      <c r="H62" s="5"/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2:20" x14ac:dyDescent="0.25">
      <c r="B63" s="56" t="s">
        <v>69</v>
      </c>
      <c r="C63" s="52">
        <v>1</v>
      </c>
      <c r="D63" s="52">
        <v>6000</v>
      </c>
      <c r="E63" s="9">
        <f t="shared" si="23"/>
        <v>6000</v>
      </c>
      <c r="F63" s="9"/>
      <c r="G63" s="26"/>
      <c r="H63" s="4" t="s">
        <v>70</v>
      </c>
      <c r="I63" s="12">
        <f t="shared" ref="I63:T63" si="24">SUM(I64:I72)</f>
        <v>801000</v>
      </c>
      <c r="J63" s="12">
        <f t="shared" si="24"/>
        <v>244627.20000000001</v>
      </c>
      <c r="K63" s="12">
        <f t="shared" si="24"/>
        <v>244627.20000000001</v>
      </c>
      <c r="L63" s="12">
        <f t="shared" si="24"/>
        <v>246648.91200000001</v>
      </c>
      <c r="M63" s="12">
        <f t="shared" si="24"/>
        <v>287856.93819999998</v>
      </c>
      <c r="N63" s="12">
        <f t="shared" si="24"/>
        <v>293142.63202000002</v>
      </c>
      <c r="O63" s="12">
        <f t="shared" si="24"/>
        <v>296049.76362100005</v>
      </c>
      <c r="P63" s="12">
        <f t="shared" si="24"/>
        <v>299102.25180205004</v>
      </c>
      <c r="Q63" s="12">
        <f t="shared" si="24"/>
        <v>301025.31935611152</v>
      </c>
      <c r="R63" s="12">
        <f t="shared" si="24"/>
        <v>303006.07893679489</v>
      </c>
      <c r="S63" s="12">
        <f t="shared" si="24"/>
        <v>305046.26130489865</v>
      </c>
      <c r="T63" s="12">
        <f t="shared" si="24"/>
        <v>307147.64914404572</v>
      </c>
    </row>
    <row r="64" spans="2:20" ht="27" x14ac:dyDescent="0.25">
      <c r="B64" s="56" t="s">
        <v>71</v>
      </c>
      <c r="C64" s="52">
        <v>2</v>
      </c>
      <c r="D64" s="52">
        <v>75000</v>
      </c>
      <c r="E64" s="9">
        <f t="shared" si="23"/>
        <v>150000</v>
      </c>
      <c r="F64" s="9"/>
      <c r="G64" s="47">
        <v>100000</v>
      </c>
      <c r="H64" s="49" t="s">
        <v>72</v>
      </c>
      <c r="I64" s="9"/>
      <c r="J64" s="9">
        <f>G64</f>
        <v>100000</v>
      </c>
      <c r="K64" s="9">
        <f t="shared" ref="K64:T64" si="25">J64</f>
        <v>100000</v>
      </c>
      <c r="L64" s="9">
        <f t="shared" si="25"/>
        <v>100000</v>
      </c>
      <c r="M64" s="9">
        <f t="shared" si="25"/>
        <v>100000</v>
      </c>
      <c r="N64" s="9">
        <f t="shared" si="25"/>
        <v>100000</v>
      </c>
      <c r="O64" s="9">
        <f t="shared" si="25"/>
        <v>100000</v>
      </c>
      <c r="P64" s="9">
        <f t="shared" si="25"/>
        <v>100000</v>
      </c>
      <c r="Q64" s="9">
        <f t="shared" si="25"/>
        <v>100000</v>
      </c>
      <c r="R64" s="9">
        <f t="shared" si="25"/>
        <v>100000</v>
      </c>
      <c r="S64" s="9">
        <f t="shared" si="25"/>
        <v>100000</v>
      </c>
      <c r="T64" s="9">
        <f t="shared" si="25"/>
        <v>100000</v>
      </c>
    </row>
    <row r="65" spans="2:20" ht="25.5" x14ac:dyDescent="0.25">
      <c r="B65" s="56" t="s">
        <v>73</v>
      </c>
      <c r="C65" s="52">
        <v>2</v>
      </c>
      <c r="D65" s="52">
        <v>10000</v>
      </c>
      <c r="E65" s="9">
        <f t="shared" si="23"/>
        <v>20000</v>
      </c>
      <c r="F65" s="9"/>
      <c r="G65" s="47">
        <v>35000</v>
      </c>
      <c r="H65" s="5" t="s">
        <v>74</v>
      </c>
      <c r="I65" s="9"/>
      <c r="J65" s="9">
        <f>G65*2</f>
        <v>70000</v>
      </c>
      <c r="K65" s="9">
        <f>J65</f>
        <v>70000</v>
      </c>
      <c r="L65" s="9">
        <f>J65</f>
        <v>70000</v>
      </c>
      <c r="M65" s="9">
        <f t="shared" ref="M65:T67" si="26">L65</f>
        <v>70000</v>
      </c>
      <c r="N65" s="9">
        <f t="shared" si="26"/>
        <v>70000</v>
      </c>
      <c r="O65" s="9">
        <f t="shared" si="26"/>
        <v>70000</v>
      </c>
      <c r="P65" s="9">
        <f t="shared" si="26"/>
        <v>70000</v>
      </c>
      <c r="Q65" s="9">
        <f t="shared" si="26"/>
        <v>70000</v>
      </c>
      <c r="R65" s="9">
        <f t="shared" si="26"/>
        <v>70000</v>
      </c>
      <c r="S65" s="9">
        <f t="shared" si="26"/>
        <v>70000</v>
      </c>
      <c r="T65" s="9">
        <f t="shared" si="26"/>
        <v>70000</v>
      </c>
    </row>
    <row r="66" spans="2:20" x14ac:dyDescent="0.25">
      <c r="B66" s="56" t="s">
        <v>75</v>
      </c>
      <c r="C66" s="52">
        <v>4</v>
      </c>
      <c r="D66" s="52">
        <v>3750</v>
      </c>
      <c r="E66" s="9">
        <f t="shared" si="23"/>
        <v>15000</v>
      </c>
      <c r="F66" s="56"/>
      <c r="G66" s="47">
        <v>25000</v>
      </c>
      <c r="H66" s="49" t="s">
        <v>76</v>
      </c>
      <c r="I66" s="9"/>
      <c r="J66" s="9">
        <f>G66</f>
        <v>25000</v>
      </c>
      <c r="K66" s="9">
        <f>J66</f>
        <v>25000</v>
      </c>
      <c r="L66" s="9">
        <f>K66</f>
        <v>25000</v>
      </c>
      <c r="M66" s="9">
        <f t="shared" si="26"/>
        <v>25000</v>
      </c>
      <c r="N66" s="9">
        <f t="shared" si="26"/>
        <v>25000</v>
      </c>
      <c r="O66" s="9">
        <f t="shared" si="26"/>
        <v>25000</v>
      </c>
      <c r="P66" s="9">
        <f t="shared" si="26"/>
        <v>25000</v>
      </c>
      <c r="Q66" s="9">
        <f t="shared" si="26"/>
        <v>25000</v>
      </c>
      <c r="R66" s="9">
        <f t="shared" si="26"/>
        <v>25000</v>
      </c>
      <c r="S66" s="9">
        <f t="shared" si="26"/>
        <v>25000</v>
      </c>
      <c r="T66" s="9">
        <f t="shared" si="26"/>
        <v>25000</v>
      </c>
    </row>
    <row r="67" spans="2:20" ht="27" x14ac:dyDescent="0.25">
      <c r="B67" s="56" t="s">
        <v>77</v>
      </c>
      <c r="C67" s="52">
        <v>1</v>
      </c>
      <c r="D67" s="52">
        <v>10000</v>
      </c>
      <c r="E67" s="9">
        <f t="shared" si="23"/>
        <v>10000</v>
      </c>
      <c r="F67" s="9"/>
      <c r="G67" s="47">
        <v>25000</v>
      </c>
      <c r="H67" s="49" t="s">
        <v>78</v>
      </c>
      <c r="I67" s="56"/>
      <c r="J67" s="9">
        <f>G67</f>
        <v>25000</v>
      </c>
      <c r="K67" s="9">
        <f>J67</f>
        <v>25000</v>
      </c>
      <c r="L67" s="9">
        <f>K67</f>
        <v>25000</v>
      </c>
      <c r="M67" s="9">
        <f t="shared" si="26"/>
        <v>25000</v>
      </c>
      <c r="N67" s="9">
        <f t="shared" si="26"/>
        <v>25000</v>
      </c>
      <c r="O67" s="9">
        <f t="shared" si="26"/>
        <v>25000</v>
      </c>
      <c r="P67" s="9">
        <f t="shared" si="26"/>
        <v>25000</v>
      </c>
      <c r="Q67" s="9">
        <f t="shared" si="26"/>
        <v>25000</v>
      </c>
      <c r="R67" s="9">
        <f t="shared" si="26"/>
        <v>25000</v>
      </c>
      <c r="S67" s="9">
        <f t="shared" si="26"/>
        <v>25000</v>
      </c>
      <c r="T67" s="9">
        <f t="shared" si="26"/>
        <v>25000</v>
      </c>
    </row>
    <row r="68" spans="2:20" x14ac:dyDescent="0.25">
      <c r="B68" s="56" t="s">
        <v>79</v>
      </c>
      <c r="C68" s="52">
        <v>1</v>
      </c>
      <c r="D68" s="52">
        <v>10000</v>
      </c>
      <c r="E68" s="9">
        <f t="shared" si="23"/>
        <v>10000</v>
      </c>
      <c r="F68" s="9"/>
      <c r="G68" s="26"/>
      <c r="H68" s="49" t="s">
        <v>80</v>
      </c>
      <c r="I68" s="9"/>
      <c r="J68" s="9">
        <f>J43*80%*2%</f>
        <v>9627.2000000000007</v>
      </c>
      <c r="K68" s="9">
        <f>J68</f>
        <v>9627.2000000000007</v>
      </c>
      <c r="L68" s="9">
        <f t="shared" ref="L68:T68" si="27">L43*80%*2%</f>
        <v>11648.912</v>
      </c>
      <c r="M68" s="9">
        <f t="shared" si="27"/>
        <v>12813.803200000004</v>
      </c>
      <c r="N68" s="9">
        <f t="shared" si="27"/>
        <v>14095.183520000004</v>
      </c>
      <c r="O68" s="9">
        <f t="shared" si="27"/>
        <v>14799.942696000007</v>
      </c>
      <c r="P68" s="9">
        <f t="shared" si="27"/>
        <v>15539.939830800009</v>
      </c>
      <c r="Q68" s="9">
        <f t="shared" si="27"/>
        <v>16006.138025724005</v>
      </c>
      <c r="R68" s="9">
        <f t="shared" si="27"/>
        <v>16486.322166495724</v>
      </c>
      <c r="S68" s="9">
        <f t="shared" si="27"/>
        <v>16980.911831490594</v>
      </c>
      <c r="T68" s="9">
        <f t="shared" si="27"/>
        <v>17490.339186435318</v>
      </c>
    </row>
    <row r="69" spans="2:20" x14ac:dyDescent="0.25">
      <c r="B69" s="56" t="s">
        <v>81</v>
      </c>
      <c r="C69" s="52">
        <v>1</v>
      </c>
      <c r="D69" s="52">
        <v>30000</v>
      </c>
      <c r="E69" s="9">
        <f t="shared" si="23"/>
        <v>30000</v>
      </c>
      <c r="F69" s="9"/>
      <c r="G69" s="47">
        <v>15000</v>
      </c>
      <c r="H69" s="49" t="s">
        <v>70</v>
      </c>
      <c r="I69" s="9"/>
      <c r="J69" s="9">
        <f>G69</f>
        <v>15000</v>
      </c>
      <c r="K69" s="9">
        <f>J69</f>
        <v>15000</v>
      </c>
      <c r="L69" s="9">
        <f t="shared" ref="L69:T69" si="28">K69</f>
        <v>15000</v>
      </c>
      <c r="M69" s="9">
        <f t="shared" si="28"/>
        <v>15000</v>
      </c>
      <c r="N69" s="9">
        <f t="shared" si="28"/>
        <v>15000</v>
      </c>
      <c r="O69" s="9">
        <f t="shared" si="28"/>
        <v>15000</v>
      </c>
      <c r="P69" s="9">
        <f t="shared" si="28"/>
        <v>15000</v>
      </c>
      <c r="Q69" s="9">
        <f t="shared" si="28"/>
        <v>15000</v>
      </c>
      <c r="R69" s="9">
        <f t="shared" si="28"/>
        <v>15000</v>
      </c>
      <c r="S69" s="9">
        <f t="shared" si="28"/>
        <v>15000</v>
      </c>
      <c r="T69" s="9">
        <f t="shared" si="28"/>
        <v>15000</v>
      </c>
    </row>
    <row r="70" spans="2:20" x14ac:dyDescent="0.25">
      <c r="B70" s="56" t="s">
        <v>82</v>
      </c>
      <c r="C70" s="52">
        <v>1</v>
      </c>
      <c r="D70" s="52">
        <v>80000</v>
      </c>
      <c r="E70" s="9">
        <f t="shared" si="23"/>
        <v>80000</v>
      </c>
      <c r="F70" s="9"/>
      <c r="G70" s="50">
        <v>0.05</v>
      </c>
      <c r="H70" s="49" t="s">
        <v>83</v>
      </c>
      <c r="I70" s="9"/>
      <c r="J70" s="9"/>
      <c r="K70" s="9"/>
      <c r="L70" s="9"/>
      <c r="M70" s="61">
        <f>M43*$G$70</f>
        <v>40043.135000000009</v>
      </c>
      <c r="N70" s="61">
        <f t="shared" ref="N70" si="29">N43*$G$70</f>
        <v>44047.448500000013</v>
      </c>
      <c r="O70" s="9">
        <f>O43*$G$70</f>
        <v>46249.820925000022</v>
      </c>
      <c r="P70" s="9">
        <f t="shared" ref="P70:T70" si="30">P43*$G$70</f>
        <v>48562.311971250027</v>
      </c>
      <c r="Q70" s="9">
        <f t="shared" si="30"/>
        <v>50019.181330387517</v>
      </c>
      <c r="R70" s="9">
        <f t="shared" si="30"/>
        <v>51519.756770299136</v>
      </c>
      <c r="S70" s="9">
        <f t="shared" si="30"/>
        <v>53065.349473408103</v>
      </c>
      <c r="T70" s="9">
        <f t="shared" si="30"/>
        <v>54657.309957610363</v>
      </c>
    </row>
    <row r="71" spans="2:20" ht="27" x14ac:dyDescent="0.25">
      <c r="B71" s="25"/>
      <c r="C71" s="26"/>
      <c r="D71" s="56"/>
      <c r="E71" s="56"/>
      <c r="F71" s="9"/>
      <c r="G71" s="26"/>
      <c r="H71" s="49" t="s">
        <v>84</v>
      </c>
      <c r="I71" s="9">
        <f>E78</f>
        <v>801000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2:20" x14ac:dyDescent="0.25">
      <c r="B72" s="56" t="s">
        <v>85</v>
      </c>
      <c r="C72" s="52" t="s">
        <v>86</v>
      </c>
      <c r="D72" s="52">
        <v>0</v>
      </c>
      <c r="E72" s="9">
        <f>D72</f>
        <v>0</v>
      </c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</row>
    <row r="73" spans="2:20" x14ac:dyDescent="0.25">
      <c r="B73" s="56" t="s">
        <v>87</v>
      </c>
      <c r="C73" s="9" t="s">
        <v>66</v>
      </c>
      <c r="D73" s="52">
        <v>100000</v>
      </c>
      <c r="E73" s="9">
        <v>200000</v>
      </c>
      <c r="F73" s="12"/>
      <c r="G73" s="26"/>
      <c r="H73" s="53" t="s">
        <v>88</v>
      </c>
      <c r="I73" s="54">
        <f t="shared" ref="I73:T73" si="31">I61-I63</f>
        <v>-801000</v>
      </c>
      <c r="J73" s="55">
        <f>J61-J63</f>
        <v>56222.799999999988</v>
      </c>
      <c r="K73" s="55">
        <f t="shared" si="31"/>
        <v>86307.799999999988</v>
      </c>
      <c r="L73" s="55">
        <f t="shared" si="31"/>
        <v>117379.58799999999</v>
      </c>
      <c r="M73" s="55">
        <f t="shared" si="31"/>
        <v>112574.41180000012</v>
      </c>
      <c r="N73" s="55">
        <f t="shared" si="31"/>
        <v>147331.85298000008</v>
      </c>
      <c r="O73" s="55">
        <f t="shared" si="31"/>
        <v>166448.44562900014</v>
      </c>
      <c r="P73" s="55">
        <f t="shared" si="31"/>
        <v>186520.86791045021</v>
      </c>
      <c r="Q73" s="55">
        <f t="shared" si="31"/>
        <v>199166.49394776364</v>
      </c>
      <c r="R73" s="55">
        <f t="shared" si="31"/>
        <v>212191.48876619647</v>
      </c>
      <c r="S73" s="55">
        <f t="shared" si="31"/>
        <v>225607.23342918232</v>
      </c>
      <c r="T73" s="55">
        <f t="shared" si="31"/>
        <v>239425.4504320579</v>
      </c>
    </row>
    <row r="74" spans="2:20" x14ac:dyDescent="0.25">
      <c r="B74" s="56" t="s">
        <v>89</v>
      </c>
      <c r="C74" s="56"/>
      <c r="D74" s="52">
        <v>30000</v>
      </c>
      <c r="E74" s="9">
        <f>D74</f>
        <v>30000</v>
      </c>
      <c r="F74" s="25"/>
      <c r="G74" s="26"/>
      <c r="H74" s="5"/>
      <c r="I74" s="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2:20" x14ac:dyDescent="0.25">
      <c r="B75" s="56" t="s">
        <v>90</v>
      </c>
      <c r="C75" s="56"/>
      <c r="D75" s="52">
        <v>20000</v>
      </c>
      <c r="E75" s="9">
        <f>D75</f>
        <v>20000</v>
      </c>
      <c r="F75" s="25"/>
      <c r="G75" s="26"/>
      <c r="H75" s="49" t="s">
        <v>91</v>
      </c>
      <c r="I75" s="49"/>
      <c r="J75" s="9">
        <v>15000</v>
      </c>
      <c r="K75" s="9">
        <f t="shared" ref="K75:T75" si="32">J75</f>
        <v>15000</v>
      </c>
      <c r="L75" s="9">
        <f t="shared" si="32"/>
        <v>15000</v>
      </c>
      <c r="M75" s="9">
        <f t="shared" si="32"/>
        <v>15000</v>
      </c>
      <c r="N75" s="9">
        <f t="shared" si="32"/>
        <v>15000</v>
      </c>
      <c r="O75" s="9">
        <f t="shared" si="32"/>
        <v>15000</v>
      </c>
      <c r="P75" s="9">
        <f t="shared" si="32"/>
        <v>15000</v>
      </c>
      <c r="Q75" s="9">
        <f t="shared" si="32"/>
        <v>15000</v>
      </c>
      <c r="R75" s="9">
        <f t="shared" si="32"/>
        <v>15000</v>
      </c>
      <c r="S75" s="9">
        <f t="shared" si="32"/>
        <v>15000</v>
      </c>
      <c r="T75" s="9">
        <f t="shared" si="32"/>
        <v>15000</v>
      </c>
    </row>
    <row r="76" spans="2:20" x14ac:dyDescent="0.25">
      <c r="B76" s="56"/>
      <c r="C76" s="56"/>
      <c r="D76" s="56"/>
      <c r="E76" s="9"/>
      <c r="F76" s="25"/>
      <c r="G76" s="26"/>
      <c r="H76" s="49" t="s">
        <v>92</v>
      </c>
      <c r="I76" s="57"/>
      <c r="J76" s="9">
        <f>(E61+E62+E64+E65+E68+E70+E72)/60</f>
        <v>8166.666666666667</v>
      </c>
      <c r="K76" s="9">
        <f t="shared" ref="K76:T76" si="33">J76</f>
        <v>8166.666666666667</v>
      </c>
      <c r="L76" s="9">
        <f t="shared" si="33"/>
        <v>8166.666666666667</v>
      </c>
      <c r="M76" s="9">
        <f t="shared" si="33"/>
        <v>8166.666666666667</v>
      </c>
      <c r="N76" s="9">
        <f t="shared" si="33"/>
        <v>8166.666666666667</v>
      </c>
      <c r="O76" s="9">
        <f t="shared" si="33"/>
        <v>8166.666666666667</v>
      </c>
      <c r="P76" s="9">
        <f t="shared" si="33"/>
        <v>8166.666666666667</v>
      </c>
      <c r="Q76" s="9">
        <f t="shared" si="33"/>
        <v>8166.666666666667</v>
      </c>
      <c r="R76" s="9">
        <f t="shared" si="33"/>
        <v>8166.666666666667</v>
      </c>
      <c r="S76" s="9">
        <f t="shared" si="33"/>
        <v>8166.666666666667</v>
      </c>
      <c r="T76" s="9">
        <f t="shared" si="33"/>
        <v>8166.666666666667</v>
      </c>
    </row>
    <row r="77" spans="2:20" x14ac:dyDescent="0.25">
      <c r="B77" s="56"/>
      <c r="C77" s="56"/>
      <c r="D77" s="56"/>
      <c r="E77" s="56"/>
      <c r="F77" s="25"/>
      <c r="G77" s="26"/>
      <c r="H77" s="5"/>
      <c r="I77" s="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2:20" x14ac:dyDescent="0.25">
      <c r="B78" s="53" t="s">
        <v>93</v>
      </c>
      <c r="C78" s="54"/>
      <c r="D78" s="55"/>
      <c r="E78" s="55">
        <f>SUM(E61:E77)</f>
        <v>801000</v>
      </c>
      <c r="F78" s="25"/>
      <c r="G78" s="26"/>
      <c r="H78" s="5" t="s">
        <v>94</v>
      </c>
      <c r="I78" s="12">
        <f>I73-I75-I76</f>
        <v>-801000</v>
      </c>
      <c r="J78" s="63">
        <f t="shared" ref="J78:T78" si="34">J73-(J75+J76)</f>
        <v>33056.133333333317</v>
      </c>
      <c r="K78" s="63">
        <f t="shared" si="34"/>
        <v>63141.133333333317</v>
      </c>
      <c r="L78" s="63">
        <f t="shared" si="34"/>
        <v>94212.921333333317</v>
      </c>
      <c r="M78" s="63">
        <f t="shared" si="34"/>
        <v>89407.745133333447</v>
      </c>
      <c r="N78" s="63">
        <f t="shared" si="34"/>
        <v>124165.18631333341</v>
      </c>
      <c r="O78" s="63">
        <f t="shared" si="34"/>
        <v>143281.77896233348</v>
      </c>
      <c r="P78" s="63">
        <f t="shared" si="34"/>
        <v>163354.20124378355</v>
      </c>
      <c r="Q78" s="63">
        <f t="shared" si="34"/>
        <v>175999.82728109698</v>
      </c>
      <c r="R78" s="63">
        <f t="shared" si="34"/>
        <v>189024.82209952982</v>
      </c>
      <c r="S78" s="63">
        <f t="shared" si="34"/>
        <v>202440.56676251566</v>
      </c>
      <c r="T78" s="62">
        <f t="shared" si="34"/>
        <v>216258.78376539124</v>
      </c>
    </row>
    <row r="79" spans="2:20" ht="25.5" x14ac:dyDescent="0.25">
      <c r="B79" s="25"/>
      <c r="C79" s="25"/>
      <c r="D79" s="25"/>
      <c r="E79" s="25"/>
      <c r="F79" s="25"/>
      <c r="G79" s="58"/>
      <c r="H79" s="59" t="s">
        <v>95</v>
      </c>
      <c r="I79" s="60"/>
      <c r="J79" s="60">
        <f t="shared" ref="J79:T79" si="35">IF(J78/J43&lt;0,"",J78/J43)</f>
        <v>5.4937898177386264E-2</v>
      </c>
      <c r="K79" s="60">
        <f t="shared" si="35"/>
        <v>9.5398089252169332E-2</v>
      </c>
      <c r="L79" s="60">
        <f t="shared" si="35"/>
        <v>0.12940322163420354</v>
      </c>
      <c r="M79" s="60">
        <f t="shared" si="35"/>
        <v>0.11163929239473061</v>
      </c>
      <c r="N79" s="60">
        <f t="shared" si="35"/>
        <v>0.14094481126793687</v>
      </c>
      <c r="O79" s="60">
        <f t="shared" si="35"/>
        <v>0.15489982025517801</v>
      </c>
      <c r="P79" s="60">
        <f t="shared" si="35"/>
        <v>0.16819030500493148</v>
      </c>
      <c r="Q79" s="60">
        <f t="shared" si="35"/>
        <v>0.17593233495624414</v>
      </c>
      <c r="R79" s="60">
        <f t="shared" si="35"/>
        <v>0.18344886888955736</v>
      </c>
      <c r="S79" s="60">
        <f t="shared" si="35"/>
        <v>0.19074647465005568</v>
      </c>
      <c r="T79" s="60">
        <f t="shared" si="35"/>
        <v>0.19783152878646185</v>
      </c>
    </row>
    <row r="80" spans="2:20" x14ac:dyDescent="0.25">
      <c r="B80" s="25"/>
      <c r="C80" s="25"/>
      <c r="D80" s="25"/>
      <c r="E80" s="25"/>
      <c r="F80" s="25"/>
      <c r="G80" s="26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2:20" ht="27" x14ac:dyDescent="0.25">
      <c r="B81" s="25"/>
      <c r="C81" s="25"/>
      <c r="D81" s="25"/>
      <c r="E81" s="25"/>
      <c r="F81" s="25"/>
      <c r="G81" s="26"/>
      <c r="H81" s="49" t="s">
        <v>24</v>
      </c>
      <c r="I81" s="9">
        <f>E52+I78</f>
        <v>0</v>
      </c>
      <c r="J81" s="9">
        <f t="shared" ref="J81:T81" si="36">I81+J78</f>
        <v>33056.133333333317</v>
      </c>
      <c r="K81" s="9">
        <f t="shared" si="36"/>
        <v>96197.266666666634</v>
      </c>
      <c r="L81" s="9">
        <f t="shared" si="36"/>
        <v>190410.18799999997</v>
      </c>
      <c r="M81" s="9">
        <f t="shared" si="36"/>
        <v>279817.9331333334</v>
      </c>
      <c r="N81" s="9">
        <f t="shared" si="36"/>
        <v>403983.11944666679</v>
      </c>
      <c r="O81" s="9">
        <f t="shared" si="36"/>
        <v>547264.89840900025</v>
      </c>
      <c r="P81" s="9">
        <f t="shared" si="36"/>
        <v>710619.09965278383</v>
      </c>
      <c r="Q81" s="9">
        <f t="shared" si="36"/>
        <v>886618.92693388078</v>
      </c>
      <c r="R81" s="9">
        <f t="shared" si="36"/>
        <v>1075643.7490334106</v>
      </c>
      <c r="S81" s="9">
        <f t="shared" si="36"/>
        <v>1278084.3157959261</v>
      </c>
      <c r="T81" s="9">
        <f t="shared" si="36"/>
        <v>1494343.0995613174</v>
      </c>
    </row>
    <row r="82" spans="2:20" x14ac:dyDescent="0.25">
      <c r="B82" s="25"/>
      <c r="C82" s="25"/>
      <c r="D82" s="25"/>
      <c r="E82" s="25"/>
      <c r="F82" s="25"/>
      <c r="G82" s="26"/>
      <c r="H82" s="49" t="s">
        <v>29</v>
      </c>
      <c r="I82" s="25"/>
      <c r="J82" s="25" t="str">
        <f t="shared" ref="J82:T82" si="37">IF(J81&gt;$E$52,J41,"")</f>
        <v/>
      </c>
      <c r="K82" s="25" t="str">
        <f t="shared" si="37"/>
        <v/>
      </c>
      <c r="L82" s="25" t="str">
        <f t="shared" si="37"/>
        <v/>
      </c>
      <c r="M82" s="25" t="str">
        <f t="shared" si="37"/>
        <v/>
      </c>
      <c r="N82" s="25" t="str">
        <f t="shared" si="37"/>
        <v/>
      </c>
      <c r="O82" s="9" t="str">
        <f t="shared" si="37"/>
        <v/>
      </c>
      <c r="P82" s="9" t="str">
        <f t="shared" si="37"/>
        <v/>
      </c>
      <c r="Q82" s="9">
        <f t="shared" si="37"/>
        <v>9</v>
      </c>
      <c r="R82" s="9">
        <f t="shared" si="37"/>
        <v>10</v>
      </c>
      <c r="S82" s="9">
        <f t="shared" si="37"/>
        <v>11</v>
      </c>
      <c r="T82" s="9">
        <f t="shared" si="37"/>
        <v>12</v>
      </c>
    </row>
  </sheetData>
  <mergeCells count="4">
    <mergeCell ref="I5:J5"/>
    <mergeCell ref="I6:J6"/>
    <mergeCell ref="I7:J7"/>
    <mergeCell ref="I8:J8"/>
  </mergeCells>
  <conditionalFormatting sqref="C20:AL20">
    <cfRule type="cellIs" dxfId="0" priority="4" operator="lessThan">
      <formula>0</formula>
    </cfRule>
  </conditionalFormatting>
  <conditionalFormatting sqref="C14:AL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8:T7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48:T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Инвестору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Софья Зименкова</cp:lastModifiedBy>
  <dcterms:created xsi:type="dcterms:W3CDTF">2018-12-20T12:54:28Z</dcterms:created>
  <dcterms:modified xsi:type="dcterms:W3CDTF">2026-04-26T20:55:36Z</dcterms:modified>
</cp:coreProperties>
</file>