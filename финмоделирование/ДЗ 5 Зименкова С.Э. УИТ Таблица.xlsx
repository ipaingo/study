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szime/git/study/"/>
    </mc:Choice>
  </mc:AlternateContent>
  <xr:revisionPtr revIDLastSave="0" documentId="8_{D9A71517-0E01-754F-8E62-381E359D1634}" xr6:coauthVersionLast="47" xr6:coauthVersionMax="47" xr10:uidLastSave="{00000000-0000-0000-0000-000000000000}"/>
  <bookViews>
    <workbookView xWindow="0" yWindow="660" windowWidth="29400" windowHeight="18460" activeTab="3" xr2:uid="{00000000-000D-0000-FFFF-FFFF00000000}"/>
  </bookViews>
  <sheets>
    <sheet name="BREAKFAST — финмодель" sheetId="2" r:id="rId1"/>
    <sheet name="исправленная финмодель" sheetId="4" r:id="rId2"/>
    <sheet name="возможные изменения" sheetId="1" r:id="rId3"/>
    <sheet name="выводы" sheetId="3" r:id="rId4"/>
    <sheet name="данные для пирсона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9" i="3" l="1"/>
  <c r="E49" i="5"/>
  <c r="AR49" i="5" s="1"/>
  <c r="E48" i="5"/>
  <c r="E47" i="5"/>
  <c r="AL47" i="5" s="1"/>
  <c r="E46" i="5"/>
  <c r="C46" i="5" s="1"/>
  <c r="C18" i="3"/>
  <c r="E67" i="5"/>
  <c r="C17" i="3"/>
  <c r="E32" i="5"/>
  <c r="E31" i="5"/>
  <c r="D32" i="5" s="1"/>
  <c r="C16" i="3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H26" i="5"/>
  <c r="C15" i="3"/>
  <c r="E28" i="5"/>
  <c r="E27" i="5"/>
  <c r="G72" i="5"/>
  <c r="G64" i="5"/>
  <c r="G74" i="5" s="1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AE50" i="5"/>
  <c r="AD50" i="5"/>
  <c r="AC50" i="5"/>
  <c r="U50" i="5"/>
  <c r="T50" i="5"/>
  <c r="E50" i="5"/>
  <c r="V49" i="5"/>
  <c r="U49" i="5"/>
  <c r="T49" i="5"/>
  <c r="K49" i="5"/>
  <c r="J49" i="5"/>
  <c r="AO49" i="5"/>
  <c r="AN48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3" i="5"/>
  <c r="C27" i="5"/>
  <c r="G24" i="5"/>
  <c r="E24" i="5"/>
  <c r="G23" i="5"/>
  <c r="G22" i="5"/>
  <c r="M20" i="5"/>
  <c r="K19" i="5"/>
  <c r="K20" i="5" s="1"/>
  <c r="J19" i="5"/>
  <c r="J20" i="5" s="1"/>
  <c r="I19" i="5"/>
  <c r="I20" i="5" s="1"/>
  <c r="H19" i="5"/>
  <c r="H20" i="5" s="1"/>
  <c r="M18" i="5"/>
  <c r="M19" i="5" s="1"/>
  <c r="L18" i="5"/>
  <c r="L19" i="5" s="1"/>
  <c r="L20" i="5" s="1"/>
  <c r="K18" i="5"/>
  <c r="J18" i="5"/>
  <c r="I18" i="5"/>
  <c r="J15" i="5"/>
  <c r="H14" i="5"/>
  <c r="H15" i="5" s="1"/>
  <c r="J13" i="5"/>
  <c r="J14" i="5" s="1"/>
  <c r="I13" i="5"/>
  <c r="I14" i="5" s="1"/>
  <c r="I15" i="5" s="1"/>
  <c r="I10" i="5"/>
  <c r="H10" i="5"/>
  <c r="H22" i="5" s="1"/>
  <c r="H9" i="5"/>
  <c r="I8" i="5"/>
  <c r="I9" i="5" s="1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R5" i="1"/>
  <c r="AR8" i="1"/>
  <c r="AR9" i="1"/>
  <c r="AR10" i="1"/>
  <c r="AR13" i="1"/>
  <c r="AR14" i="1"/>
  <c r="AR15" i="1"/>
  <c r="AR18" i="1"/>
  <c r="AR19" i="1" s="1"/>
  <c r="AR20" i="1" s="1"/>
  <c r="AR44" i="1"/>
  <c r="AR45" i="1"/>
  <c r="AR47" i="1"/>
  <c r="AR50" i="1"/>
  <c r="AR51" i="1"/>
  <c r="AR52" i="1"/>
  <c r="AR53" i="1"/>
  <c r="AQ5" i="1"/>
  <c r="AQ8" i="1"/>
  <c r="AQ9" i="1"/>
  <c r="AQ10" i="1"/>
  <c r="AQ13" i="1"/>
  <c r="AQ14" i="1"/>
  <c r="AQ15" i="1"/>
  <c r="AQ18" i="1"/>
  <c r="AQ19" i="1" s="1"/>
  <c r="AQ20" i="1" s="1"/>
  <c r="AQ44" i="1"/>
  <c r="AQ45" i="1"/>
  <c r="AQ50" i="1"/>
  <c r="AQ51" i="1"/>
  <c r="AQ52" i="1"/>
  <c r="AQ53" i="1"/>
  <c r="I59" i="4"/>
  <c r="J59" i="4"/>
  <c r="K67" i="4" s="1"/>
  <c r="K59" i="4"/>
  <c r="L67" i="4" s="1"/>
  <c r="L59" i="4"/>
  <c r="M67" i="4" s="1"/>
  <c r="M59" i="4"/>
  <c r="N67" i="4" s="1"/>
  <c r="N59" i="4"/>
  <c r="O67" i="4" s="1"/>
  <c r="O59" i="4"/>
  <c r="P67" i="4" s="1"/>
  <c r="P59" i="4"/>
  <c r="Q67" i="4" s="1"/>
  <c r="Q59" i="4"/>
  <c r="R59" i="4"/>
  <c r="S67" i="4" s="1"/>
  <c r="S59" i="4"/>
  <c r="T67" i="4" s="1"/>
  <c r="T59" i="4"/>
  <c r="U67" i="4" s="1"/>
  <c r="U59" i="4"/>
  <c r="V67" i="4" s="1"/>
  <c r="V59" i="4"/>
  <c r="W67" i="4" s="1"/>
  <c r="W59" i="4"/>
  <c r="X67" i="4" s="1"/>
  <c r="X59" i="4"/>
  <c r="Y67" i="4" s="1"/>
  <c r="Y59" i="4"/>
  <c r="Z59" i="4"/>
  <c r="AA67" i="4" s="1"/>
  <c r="AA59" i="4"/>
  <c r="AB67" i="4" s="1"/>
  <c r="AB59" i="4"/>
  <c r="AC67" i="4" s="1"/>
  <c r="AC59" i="4"/>
  <c r="AD67" i="4" s="1"/>
  <c r="AD59" i="4"/>
  <c r="AE67" i="4" s="1"/>
  <c r="AE59" i="4"/>
  <c r="AF67" i="4" s="1"/>
  <c r="AF59" i="4"/>
  <c r="AG67" i="4" s="1"/>
  <c r="AG59" i="4"/>
  <c r="AH59" i="4"/>
  <c r="AI67" i="4" s="1"/>
  <c r="AI59" i="4"/>
  <c r="AJ67" i="4" s="1"/>
  <c r="AJ59" i="4"/>
  <c r="AK67" i="4" s="1"/>
  <c r="AK59" i="4"/>
  <c r="AL67" i="4" s="1"/>
  <c r="AL59" i="4"/>
  <c r="AM67" i="4" s="1"/>
  <c r="AM59" i="4"/>
  <c r="AN67" i="4" s="1"/>
  <c r="AN59" i="4"/>
  <c r="AO67" i="4" s="1"/>
  <c r="AO59" i="4"/>
  <c r="AP59" i="4"/>
  <c r="H59" i="4"/>
  <c r="H56" i="4"/>
  <c r="J67" i="4"/>
  <c r="R67" i="4"/>
  <c r="Z67" i="4"/>
  <c r="AH67" i="4"/>
  <c r="AP67" i="4"/>
  <c r="I67" i="4"/>
  <c r="G59" i="4"/>
  <c r="G74" i="4"/>
  <c r="H74" i="4" s="1"/>
  <c r="H75" i="4" s="1"/>
  <c r="H73" i="4"/>
  <c r="G64" i="4"/>
  <c r="G72" i="4" s="1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C52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AF50" i="4"/>
  <c r="AE50" i="4"/>
  <c r="W50" i="4"/>
  <c r="U50" i="4"/>
  <c r="T50" i="4"/>
  <c r="E50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3" i="4"/>
  <c r="C27" i="4"/>
  <c r="H24" i="4"/>
  <c r="H28" i="4" s="1"/>
  <c r="H32" i="4" s="1"/>
  <c r="E24" i="4"/>
  <c r="H22" i="4"/>
  <c r="H23" i="4" s="1"/>
  <c r="H27" i="4" s="1"/>
  <c r="G22" i="4"/>
  <c r="H19" i="4"/>
  <c r="H20" i="4" s="1"/>
  <c r="J18" i="4"/>
  <c r="I18" i="4"/>
  <c r="I19" i="4" s="1"/>
  <c r="I20" i="4" s="1"/>
  <c r="H15" i="4"/>
  <c r="H14" i="4"/>
  <c r="J13" i="4"/>
  <c r="K13" i="4" s="1"/>
  <c r="I13" i="4"/>
  <c r="I14" i="4" s="1"/>
  <c r="I15" i="4" s="1"/>
  <c r="H10" i="4"/>
  <c r="I9" i="4"/>
  <c r="I10" i="4" s="1"/>
  <c r="I22" i="4" s="1"/>
  <c r="I23" i="4" s="1"/>
  <c r="I27" i="4" s="1"/>
  <c r="H9" i="4"/>
  <c r="I8" i="4"/>
  <c r="J8" i="4" s="1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E32" i="1"/>
  <c r="E31" i="1"/>
  <c r="E49" i="1"/>
  <c r="AO49" i="1" s="1"/>
  <c r="E48" i="1"/>
  <c r="AN48" i="1" s="1"/>
  <c r="E47" i="1"/>
  <c r="AN47" i="1" s="1"/>
  <c r="E46" i="1"/>
  <c r="AP46" i="1" s="1"/>
  <c r="E67" i="1"/>
  <c r="I8" i="1"/>
  <c r="J8" i="1" s="1"/>
  <c r="E28" i="1"/>
  <c r="E27" i="1"/>
  <c r="H73" i="2"/>
  <c r="G64" i="2"/>
  <c r="G72" i="2" s="1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C52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E50" i="2"/>
  <c r="AI50" i="2" s="1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3" i="2"/>
  <c r="C27" i="2"/>
  <c r="E24" i="2"/>
  <c r="G22" i="2"/>
  <c r="G23" i="2" s="1"/>
  <c r="G27" i="2" s="1"/>
  <c r="H19" i="2"/>
  <c r="H20" i="2" s="1"/>
  <c r="I18" i="2"/>
  <c r="I19" i="2" s="1"/>
  <c r="I20" i="2" s="1"/>
  <c r="H14" i="2"/>
  <c r="H15" i="2" s="1"/>
  <c r="I13" i="2"/>
  <c r="H9" i="2"/>
  <c r="H10" i="2" s="1"/>
  <c r="I8" i="2"/>
  <c r="J8" i="2" s="1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H9" i="1"/>
  <c r="G64" i="1"/>
  <c r="G72" i="1" s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C52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AM50" i="1"/>
  <c r="AL50" i="1"/>
  <c r="AC50" i="1"/>
  <c r="U50" i="1"/>
  <c r="S50" i="1"/>
  <c r="Q50" i="1"/>
  <c r="P50" i="1"/>
  <c r="E50" i="1"/>
  <c r="AF50" i="1" s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3" i="1"/>
  <c r="E24" i="1"/>
  <c r="G22" i="1"/>
  <c r="G24" i="1" s="1"/>
  <c r="I20" i="1"/>
  <c r="H20" i="1"/>
  <c r="I19" i="1"/>
  <c r="H19" i="1"/>
  <c r="I18" i="1"/>
  <c r="J18" i="1" s="1"/>
  <c r="K18" i="1" s="1"/>
  <c r="L18" i="1" s="1"/>
  <c r="L19" i="1" s="1"/>
  <c r="L20" i="1" s="1"/>
  <c r="I14" i="1"/>
  <c r="I15" i="1" s="1"/>
  <c r="H14" i="1"/>
  <c r="H15" i="1" s="1"/>
  <c r="L13" i="1"/>
  <c r="M13" i="1" s="1"/>
  <c r="I13" i="1"/>
  <c r="J13" i="1" s="1"/>
  <c r="K13" i="1" s="1"/>
  <c r="K14" i="1" s="1"/>
  <c r="K15" i="1" s="1"/>
  <c r="H10" i="1"/>
  <c r="H22" i="1" s="1"/>
  <c r="H24" i="1" s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K46" i="5" l="1"/>
  <c r="AL46" i="5"/>
  <c r="AD49" i="5"/>
  <c r="AH49" i="5"/>
  <c r="AI49" i="5"/>
  <c r="AC46" i="5"/>
  <c r="S46" i="5"/>
  <c r="T46" i="5"/>
  <c r="L49" i="5"/>
  <c r="L46" i="5"/>
  <c r="AD46" i="5"/>
  <c r="R49" i="5"/>
  <c r="AB49" i="5"/>
  <c r="AP49" i="5"/>
  <c r="Q46" i="5"/>
  <c r="AJ46" i="5"/>
  <c r="I49" i="5"/>
  <c r="S49" i="5"/>
  <c r="AC49" i="5"/>
  <c r="AQ49" i="5"/>
  <c r="U46" i="5"/>
  <c r="AA46" i="5"/>
  <c r="I46" i="5"/>
  <c r="AB46" i="5"/>
  <c r="H47" i="5"/>
  <c r="N49" i="5"/>
  <c r="Z49" i="5"/>
  <c r="AK49" i="5"/>
  <c r="AM46" i="5"/>
  <c r="H46" i="5"/>
  <c r="M49" i="5"/>
  <c r="Y49" i="5"/>
  <c r="AJ49" i="5"/>
  <c r="K46" i="5"/>
  <c r="Q49" i="5"/>
  <c r="AA49" i="5"/>
  <c r="AL49" i="5"/>
  <c r="E26" i="5"/>
  <c r="H24" i="5"/>
  <c r="H28" i="5" s="1"/>
  <c r="H32" i="5" s="1"/>
  <c r="H23" i="5"/>
  <c r="H27" i="5" s="1"/>
  <c r="I22" i="5"/>
  <c r="J8" i="5"/>
  <c r="K13" i="5"/>
  <c r="N18" i="5"/>
  <c r="Z47" i="5"/>
  <c r="Y48" i="5"/>
  <c r="AA47" i="5"/>
  <c r="Z48" i="5"/>
  <c r="AR47" i="5"/>
  <c r="AJ47" i="5"/>
  <c r="AB47" i="5"/>
  <c r="T47" i="5"/>
  <c r="L47" i="5"/>
  <c r="AO47" i="5"/>
  <c r="AF47" i="5"/>
  <c r="W47" i="5"/>
  <c r="N47" i="5"/>
  <c r="AN47" i="5"/>
  <c r="AE47" i="5"/>
  <c r="V47" i="5"/>
  <c r="M47" i="5"/>
  <c r="AM47" i="5"/>
  <c r="AD47" i="5"/>
  <c r="U47" i="5"/>
  <c r="K47" i="5"/>
  <c r="AP47" i="5"/>
  <c r="AG47" i="5"/>
  <c r="X47" i="5"/>
  <c r="O47" i="5"/>
  <c r="AI47" i="5"/>
  <c r="Q47" i="5"/>
  <c r="AH47" i="5"/>
  <c r="P47" i="5"/>
  <c r="AC47" i="5"/>
  <c r="J47" i="5"/>
  <c r="AK47" i="5"/>
  <c r="R47" i="5"/>
  <c r="AQ47" i="5"/>
  <c r="AM48" i="5"/>
  <c r="AL48" i="5"/>
  <c r="AD48" i="5"/>
  <c r="V48" i="5"/>
  <c r="N48" i="5"/>
  <c r="AK48" i="5"/>
  <c r="AC48" i="5"/>
  <c r="AQ48" i="5"/>
  <c r="AF48" i="5"/>
  <c r="U48" i="5"/>
  <c r="L48" i="5"/>
  <c r="AP48" i="5"/>
  <c r="AE48" i="5"/>
  <c r="T48" i="5"/>
  <c r="K48" i="5"/>
  <c r="AO48" i="5"/>
  <c r="AB48" i="5"/>
  <c r="S48" i="5"/>
  <c r="J48" i="5"/>
  <c r="AR48" i="5"/>
  <c r="AG48" i="5"/>
  <c r="W48" i="5"/>
  <c r="M48" i="5"/>
  <c r="AI48" i="5"/>
  <c r="P48" i="5"/>
  <c r="AH48" i="5"/>
  <c r="O48" i="5"/>
  <c r="AA48" i="5"/>
  <c r="I48" i="5"/>
  <c r="AJ48" i="5"/>
  <c r="Q48" i="5"/>
  <c r="I47" i="5"/>
  <c r="H48" i="5"/>
  <c r="S47" i="5"/>
  <c r="R48" i="5"/>
  <c r="Y47" i="5"/>
  <c r="X48" i="5"/>
  <c r="AQ50" i="5"/>
  <c r="AI50" i="5"/>
  <c r="AA50" i="5"/>
  <c r="S50" i="5"/>
  <c r="K50" i="5"/>
  <c r="AP50" i="5"/>
  <c r="AH50" i="5"/>
  <c r="Z50" i="5"/>
  <c r="R50" i="5"/>
  <c r="J50" i="5"/>
  <c r="AO50" i="5"/>
  <c r="AG50" i="5"/>
  <c r="Y50" i="5"/>
  <c r="Q50" i="5"/>
  <c r="I50" i="5"/>
  <c r="AL50" i="5"/>
  <c r="X50" i="5"/>
  <c r="M50" i="5"/>
  <c r="AK50" i="5"/>
  <c r="W50" i="5"/>
  <c r="L50" i="5"/>
  <c r="AJ50" i="5"/>
  <c r="V50" i="5"/>
  <c r="H50" i="5"/>
  <c r="AM50" i="5"/>
  <c r="AB50" i="5"/>
  <c r="N50" i="5"/>
  <c r="AF50" i="5"/>
  <c r="O50" i="5"/>
  <c r="AN50" i="5"/>
  <c r="G27" i="5"/>
  <c r="G28" i="5"/>
  <c r="G32" i="5" s="1"/>
  <c r="P50" i="5"/>
  <c r="AR50" i="5"/>
  <c r="AP46" i="5"/>
  <c r="AH46" i="5"/>
  <c r="Z46" i="5"/>
  <c r="R46" i="5"/>
  <c r="J46" i="5"/>
  <c r="P46" i="5"/>
  <c r="Y46" i="5"/>
  <c r="AI46" i="5"/>
  <c r="AR46" i="5"/>
  <c r="M46" i="5"/>
  <c r="V46" i="5"/>
  <c r="AE46" i="5"/>
  <c r="AN46" i="5"/>
  <c r="N46" i="5"/>
  <c r="W46" i="5"/>
  <c r="AF46" i="5"/>
  <c r="AO46" i="5"/>
  <c r="O46" i="5"/>
  <c r="X46" i="5"/>
  <c r="AG46" i="5"/>
  <c r="AQ46" i="5"/>
  <c r="O49" i="5"/>
  <c r="W49" i="5"/>
  <c r="AE49" i="5"/>
  <c r="AM49" i="5"/>
  <c r="H49" i="5"/>
  <c r="P49" i="5"/>
  <c r="X49" i="5"/>
  <c r="AF49" i="5"/>
  <c r="AN49" i="5"/>
  <c r="AG49" i="5"/>
  <c r="AQ48" i="1"/>
  <c r="AR48" i="1"/>
  <c r="AQ46" i="1"/>
  <c r="AQ49" i="1"/>
  <c r="AQ47" i="1"/>
  <c r="AR49" i="1"/>
  <c r="AR46" i="1"/>
  <c r="AR43" i="1" s="1"/>
  <c r="AQ43" i="1"/>
  <c r="AR22" i="1"/>
  <c r="AQ22" i="1"/>
  <c r="AK48" i="1"/>
  <c r="AP49" i="1"/>
  <c r="AL48" i="1"/>
  <c r="AM48" i="1"/>
  <c r="T49" i="1"/>
  <c r="Z49" i="1"/>
  <c r="AA49" i="1"/>
  <c r="O48" i="1"/>
  <c r="R49" i="1"/>
  <c r="AK49" i="1"/>
  <c r="AH48" i="1"/>
  <c r="S49" i="1"/>
  <c r="AL49" i="1"/>
  <c r="X47" i="1"/>
  <c r="M48" i="1"/>
  <c r="N49" i="1"/>
  <c r="AC49" i="1"/>
  <c r="J48" i="1"/>
  <c r="J49" i="1"/>
  <c r="AB49" i="1"/>
  <c r="N48" i="1"/>
  <c r="O49" i="1"/>
  <c r="AD49" i="1"/>
  <c r="U49" i="1"/>
  <c r="V48" i="1"/>
  <c r="K49" i="1"/>
  <c r="AE49" i="1"/>
  <c r="Y48" i="1"/>
  <c r="L49" i="1"/>
  <c r="V49" i="1"/>
  <c r="AH49" i="1"/>
  <c r="W47" i="1"/>
  <c r="AC48" i="1"/>
  <c r="M49" i="1"/>
  <c r="W49" i="1"/>
  <c r="AJ49" i="1"/>
  <c r="W48" i="1"/>
  <c r="AO48" i="1"/>
  <c r="I48" i="1"/>
  <c r="Z48" i="1"/>
  <c r="I9" i="1"/>
  <c r="I10" i="1" s="1"/>
  <c r="L14" i="1"/>
  <c r="L15" i="1" s="1"/>
  <c r="C27" i="1"/>
  <c r="AD50" i="1"/>
  <c r="I50" i="1"/>
  <c r="G74" i="1"/>
  <c r="AE50" i="1"/>
  <c r="K50" i="1"/>
  <c r="H28" i="1"/>
  <c r="H32" i="1" s="1"/>
  <c r="L13" i="4"/>
  <c r="K14" i="4"/>
  <c r="K15" i="4" s="1"/>
  <c r="H26" i="4"/>
  <c r="H31" i="4"/>
  <c r="I24" i="4"/>
  <c r="I28" i="4" s="1"/>
  <c r="I32" i="4" s="1"/>
  <c r="I31" i="4"/>
  <c r="I26" i="4"/>
  <c r="G23" i="4"/>
  <c r="G27" i="4" s="1"/>
  <c r="G24" i="4"/>
  <c r="G28" i="4" s="1"/>
  <c r="G32" i="4" s="1"/>
  <c r="J14" i="4"/>
  <c r="J15" i="4" s="1"/>
  <c r="H43" i="4"/>
  <c r="P43" i="4"/>
  <c r="AF43" i="4"/>
  <c r="AN43" i="4"/>
  <c r="U43" i="4"/>
  <c r="AK43" i="4"/>
  <c r="K8" i="4"/>
  <c r="J9" i="4"/>
  <c r="J10" i="4" s="1"/>
  <c r="J22" i="4" s="1"/>
  <c r="J19" i="4"/>
  <c r="J20" i="4" s="1"/>
  <c r="K18" i="4"/>
  <c r="W43" i="4"/>
  <c r="AE43" i="4"/>
  <c r="L43" i="4"/>
  <c r="T43" i="4"/>
  <c r="Q43" i="4"/>
  <c r="Y43" i="4"/>
  <c r="N43" i="4"/>
  <c r="J43" i="4"/>
  <c r="K43" i="4"/>
  <c r="AI50" i="4"/>
  <c r="AA50" i="4"/>
  <c r="AA43" i="4" s="1"/>
  <c r="S50" i="4"/>
  <c r="K50" i="4"/>
  <c r="AP50" i="4"/>
  <c r="AP43" i="4" s="1"/>
  <c r="AH50" i="4"/>
  <c r="AH43" i="4" s="1"/>
  <c r="Z50" i="4"/>
  <c r="Z43" i="4" s="1"/>
  <c r="R50" i="4"/>
  <c r="R43" i="4" s="1"/>
  <c r="J50" i="4"/>
  <c r="AO50" i="4"/>
  <c r="AO43" i="4" s="1"/>
  <c r="AG50" i="4"/>
  <c r="AG43" i="4" s="1"/>
  <c r="Y50" i="4"/>
  <c r="Q50" i="4"/>
  <c r="I50" i="4"/>
  <c r="I43" i="4" s="1"/>
  <c r="AL50" i="4"/>
  <c r="AL43" i="4" s="1"/>
  <c r="AD50" i="4"/>
  <c r="AD43" i="4" s="1"/>
  <c r="V50" i="4"/>
  <c r="V43" i="4" s="1"/>
  <c r="N50" i="4"/>
  <c r="AC50" i="4"/>
  <c r="AC43" i="4" s="1"/>
  <c r="M50" i="4"/>
  <c r="M43" i="4" s="1"/>
  <c r="AB50" i="4"/>
  <c r="AB43" i="4" s="1"/>
  <c r="L50" i="4"/>
  <c r="AN50" i="4"/>
  <c r="X50" i="4"/>
  <c r="X43" i="4" s="1"/>
  <c r="H50" i="4"/>
  <c r="AJ50" i="4"/>
  <c r="AJ43" i="4" s="1"/>
  <c r="S43" i="4"/>
  <c r="AI43" i="4"/>
  <c r="O50" i="4"/>
  <c r="O43" i="4" s="1"/>
  <c r="AK50" i="4"/>
  <c r="P50" i="4"/>
  <c r="AM50" i="4"/>
  <c r="AM43" i="4" s="1"/>
  <c r="P47" i="1"/>
  <c r="S47" i="1"/>
  <c r="AI49" i="1"/>
  <c r="AF47" i="1"/>
  <c r="K47" i="1"/>
  <c r="AM47" i="1"/>
  <c r="R48" i="1"/>
  <c r="AE48" i="1"/>
  <c r="H49" i="1"/>
  <c r="P49" i="1"/>
  <c r="X49" i="1"/>
  <c r="AF49" i="1"/>
  <c r="AN49" i="1"/>
  <c r="N46" i="1"/>
  <c r="W46" i="1"/>
  <c r="AI47" i="1"/>
  <c r="Q48" i="1"/>
  <c r="AD48" i="1"/>
  <c r="AP48" i="1"/>
  <c r="AM49" i="1"/>
  <c r="O47" i="1"/>
  <c r="AO47" i="1"/>
  <c r="U48" i="1"/>
  <c r="AG48" i="1"/>
  <c r="I49" i="1"/>
  <c r="Q49" i="1"/>
  <c r="Y49" i="1"/>
  <c r="AG49" i="1"/>
  <c r="AO46" i="1"/>
  <c r="AA47" i="1"/>
  <c r="AF46" i="1"/>
  <c r="H47" i="1"/>
  <c r="AE47" i="1"/>
  <c r="AG46" i="1"/>
  <c r="S46" i="1"/>
  <c r="AK46" i="1"/>
  <c r="K46" i="1"/>
  <c r="AC46" i="1"/>
  <c r="L47" i="1"/>
  <c r="AB47" i="1"/>
  <c r="AJ47" i="1"/>
  <c r="L46" i="1"/>
  <c r="U46" i="1"/>
  <c r="AD46" i="1"/>
  <c r="AM46" i="1"/>
  <c r="M47" i="1"/>
  <c r="U47" i="1"/>
  <c r="AC47" i="1"/>
  <c r="AK47" i="1"/>
  <c r="K48" i="1"/>
  <c r="S48" i="1"/>
  <c r="AA48" i="1"/>
  <c r="AI48" i="1"/>
  <c r="O46" i="1"/>
  <c r="I46" i="1"/>
  <c r="AB46" i="1"/>
  <c r="T46" i="1"/>
  <c r="AL46" i="1"/>
  <c r="T47" i="1"/>
  <c r="M46" i="1"/>
  <c r="V46" i="1"/>
  <c r="AE46" i="1"/>
  <c r="AN46" i="1"/>
  <c r="N47" i="1"/>
  <c r="V47" i="1"/>
  <c r="AD47" i="1"/>
  <c r="AL47" i="1"/>
  <c r="L48" i="1"/>
  <c r="T48" i="1"/>
  <c r="AB48" i="1"/>
  <c r="AJ48" i="1"/>
  <c r="X46" i="1"/>
  <c r="P46" i="1"/>
  <c r="Y46" i="1"/>
  <c r="AI46" i="1"/>
  <c r="I47" i="1"/>
  <c r="Q47" i="1"/>
  <c r="Y47" i="1"/>
  <c r="AG47" i="1"/>
  <c r="AP47" i="1"/>
  <c r="H46" i="1"/>
  <c r="Q46" i="1"/>
  <c r="AA46" i="1"/>
  <c r="AJ46" i="1"/>
  <c r="J47" i="1"/>
  <c r="R47" i="1"/>
  <c r="Z47" i="1"/>
  <c r="AH47" i="1"/>
  <c r="H48" i="1"/>
  <c r="P48" i="1"/>
  <c r="X48" i="1"/>
  <c r="AF48" i="1"/>
  <c r="J46" i="1"/>
  <c r="R46" i="1"/>
  <c r="Z46" i="1"/>
  <c r="AH46" i="1"/>
  <c r="J9" i="1"/>
  <c r="J10" i="1" s="1"/>
  <c r="K8" i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H23" i="1"/>
  <c r="H27" i="1" s="1"/>
  <c r="H26" i="1" s="1"/>
  <c r="G28" i="1"/>
  <c r="G32" i="1" s="1"/>
  <c r="AB50" i="2"/>
  <c r="L50" i="2"/>
  <c r="L43" i="2" s="1"/>
  <c r="K8" i="2"/>
  <c r="J9" i="2"/>
  <c r="J10" i="2" s="1"/>
  <c r="U50" i="2"/>
  <c r="U43" i="2" s="1"/>
  <c r="AK50" i="2"/>
  <c r="AK43" i="2" s="1"/>
  <c r="I9" i="2"/>
  <c r="I10" i="2" s="1"/>
  <c r="H50" i="2"/>
  <c r="H43" i="2" s="1"/>
  <c r="V50" i="2"/>
  <c r="V43" i="2" s="1"/>
  <c r="AL50" i="2"/>
  <c r="AL43" i="2" s="1"/>
  <c r="K50" i="2"/>
  <c r="K43" i="2" s="1"/>
  <c r="X50" i="2"/>
  <c r="X43" i="2" s="1"/>
  <c r="AN50" i="2"/>
  <c r="AN43" i="2" s="1"/>
  <c r="M50" i="2"/>
  <c r="M43" i="2" s="1"/>
  <c r="N50" i="2"/>
  <c r="N43" i="2" s="1"/>
  <c r="AF43" i="2"/>
  <c r="P50" i="2"/>
  <c r="P43" i="2" s="1"/>
  <c r="AF50" i="2"/>
  <c r="AC50" i="2"/>
  <c r="AC43" i="2" s="1"/>
  <c r="AD50" i="2"/>
  <c r="AD43" i="2" s="1"/>
  <c r="T50" i="2"/>
  <c r="T43" i="2" s="1"/>
  <c r="AJ50" i="2"/>
  <c r="AJ43" i="2" s="1"/>
  <c r="G74" i="2"/>
  <c r="H74" i="2" s="1"/>
  <c r="H75" i="2" s="1"/>
  <c r="H22" i="2"/>
  <c r="J13" i="2"/>
  <c r="I14" i="2"/>
  <c r="I15" i="2" s="1"/>
  <c r="G24" i="2"/>
  <c r="G28" i="2" s="1"/>
  <c r="G32" i="2" s="1"/>
  <c r="G31" i="2"/>
  <c r="J18" i="2"/>
  <c r="AB43" i="2"/>
  <c r="AI43" i="2"/>
  <c r="O50" i="2"/>
  <c r="O43" i="2" s="1"/>
  <c r="W50" i="2"/>
  <c r="W43" i="2" s="1"/>
  <c r="AE50" i="2"/>
  <c r="AE43" i="2" s="1"/>
  <c r="AM50" i="2"/>
  <c r="AM43" i="2" s="1"/>
  <c r="I50" i="2"/>
  <c r="I43" i="2" s="1"/>
  <c r="Q50" i="2"/>
  <c r="Q43" i="2" s="1"/>
  <c r="Y50" i="2"/>
  <c r="Y43" i="2" s="1"/>
  <c r="AG50" i="2"/>
  <c r="AG43" i="2" s="1"/>
  <c r="AO50" i="2"/>
  <c r="AO43" i="2" s="1"/>
  <c r="J50" i="2"/>
  <c r="J43" i="2" s="1"/>
  <c r="R50" i="2"/>
  <c r="R43" i="2" s="1"/>
  <c r="Z50" i="2"/>
  <c r="Z43" i="2" s="1"/>
  <c r="AH50" i="2"/>
  <c r="AH43" i="2" s="1"/>
  <c r="AP50" i="2"/>
  <c r="AP43" i="2" s="1"/>
  <c r="S50" i="2"/>
  <c r="S43" i="2" s="1"/>
  <c r="AA50" i="2"/>
  <c r="AA43" i="2" s="1"/>
  <c r="I22" i="1"/>
  <c r="N13" i="1"/>
  <c r="M14" i="1"/>
  <c r="M15" i="1" s="1"/>
  <c r="M18" i="1"/>
  <c r="J19" i="1"/>
  <c r="J20" i="1" s="1"/>
  <c r="K19" i="1"/>
  <c r="K20" i="1" s="1"/>
  <c r="J14" i="1"/>
  <c r="J15" i="1" s="1"/>
  <c r="G23" i="1"/>
  <c r="G27" i="1" s="1"/>
  <c r="AP50" i="1"/>
  <c r="AH50" i="1"/>
  <c r="Z50" i="1"/>
  <c r="R50" i="1"/>
  <c r="J50" i="1"/>
  <c r="AJ50" i="1"/>
  <c r="AB50" i="1"/>
  <c r="T50" i="1"/>
  <c r="L50" i="1"/>
  <c r="AK50" i="1"/>
  <c r="Y50" i="1"/>
  <c r="O50" i="1"/>
  <c r="AI50" i="1"/>
  <c r="X50" i="1"/>
  <c r="N50" i="1"/>
  <c r="AG50" i="1"/>
  <c r="W50" i="1"/>
  <c r="M50" i="1"/>
  <c r="V50" i="1"/>
  <c r="AN50" i="1"/>
  <c r="H50" i="1"/>
  <c r="AA50" i="1"/>
  <c r="AO50" i="1"/>
  <c r="AI43" i="5" l="1"/>
  <c r="AD43" i="5"/>
  <c r="L43" i="5"/>
  <c r="AL43" i="5"/>
  <c r="AB43" i="5"/>
  <c r="AP43" i="5"/>
  <c r="O43" i="5"/>
  <c r="S43" i="5"/>
  <c r="K43" i="5"/>
  <c r="T43" i="5"/>
  <c r="Y43" i="5"/>
  <c r="AF43" i="5"/>
  <c r="AK43" i="5"/>
  <c r="Q43" i="5"/>
  <c r="AA43" i="5"/>
  <c r="R43" i="5"/>
  <c r="N43" i="5"/>
  <c r="J43" i="5"/>
  <c r="V43" i="5"/>
  <c r="I43" i="5"/>
  <c r="AH43" i="5"/>
  <c r="U43" i="5"/>
  <c r="W43" i="5"/>
  <c r="H43" i="5"/>
  <c r="AQ43" i="5"/>
  <c r="AR43" i="5"/>
  <c r="Z43" i="5"/>
  <c r="AC43" i="5"/>
  <c r="AM43" i="5"/>
  <c r="AE43" i="5"/>
  <c r="M43" i="5"/>
  <c r="AJ43" i="5"/>
  <c r="AO43" i="5"/>
  <c r="J9" i="5"/>
  <c r="J10" i="5" s="1"/>
  <c r="J22" i="5" s="1"/>
  <c r="K8" i="5"/>
  <c r="G26" i="5"/>
  <c r="G31" i="5"/>
  <c r="P43" i="5"/>
  <c r="AG43" i="5"/>
  <c r="K14" i="5"/>
  <c r="K15" i="5" s="1"/>
  <c r="L13" i="5"/>
  <c r="I24" i="5"/>
  <c r="I28" i="5" s="1"/>
  <c r="I32" i="5" s="1"/>
  <c r="I23" i="5"/>
  <c r="I27" i="5" s="1"/>
  <c r="AN43" i="5"/>
  <c r="N19" i="5"/>
  <c r="N20" i="5" s="1"/>
  <c r="O18" i="5"/>
  <c r="X43" i="5"/>
  <c r="H31" i="5"/>
  <c r="AR23" i="1"/>
  <c r="AR27" i="1" s="1"/>
  <c r="AR24" i="1"/>
  <c r="AR28" i="1" s="1"/>
  <c r="AR32" i="1" s="1"/>
  <c r="AQ24" i="1"/>
  <c r="AQ28" i="1" s="1"/>
  <c r="AQ32" i="1" s="1"/>
  <c r="AQ23" i="1"/>
  <c r="AQ27" i="1" s="1"/>
  <c r="Z43" i="1"/>
  <c r="AC43" i="1"/>
  <c r="H43" i="1"/>
  <c r="AH43" i="1"/>
  <c r="AP43" i="1"/>
  <c r="W43" i="1"/>
  <c r="AM43" i="1"/>
  <c r="Q43" i="1"/>
  <c r="H31" i="1"/>
  <c r="J24" i="4"/>
  <c r="J28" i="4" s="1"/>
  <c r="J32" i="4" s="1"/>
  <c r="J23" i="4"/>
  <c r="J27" i="4" s="1"/>
  <c r="I33" i="4"/>
  <c r="I56" i="4"/>
  <c r="I37" i="4"/>
  <c r="I38" i="4"/>
  <c r="I35" i="4"/>
  <c r="I30" i="4" s="1"/>
  <c r="I40" i="4" s="1"/>
  <c r="I36" i="4"/>
  <c r="I34" i="4"/>
  <c r="K9" i="4"/>
  <c r="K10" i="4" s="1"/>
  <c r="L8" i="4"/>
  <c r="K19" i="4"/>
  <c r="K20" i="4" s="1"/>
  <c r="L18" i="4"/>
  <c r="L14" i="4"/>
  <c r="L15" i="4" s="1"/>
  <c r="M13" i="4"/>
  <c r="H37" i="4"/>
  <c r="H35" i="4"/>
  <c r="H33" i="4"/>
  <c r="H30" i="4" s="1"/>
  <c r="H40" i="4" s="1"/>
  <c r="H38" i="4"/>
  <c r="H34" i="4"/>
  <c r="H36" i="4"/>
  <c r="G31" i="4"/>
  <c r="G26" i="4"/>
  <c r="S43" i="1"/>
  <c r="AL43" i="1"/>
  <c r="AO43" i="1"/>
  <c r="N43" i="1"/>
  <c r="AF43" i="1"/>
  <c r="AD43" i="1"/>
  <c r="L43" i="1"/>
  <c r="P43" i="1"/>
  <c r="AG43" i="1"/>
  <c r="I43" i="1"/>
  <c r="U43" i="1"/>
  <c r="AA43" i="1"/>
  <c r="AE43" i="1"/>
  <c r="T43" i="1"/>
  <c r="X43" i="1"/>
  <c r="V43" i="1"/>
  <c r="K43" i="1"/>
  <c r="Y43" i="1"/>
  <c r="M43" i="1"/>
  <c r="AK43" i="1"/>
  <c r="AB43" i="1"/>
  <c r="AJ43" i="1"/>
  <c r="AI43" i="1"/>
  <c r="J43" i="1"/>
  <c r="AN43" i="1"/>
  <c r="O43" i="1"/>
  <c r="R43" i="1"/>
  <c r="I22" i="2"/>
  <c r="L8" i="2"/>
  <c r="K9" i="2"/>
  <c r="K10" i="2" s="1"/>
  <c r="I24" i="2"/>
  <c r="I28" i="2" s="1"/>
  <c r="I32" i="2" s="1"/>
  <c r="I23" i="2"/>
  <c r="I27" i="2" s="1"/>
  <c r="K18" i="2"/>
  <c r="J19" i="2"/>
  <c r="J20" i="2" s="1"/>
  <c r="H24" i="2"/>
  <c r="H28" i="2" s="1"/>
  <c r="H32" i="2" s="1"/>
  <c r="H23" i="2"/>
  <c r="H27" i="2" s="1"/>
  <c r="G26" i="2"/>
  <c r="J14" i="2"/>
  <c r="J15" i="2" s="1"/>
  <c r="K13" i="2"/>
  <c r="G26" i="1"/>
  <c r="G31" i="1"/>
  <c r="H56" i="1"/>
  <c r="J22" i="1"/>
  <c r="N14" i="1"/>
  <c r="N15" i="1" s="1"/>
  <c r="O13" i="1"/>
  <c r="K9" i="1"/>
  <c r="K10" i="1" s="1"/>
  <c r="K22" i="1" s="1"/>
  <c r="I24" i="1"/>
  <c r="I28" i="1" s="1"/>
  <c r="I32" i="1" s="1"/>
  <c r="I23" i="1"/>
  <c r="I27" i="1" s="1"/>
  <c r="M19" i="1"/>
  <c r="M20" i="1" s="1"/>
  <c r="N18" i="1"/>
  <c r="J24" i="5" l="1"/>
  <c r="J28" i="5" s="1"/>
  <c r="J32" i="5" s="1"/>
  <c r="J23" i="5"/>
  <c r="J27" i="5" s="1"/>
  <c r="O19" i="5"/>
  <c r="O20" i="5" s="1"/>
  <c r="P18" i="5"/>
  <c r="G36" i="5"/>
  <c r="G37" i="5"/>
  <c r="G56" i="5"/>
  <c r="G35" i="5"/>
  <c r="G38" i="5"/>
  <c r="G33" i="5"/>
  <c r="G34" i="5"/>
  <c r="I31" i="5"/>
  <c r="L8" i="5"/>
  <c r="K9" i="5"/>
  <c r="K10" i="5" s="1"/>
  <c r="K22" i="5" s="1"/>
  <c r="H37" i="5"/>
  <c r="H56" i="5"/>
  <c r="H35" i="5"/>
  <c r="H38" i="5"/>
  <c r="H36" i="5"/>
  <c r="H33" i="5"/>
  <c r="H34" i="5"/>
  <c r="L14" i="5"/>
  <c r="L15" i="5" s="1"/>
  <c r="M13" i="5"/>
  <c r="AR26" i="1"/>
  <c r="AR31" i="1"/>
  <c r="AQ31" i="1"/>
  <c r="AQ26" i="1"/>
  <c r="I41" i="4"/>
  <c r="I55" i="4"/>
  <c r="H41" i="4"/>
  <c r="H55" i="4"/>
  <c r="L19" i="4"/>
  <c r="L20" i="4" s="1"/>
  <c r="M18" i="4"/>
  <c r="G56" i="4"/>
  <c r="G40" i="4"/>
  <c r="G55" i="4" s="1"/>
  <c r="G66" i="4" s="1"/>
  <c r="G37" i="4"/>
  <c r="G38" i="4"/>
  <c r="G36" i="4"/>
  <c r="G35" i="4"/>
  <c r="G33" i="4"/>
  <c r="G34" i="4"/>
  <c r="G30" i="4"/>
  <c r="L9" i="4"/>
  <c r="L10" i="4" s="1"/>
  <c r="L22" i="4" s="1"/>
  <c r="M8" i="4"/>
  <c r="K22" i="4"/>
  <c r="J31" i="4"/>
  <c r="J26" i="4"/>
  <c r="N13" i="4"/>
  <c r="M14" i="4"/>
  <c r="M15" i="4" s="1"/>
  <c r="I26" i="1"/>
  <c r="I31" i="1"/>
  <c r="J22" i="2"/>
  <c r="M8" i="2"/>
  <c r="L9" i="2"/>
  <c r="L10" i="2" s="1"/>
  <c r="K14" i="2"/>
  <c r="K15" i="2" s="1"/>
  <c r="L13" i="2"/>
  <c r="I31" i="2"/>
  <c r="I26" i="2"/>
  <c r="H31" i="2"/>
  <c r="H26" i="2"/>
  <c r="J24" i="2"/>
  <c r="J28" i="2" s="1"/>
  <c r="J32" i="2" s="1"/>
  <c r="J23" i="2"/>
  <c r="J27" i="2" s="1"/>
  <c r="L18" i="2"/>
  <c r="K19" i="2"/>
  <c r="K20" i="2" s="1"/>
  <c r="G56" i="2"/>
  <c r="G37" i="2"/>
  <c r="G35" i="2"/>
  <c r="G33" i="2"/>
  <c r="G36" i="2"/>
  <c r="G38" i="2"/>
  <c r="G34" i="2"/>
  <c r="O14" i="1"/>
  <c r="O15" i="1" s="1"/>
  <c r="P13" i="1"/>
  <c r="N19" i="1"/>
  <c r="N20" i="1" s="1"/>
  <c r="O18" i="1"/>
  <c r="H38" i="1"/>
  <c r="H36" i="1"/>
  <c r="H34" i="1"/>
  <c r="H33" i="1"/>
  <c r="H37" i="1"/>
  <c r="H35" i="1"/>
  <c r="J23" i="1"/>
  <c r="J27" i="1" s="1"/>
  <c r="J24" i="1"/>
  <c r="J28" i="1" s="1"/>
  <c r="J32" i="1" s="1"/>
  <c r="K24" i="1"/>
  <c r="K28" i="1" s="1"/>
  <c r="K32" i="1" s="1"/>
  <c r="K23" i="1"/>
  <c r="K27" i="1" s="1"/>
  <c r="L9" i="1"/>
  <c r="L10" i="1" s="1"/>
  <c r="L22" i="1" s="1"/>
  <c r="G56" i="1"/>
  <c r="G37" i="1"/>
  <c r="G36" i="1"/>
  <c r="G38" i="1"/>
  <c r="G34" i="1"/>
  <c r="G33" i="1"/>
  <c r="G35" i="1"/>
  <c r="G30" i="5" l="1"/>
  <c r="G40" i="5" s="1"/>
  <c r="G55" i="5" s="1"/>
  <c r="G59" i="5" s="1"/>
  <c r="G66" i="5" s="1"/>
  <c r="H30" i="5"/>
  <c r="H40" i="5" s="1"/>
  <c r="H41" i="5" s="1"/>
  <c r="N13" i="5"/>
  <c r="M14" i="5"/>
  <c r="M15" i="5" s="1"/>
  <c r="K23" i="5"/>
  <c r="K27" i="5" s="1"/>
  <c r="K24" i="5"/>
  <c r="K28" i="5" s="1"/>
  <c r="K32" i="5" s="1"/>
  <c r="M8" i="5"/>
  <c r="L9" i="5"/>
  <c r="L10" i="5" s="1"/>
  <c r="L22" i="5" s="1"/>
  <c r="Q18" i="5"/>
  <c r="P19" i="5"/>
  <c r="P20" i="5" s="1"/>
  <c r="J31" i="5"/>
  <c r="I37" i="5"/>
  <c r="I56" i="5"/>
  <c r="I38" i="5"/>
  <c r="I35" i="5"/>
  <c r="I36" i="5"/>
  <c r="I33" i="5"/>
  <c r="I34" i="5"/>
  <c r="AR38" i="1"/>
  <c r="AR33" i="1"/>
  <c r="AR36" i="1"/>
  <c r="AR56" i="1"/>
  <c r="AR35" i="1"/>
  <c r="AR34" i="1"/>
  <c r="AR37" i="1"/>
  <c r="AQ38" i="1"/>
  <c r="AQ33" i="1"/>
  <c r="AQ35" i="1"/>
  <c r="AQ36" i="1"/>
  <c r="AQ56" i="1"/>
  <c r="AQ34" i="1"/>
  <c r="AQ37" i="1"/>
  <c r="L24" i="4"/>
  <c r="L28" i="4" s="1"/>
  <c r="L32" i="4" s="1"/>
  <c r="L23" i="4"/>
  <c r="L27" i="4" s="1"/>
  <c r="C51" i="4"/>
  <c r="C56" i="4" s="1"/>
  <c r="G65" i="4" s="1"/>
  <c r="G68" i="4" s="1"/>
  <c r="M19" i="4"/>
  <c r="M20" i="4" s="1"/>
  <c r="N18" i="4"/>
  <c r="O13" i="4"/>
  <c r="N14" i="4"/>
  <c r="N15" i="4" s="1"/>
  <c r="J38" i="4"/>
  <c r="J56" i="4"/>
  <c r="J33" i="4"/>
  <c r="J30" i="4" s="1"/>
  <c r="J40" i="4" s="1"/>
  <c r="J35" i="4"/>
  <c r="J34" i="4"/>
  <c r="J36" i="4"/>
  <c r="J37" i="4"/>
  <c r="H60" i="4"/>
  <c r="H66" i="4"/>
  <c r="K24" i="4"/>
  <c r="K28" i="4" s="1"/>
  <c r="K32" i="4" s="1"/>
  <c r="K23" i="4"/>
  <c r="K27" i="4" s="1"/>
  <c r="I60" i="4"/>
  <c r="I66" i="4"/>
  <c r="M9" i="4"/>
  <c r="M10" i="4" s="1"/>
  <c r="N8" i="4"/>
  <c r="K26" i="1"/>
  <c r="K31" i="1"/>
  <c r="J26" i="1"/>
  <c r="J31" i="1"/>
  <c r="H30" i="1"/>
  <c r="H40" i="1" s="1"/>
  <c r="H55" i="1" s="1"/>
  <c r="H59" i="1" s="1"/>
  <c r="G30" i="1"/>
  <c r="G40" i="1" s="1"/>
  <c r="G55" i="1" s="1"/>
  <c r="G59" i="1" s="1"/>
  <c r="N8" i="2"/>
  <c r="M9" i="2"/>
  <c r="M10" i="2" s="1"/>
  <c r="H37" i="2"/>
  <c r="H38" i="2"/>
  <c r="H33" i="2"/>
  <c r="H36" i="2"/>
  <c r="H56" i="2"/>
  <c r="H35" i="2"/>
  <c r="H34" i="2"/>
  <c r="I37" i="2"/>
  <c r="I33" i="2"/>
  <c r="I36" i="2"/>
  <c r="I38" i="2"/>
  <c r="I56" i="2"/>
  <c r="I35" i="2"/>
  <c r="I34" i="2"/>
  <c r="M18" i="2"/>
  <c r="L19" i="2"/>
  <c r="L20" i="2" s="1"/>
  <c r="J31" i="2"/>
  <c r="C51" i="2" s="1"/>
  <c r="C56" i="2" s="1"/>
  <c r="G65" i="2" s="1"/>
  <c r="J26" i="2"/>
  <c r="L14" i="2"/>
  <c r="L15" i="2" s="1"/>
  <c r="L22" i="2" s="1"/>
  <c r="M13" i="2"/>
  <c r="G30" i="2"/>
  <c r="G40" i="2" s="1"/>
  <c r="G55" i="2" s="1"/>
  <c r="G59" i="2" s="1"/>
  <c r="G66" i="2" s="1"/>
  <c r="K22" i="2"/>
  <c r="O19" i="1"/>
  <c r="O20" i="1" s="1"/>
  <c r="P18" i="1"/>
  <c r="I37" i="1"/>
  <c r="I38" i="1"/>
  <c r="I35" i="1"/>
  <c r="I56" i="1"/>
  <c r="I36" i="1"/>
  <c r="I34" i="1"/>
  <c r="I33" i="1"/>
  <c r="P14" i="1"/>
  <c r="P15" i="1" s="1"/>
  <c r="Q13" i="1"/>
  <c r="M9" i="1"/>
  <c r="M10" i="1" s="1"/>
  <c r="M22" i="1" s="1"/>
  <c r="L24" i="1"/>
  <c r="L28" i="1" s="1"/>
  <c r="L32" i="1" s="1"/>
  <c r="L23" i="1"/>
  <c r="L27" i="1" s="1"/>
  <c r="H67" i="5" l="1"/>
  <c r="H55" i="5"/>
  <c r="H59" i="5" s="1"/>
  <c r="H60" i="5" s="1"/>
  <c r="I30" i="5"/>
  <c r="I40" i="5" s="1"/>
  <c r="I55" i="5" s="1"/>
  <c r="I59" i="5" s="1"/>
  <c r="J56" i="5"/>
  <c r="J38" i="5"/>
  <c r="J36" i="5"/>
  <c r="J35" i="5"/>
  <c r="J33" i="5"/>
  <c r="J37" i="5"/>
  <c r="J34" i="5"/>
  <c r="K31" i="5"/>
  <c r="O13" i="5"/>
  <c r="N14" i="5"/>
  <c r="N15" i="5" s="1"/>
  <c r="R18" i="5"/>
  <c r="Q19" i="5"/>
  <c r="Q20" i="5" s="1"/>
  <c r="L23" i="5"/>
  <c r="L27" i="5" s="1"/>
  <c r="L24" i="5"/>
  <c r="L28" i="5" s="1"/>
  <c r="L32" i="5" s="1"/>
  <c r="G68" i="5"/>
  <c r="N8" i="5"/>
  <c r="M9" i="5"/>
  <c r="M10" i="5" s="1"/>
  <c r="M22" i="5" s="1"/>
  <c r="H73" i="5"/>
  <c r="H74" i="5"/>
  <c r="AQ30" i="1"/>
  <c r="AQ40" i="1" s="1"/>
  <c r="AR30" i="1"/>
  <c r="AR40" i="1" s="1"/>
  <c r="AR41" i="1" s="1"/>
  <c r="AQ55" i="1"/>
  <c r="AQ59" i="1" s="1"/>
  <c r="AR67" i="1" s="1"/>
  <c r="AQ41" i="1"/>
  <c r="G66" i="1"/>
  <c r="H67" i="1"/>
  <c r="I67" i="1"/>
  <c r="J55" i="4"/>
  <c r="J41" i="4"/>
  <c r="K31" i="4"/>
  <c r="K26" i="4"/>
  <c r="P13" i="4"/>
  <c r="O14" i="4"/>
  <c r="O15" i="4" s="1"/>
  <c r="O18" i="4"/>
  <c r="N19" i="4"/>
  <c r="N20" i="4" s="1"/>
  <c r="M22" i="4"/>
  <c r="I73" i="4"/>
  <c r="J73" i="4" s="1"/>
  <c r="I74" i="4"/>
  <c r="O8" i="4"/>
  <c r="N9" i="4"/>
  <c r="N10" i="4" s="1"/>
  <c r="L31" i="4"/>
  <c r="L26" i="4"/>
  <c r="H63" i="4"/>
  <c r="H68" i="4" s="1"/>
  <c r="G70" i="4"/>
  <c r="L26" i="1"/>
  <c r="L31" i="1"/>
  <c r="H41" i="1"/>
  <c r="I30" i="1"/>
  <c r="I40" i="1" s="1"/>
  <c r="I55" i="1" s="1"/>
  <c r="I59" i="1" s="1"/>
  <c r="J67" i="1" s="1"/>
  <c r="I30" i="2"/>
  <c r="I40" i="2" s="1"/>
  <c r="H30" i="2"/>
  <c r="H40" i="2" s="1"/>
  <c r="N9" i="2"/>
  <c r="N10" i="2" s="1"/>
  <c r="O8" i="2"/>
  <c r="I41" i="2"/>
  <c r="I55" i="2"/>
  <c r="I59" i="2" s="1"/>
  <c r="H55" i="2"/>
  <c r="H59" i="2" s="1"/>
  <c r="H41" i="2"/>
  <c r="N18" i="2"/>
  <c r="M19" i="2"/>
  <c r="M20" i="2" s="1"/>
  <c r="K24" i="2"/>
  <c r="K28" i="2" s="1"/>
  <c r="K32" i="2" s="1"/>
  <c r="K23" i="2"/>
  <c r="K27" i="2" s="1"/>
  <c r="J38" i="2"/>
  <c r="J36" i="2"/>
  <c r="J34" i="2"/>
  <c r="J56" i="2"/>
  <c r="J35" i="2"/>
  <c r="J37" i="2"/>
  <c r="J33" i="2"/>
  <c r="L23" i="2"/>
  <c r="L27" i="2" s="1"/>
  <c r="L24" i="2"/>
  <c r="L28" i="2" s="1"/>
  <c r="L32" i="2" s="1"/>
  <c r="G68" i="2"/>
  <c r="M14" i="2"/>
  <c r="M15" i="2" s="1"/>
  <c r="N13" i="2"/>
  <c r="J38" i="1"/>
  <c r="J56" i="1"/>
  <c r="J36" i="1"/>
  <c r="J37" i="1"/>
  <c r="J34" i="1"/>
  <c r="J35" i="1"/>
  <c r="J33" i="1"/>
  <c r="P19" i="1"/>
  <c r="P20" i="1" s="1"/>
  <c r="Q18" i="1"/>
  <c r="C51" i="1"/>
  <c r="C56" i="1" s="1"/>
  <c r="G65" i="1" s="1"/>
  <c r="G68" i="1" s="1"/>
  <c r="K38" i="1"/>
  <c r="K33" i="1"/>
  <c r="K35" i="1"/>
  <c r="K34" i="1"/>
  <c r="K56" i="1"/>
  <c r="K37" i="1"/>
  <c r="K36" i="1"/>
  <c r="N9" i="1"/>
  <c r="N10" i="1" s="1"/>
  <c r="N22" i="1" s="1"/>
  <c r="M24" i="1"/>
  <c r="M28" i="1" s="1"/>
  <c r="M32" i="1" s="1"/>
  <c r="M23" i="1"/>
  <c r="M27" i="1" s="1"/>
  <c r="R13" i="1"/>
  <c r="Q14" i="1"/>
  <c r="Q15" i="1" s="1"/>
  <c r="H60" i="1"/>
  <c r="H66" i="1"/>
  <c r="I67" i="5" l="1"/>
  <c r="H66" i="5"/>
  <c r="I41" i="5"/>
  <c r="J30" i="5"/>
  <c r="J40" i="5" s="1"/>
  <c r="J55" i="5" s="1"/>
  <c r="J59" i="5" s="1"/>
  <c r="I73" i="5"/>
  <c r="J41" i="5"/>
  <c r="H63" i="5"/>
  <c r="G70" i="5"/>
  <c r="S18" i="5"/>
  <c r="R19" i="5"/>
  <c r="R20" i="5" s="1"/>
  <c r="P13" i="5"/>
  <c r="O14" i="5"/>
  <c r="O15" i="5" s="1"/>
  <c r="O8" i="5"/>
  <c r="N9" i="5"/>
  <c r="N10" i="5" s="1"/>
  <c r="N22" i="5" s="1"/>
  <c r="K56" i="5"/>
  <c r="K38" i="5"/>
  <c r="K33" i="5"/>
  <c r="K36" i="5"/>
  <c r="K35" i="5"/>
  <c r="K37" i="5"/>
  <c r="K34" i="5"/>
  <c r="L31" i="5"/>
  <c r="M24" i="5"/>
  <c r="M28" i="5" s="1"/>
  <c r="M32" i="5" s="1"/>
  <c r="M23" i="5"/>
  <c r="M27" i="5" s="1"/>
  <c r="H75" i="5"/>
  <c r="I74" i="5"/>
  <c r="I60" i="5"/>
  <c r="J67" i="5"/>
  <c r="I66" i="5"/>
  <c r="AR55" i="1"/>
  <c r="AR59" i="1" s="1"/>
  <c r="AR66" i="1"/>
  <c r="AR60" i="1"/>
  <c r="AQ60" i="1"/>
  <c r="AQ66" i="1"/>
  <c r="H73" i="1"/>
  <c r="I73" i="1" s="1"/>
  <c r="J73" i="1" s="1"/>
  <c r="H74" i="1"/>
  <c r="H75" i="1" s="1"/>
  <c r="N22" i="4"/>
  <c r="Q13" i="4"/>
  <c r="P14" i="4"/>
  <c r="P15" i="4" s="1"/>
  <c r="P8" i="4"/>
  <c r="O9" i="4"/>
  <c r="O10" i="4" s="1"/>
  <c r="K38" i="4"/>
  <c r="K37" i="4"/>
  <c r="K36" i="4"/>
  <c r="K35" i="4"/>
  <c r="K33" i="4"/>
  <c r="K56" i="4"/>
  <c r="K34" i="4"/>
  <c r="K30" i="4" s="1"/>
  <c r="K40" i="4" s="1"/>
  <c r="H70" i="4"/>
  <c r="I63" i="4"/>
  <c r="I68" i="4" s="1"/>
  <c r="L38" i="4"/>
  <c r="L36" i="4"/>
  <c r="L34" i="4"/>
  <c r="L56" i="4"/>
  <c r="L37" i="4"/>
  <c r="L35" i="4"/>
  <c r="L33" i="4"/>
  <c r="L30" i="4" s="1"/>
  <c r="L40" i="4" s="1"/>
  <c r="I75" i="4"/>
  <c r="J74" i="4"/>
  <c r="K73" i="4"/>
  <c r="O19" i="4"/>
  <c r="O20" i="4" s="1"/>
  <c r="P18" i="4"/>
  <c r="M24" i="4"/>
  <c r="M28" i="4" s="1"/>
  <c r="M32" i="4" s="1"/>
  <c r="M23" i="4"/>
  <c r="M27" i="4" s="1"/>
  <c r="J66" i="4"/>
  <c r="J60" i="4"/>
  <c r="M26" i="1"/>
  <c r="M31" i="1"/>
  <c r="I41" i="1"/>
  <c r="J30" i="1"/>
  <c r="J40" i="1" s="1"/>
  <c r="J41" i="1" s="1"/>
  <c r="K30" i="1"/>
  <c r="K40" i="1" s="1"/>
  <c r="K55" i="1" s="1"/>
  <c r="K59" i="1" s="1"/>
  <c r="L67" i="1" s="1"/>
  <c r="J30" i="2"/>
  <c r="J40" i="2" s="1"/>
  <c r="J55" i="2" s="1"/>
  <c r="J59" i="2" s="1"/>
  <c r="O9" i="2"/>
  <c r="O10" i="2" s="1"/>
  <c r="P8" i="2"/>
  <c r="M22" i="2"/>
  <c r="K26" i="2"/>
  <c r="K31" i="2"/>
  <c r="H63" i="2"/>
  <c r="G70" i="2"/>
  <c r="O18" i="2"/>
  <c r="N19" i="2"/>
  <c r="N20" i="2" s="1"/>
  <c r="H60" i="2"/>
  <c r="I67" i="2"/>
  <c r="H66" i="2"/>
  <c r="J67" i="2"/>
  <c r="I60" i="2"/>
  <c r="I66" i="2"/>
  <c r="L26" i="2"/>
  <c r="L31" i="2"/>
  <c r="O13" i="2"/>
  <c r="N14" i="2"/>
  <c r="N15" i="2" s="1"/>
  <c r="N22" i="2" s="1"/>
  <c r="G70" i="1"/>
  <c r="H63" i="1"/>
  <c r="H68" i="1" s="1"/>
  <c r="R18" i="1"/>
  <c r="Q19" i="1"/>
  <c r="Q20" i="1" s="1"/>
  <c r="L56" i="1"/>
  <c r="L36" i="1"/>
  <c r="L38" i="1"/>
  <c r="L33" i="1"/>
  <c r="L37" i="1"/>
  <c r="L35" i="1"/>
  <c r="L34" i="1"/>
  <c r="S13" i="1"/>
  <c r="R14" i="1"/>
  <c r="R15" i="1" s="1"/>
  <c r="O9" i="1"/>
  <c r="O10" i="1" s="1"/>
  <c r="O22" i="1" s="1"/>
  <c r="N23" i="1"/>
  <c r="N27" i="1" s="1"/>
  <c r="N24" i="1"/>
  <c r="N28" i="1" s="1"/>
  <c r="N32" i="1" s="1"/>
  <c r="I60" i="1"/>
  <c r="I66" i="1"/>
  <c r="J73" i="5" l="1"/>
  <c r="H68" i="5"/>
  <c r="I63" i="5" s="1"/>
  <c r="I68" i="5" s="1"/>
  <c r="K30" i="5"/>
  <c r="K40" i="5" s="1"/>
  <c r="K55" i="5" s="1"/>
  <c r="K59" i="5" s="1"/>
  <c r="M31" i="5"/>
  <c r="Q13" i="5"/>
  <c r="P14" i="5"/>
  <c r="P15" i="5" s="1"/>
  <c r="N24" i="5"/>
  <c r="N28" i="5" s="1"/>
  <c r="N32" i="5" s="1"/>
  <c r="N23" i="5"/>
  <c r="N27" i="5" s="1"/>
  <c r="L56" i="5"/>
  <c r="L34" i="5"/>
  <c r="L35" i="5"/>
  <c r="L36" i="5"/>
  <c r="L37" i="5"/>
  <c r="L33" i="5"/>
  <c r="L38" i="5"/>
  <c r="H70" i="5"/>
  <c r="I75" i="5"/>
  <c r="J74" i="5"/>
  <c r="O9" i="5"/>
  <c r="O10" i="5" s="1"/>
  <c r="O22" i="5" s="1"/>
  <c r="P8" i="5"/>
  <c r="T18" i="5"/>
  <c r="S19" i="5"/>
  <c r="S20" i="5" s="1"/>
  <c r="J60" i="5"/>
  <c r="J66" i="5"/>
  <c r="K67" i="5"/>
  <c r="K73" i="5" s="1"/>
  <c r="I74" i="1"/>
  <c r="K55" i="4"/>
  <c r="K41" i="4"/>
  <c r="L55" i="4"/>
  <c r="L41" i="4"/>
  <c r="O22" i="4"/>
  <c r="J63" i="4"/>
  <c r="J68" i="4" s="1"/>
  <c r="I70" i="4"/>
  <c r="P19" i="4"/>
  <c r="P20" i="4" s="1"/>
  <c r="Q18" i="4"/>
  <c r="M31" i="4"/>
  <c r="M26" i="4"/>
  <c r="Q14" i="4"/>
  <c r="Q15" i="4" s="1"/>
  <c r="R13" i="4"/>
  <c r="P9" i="4"/>
  <c r="P10" i="4" s="1"/>
  <c r="Q8" i="4"/>
  <c r="J75" i="4"/>
  <c r="K74" i="4"/>
  <c r="N23" i="4"/>
  <c r="N27" i="4" s="1"/>
  <c r="N24" i="4"/>
  <c r="N28" i="4" s="1"/>
  <c r="N32" i="4" s="1"/>
  <c r="N26" i="1"/>
  <c r="N31" i="1"/>
  <c r="J55" i="1"/>
  <c r="J59" i="1" s="1"/>
  <c r="K41" i="1"/>
  <c r="L30" i="1"/>
  <c r="L40" i="1" s="1"/>
  <c r="L41" i="1" s="1"/>
  <c r="J41" i="2"/>
  <c r="H68" i="2"/>
  <c r="Q8" i="2"/>
  <c r="P9" i="2"/>
  <c r="P10" i="2" s="1"/>
  <c r="P18" i="2"/>
  <c r="O19" i="2"/>
  <c r="O20" i="2" s="1"/>
  <c r="M23" i="2"/>
  <c r="M27" i="2" s="1"/>
  <c r="M24" i="2"/>
  <c r="M28" i="2" s="1"/>
  <c r="M32" i="2" s="1"/>
  <c r="N23" i="2"/>
  <c r="N27" i="2" s="1"/>
  <c r="N24" i="2"/>
  <c r="N28" i="2" s="1"/>
  <c r="N32" i="2" s="1"/>
  <c r="O14" i="2"/>
  <c r="O15" i="2" s="1"/>
  <c r="P13" i="2"/>
  <c r="K38" i="2"/>
  <c r="K36" i="2"/>
  <c r="K56" i="2"/>
  <c r="K34" i="2"/>
  <c r="K35" i="2"/>
  <c r="K37" i="2"/>
  <c r="K33" i="2"/>
  <c r="I74" i="2"/>
  <c r="I73" i="2"/>
  <c r="J73" i="2" s="1"/>
  <c r="I63" i="2"/>
  <c r="I68" i="2" s="1"/>
  <c r="H70" i="2"/>
  <c r="L38" i="2"/>
  <c r="L36" i="2"/>
  <c r="L37" i="2"/>
  <c r="L34" i="2"/>
  <c r="L56" i="2"/>
  <c r="L33" i="2"/>
  <c r="L35" i="2"/>
  <c r="K67" i="2"/>
  <c r="J60" i="2"/>
  <c r="J66" i="2"/>
  <c r="I75" i="1"/>
  <c r="J74" i="1"/>
  <c r="M56" i="1"/>
  <c r="M38" i="1"/>
  <c r="M36" i="1"/>
  <c r="M37" i="1"/>
  <c r="M35" i="1"/>
  <c r="M34" i="1"/>
  <c r="M33" i="1"/>
  <c r="H70" i="1"/>
  <c r="I63" i="1"/>
  <c r="I68" i="1" s="1"/>
  <c r="T13" i="1"/>
  <c r="S14" i="1"/>
  <c r="S15" i="1" s="1"/>
  <c r="K60" i="1"/>
  <c r="K66" i="1"/>
  <c r="P9" i="1"/>
  <c r="P10" i="1" s="1"/>
  <c r="P22" i="1" s="1"/>
  <c r="O24" i="1"/>
  <c r="O28" i="1" s="1"/>
  <c r="O32" i="1" s="1"/>
  <c r="O23" i="1"/>
  <c r="O27" i="1" s="1"/>
  <c r="S18" i="1"/>
  <c r="R19" i="1"/>
  <c r="R20" i="1" s="1"/>
  <c r="K41" i="5" l="1"/>
  <c r="L30" i="5"/>
  <c r="L40" i="5" s="1"/>
  <c r="L55" i="5" s="1"/>
  <c r="L59" i="5" s="1"/>
  <c r="J75" i="5"/>
  <c r="K74" i="5"/>
  <c r="Q14" i="5"/>
  <c r="Q15" i="5" s="1"/>
  <c r="R13" i="5"/>
  <c r="T19" i="5"/>
  <c r="T20" i="5" s="1"/>
  <c r="U18" i="5"/>
  <c r="I70" i="5"/>
  <c r="J63" i="5"/>
  <c r="J68" i="5" s="1"/>
  <c r="N31" i="5"/>
  <c r="P9" i="5"/>
  <c r="P10" i="5" s="1"/>
  <c r="P22" i="5" s="1"/>
  <c r="Q8" i="5"/>
  <c r="M56" i="5"/>
  <c r="M34" i="5"/>
  <c r="M35" i="5"/>
  <c r="M36" i="5"/>
  <c r="M37" i="5"/>
  <c r="M33" i="5"/>
  <c r="M38" i="5"/>
  <c r="O24" i="5"/>
  <c r="O28" i="5" s="1"/>
  <c r="O32" i="5" s="1"/>
  <c r="O23" i="5"/>
  <c r="O27" i="5" s="1"/>
  <c r="K66" i="5"/>
  <c r="K60" i="5"/>
  <c r="L67" i="5"/>
  <c r="L73" i="5" s="1"/>
  <c r="K67" i="1"/>
  <c r="K73" i="1" s="1"/>
  <c r="L73" i="1" s="1"/>
  <c r="J60" i="1"/>
  <c r="N26" i="4"/>
  <c r="N31" i="4"/>
  <c r="P22" i="4"/>
  <c r="M56" i="4"/>
  <c r="M34" i="4"/>
  <c r="M30" i="4" s="1"/>
  <c r="M40" i="4" s="1"/>
  <c r="M38" i="4"/>
  <c r="M35" i="4"/>
  <c r="M33" i="4"/>
  <c r="M36" i="4"/>
  <c r="M37" i="4"/>
  <c r="L66" i="4"/>
  <c r="L60" i="4"/>
  <c r="R14" i="4"/>
  <c r="R15" i="4" s="1"/>
  <c r="S13" i="4"/>
  <c r="K75" i="4"/>
  <c r="R8" i="4"/>
  <c r="Q9" i="4"/>
  <c r="Q10" i="4" s="1"/>
  <c r="Q22" i="4" s="1"/>
  <c r="K63" i="4"/>
  <c r="J70" i="4"/>
  <c r="O23" i="4"/>
  <c r="O27" i="4" s="1"/>
  <c r="O24" i="4"/>
  <c r="O28" i="4" s="1"/>
  <c r="O32" i="4" s="1"/>
  <c r="R18" i="4"/>
  <c r="Q19" i="4"/>
  <c r="Q20" i="4" s="1"/>
  <c r="L73" i="4"/>
  <c r="M73" i="4" s="1"/>
  <c r="K60" i="4"/>
  <c r="K66" i="4"/>
  <c r="O26" i="1"/>
  <c r="O31" i="1"/>
  <c r="L55" i="1"/>
  <c r="L59" i="1" s="1"/>
  <c r="M67" i="1" s="1"/>
  <c r="M73" i="1" s="1"/>
  <c r="J66" i="1"/>
  <c r="M30" i="1"/>
  <c r="M40" i="1" s="1"/>
  <c r="M55" i="1" s="1"/>
  <c r="M59" i="1" s="1"/>
  <c r="N67" i="1" s="1"/>
  <c r="K30" i="2"/>
  <c r="K40" i="2" s="1"/>
  <c r="K73" i="2"/>
  <c r="L30" i="2"/>
  <c r="L40" i="2" s="1"/>
  <c r="L55" i="2" s="1"/>
  <c r="L59" i="2" s="1"/>
  <c r="Q9" i="2"/>
  <c r="Q10" i="2" s="1"/>
  <c r="R8" i="2"/>
  <c r="L41" i="2"/>
  <c r="K55" i="2"/>
  <c r="K59" i="2" s="1"/>
  <c r="K41" i="2"/>
  <c r="P19" i="2"/>
  <c r="P20" i="2" s="1"/>
  <c r="Q18" i="2"/>
  <c r="N31" i="2"/>
  <c r="N26" i="2"/>
  <c r="I75" i="2"/>
  <c r="J74" i="2"/>
  <c r="M26" i="2"/>
  <c r="M31" i="2"/>
  <c r="Q13" i="2"/>
  <c r="P14" i="2"/>
  <c r="P15" i="2" s="1"/>
  <c r="P22" i="2" s="1"/>
  <c r="I70" i="2"/>
  <c r="J63" i="2"/>
  <c r="J68" i="2" s="1"/>
  <c r="O22" i="2"/>
  <c r="T18" i="1"/>
  <c r="S19" i="1"/>
  <c r="S20" i="1" s="1"/>
  <c r="N56" i="1"/>
  <c r="N37" i="1"/>
  <c r="N36" i="1"/>
  <c r="N34" i="1"/>
  <c r="N33" i="1"/>
  <c r="N35" i="1"/>
  <c r="N38" i="1"/>
  <c r="U13" i="1"/>
  <c r="T14" i="1"/>
  <c r="T15" i="1" s="1"/>
  <c r="Q9" i="1"/>
  <c r="Q10" i="1" s="1"/>
  <c r="Q22" i="1" s="1"/>
  <c r="J63" i="1"/>
  <c r="I70" i="1"/>
  <c r="J75" i="1"/>
  <c r="K74" i="1"/>
  <c r="P24" i="1"/>
  <c r="P28" i="1" s="1"/>
  <c r="P32" i="1" s="1"/>
  <c r="P23" i="1"/>
  <c r="P27" i="1" s="1"/>
  <c r="L41" i="5" l="1"/>
  <c r="M30" i="5"/>
  <c r="M40" i="5" s="1"/>
  <c r="M55" i="5" s="1"/>
  <c r="M59" i="5" s="1"/>
  <c r="P23" i="5"/>
  <c r="P27" i="5" s="1"/>
  <c r="P24" i="5"/>
  <c r="P28" i="5" s="1"/>
  <c r="P32" i="5" s="1"/>
  <c r="R14" i="5"/>
  <c r="R15" i="5" s="1"/>
  <c r="S13" i="5"/>
  <c r="J70" i="5"/>
  <c r="K63" i="5"/>
  <c r="K68" i="5" s="1"/>
  <c r="N35" i="5"/>
  <c r="N36" i="5"/>
  <c r="N56" i="5"/>
  <c r="N38" i="5"/>
  <c r="N34" i="5"/>
  <c r="N37" i="5"/>
  <c r="N33" i="5"/>
  <c r="O31" i="5"/>
  <c r="L74" i="5"/>
  <c r="K75" i="5"/>
  <c r="L66" i="5"/>
  <c r="M67" i="5"/>
  <c r="M73" i="5" s="1"/>
  <c r="L60" i="5"/>
  <c r="U19" i="5"/>
  <c r="U20" i="5" s="1"/>
  <c r="V18" i="5"/>
  <c r="Q9" i="5"/>
  <c r="Q10" i="5" s="1"/>
  <c r="Q22" i="5" s="1"/>
  <c r="R8" i="5"/>
  <c r="K68" i="4"/>
  <c r="M41" i="4"/>
  <c r="M55" i="4"/>
  <c r="Q23" i="4"/>
  <c r="Q27" i="4" s="1"/>
  <c r="Q24" i="4"/>
  <c r="Q28" i="4" s="1"/>
  <c r="Q32" i="4" s="1"/>
  <c r="S8" i="4"/>
  <c r="R9" i="4"/>
  <c r="R10" i="4" s="1"/>
  <c r="R22" i="4" s="1"/>
  <c r="P23" i="4"/>
  <c r="P27" i="4" s="1"/>
  <c r="P24" i="4"/>
  <c r="P28" i="4" s="1"/>
  <c r="P32" i="4" s="1"/>
  <c r="L74" i="4"/>
  <c r="R19" i="4"/>
  <c r="R20" i="4" s="1"/>
  <c r="S18" i="4"/>
  <c r="O31" i="4"/>
  <c r="O26" i="4"/>
  <c r="T13" i="4"/>
  <c r="S14" i="4"/>
  <c r="S15" i="4" s="1"/>
  <c r="N56" i="4"/>
  <c r="N37" i="4"/>
  <c r="N34" i="4"/>
  <c r="N30" i="4" s="1"/>
  <c r="N40" i="4" s="1"/>
  <c r="N35" i="4"/>
  <c r="N38" i="4"/>
  <c r="N33" i="4"/>
  <c r="N36" i="4"/>
  <c r="L63" i="4"/>
  <c r="L68" i="4" s="1"/>
  <c r="K70" i="4"/>
  <c r="P26" i="1"/>
  <c r="P31" i="1"/>
  <c r="L60" i="1"/>
  <c r="L66" i="1"/>
  <c r="M41" i="1"/>
  <c r="J68" i="1"/>
  <c r="J70" i="1" s="1"/>
  <c r="N30" i="1"/>
  <c r="N40" i="1" s="1"/>
  <c r="N55" i="1" s="1"/>
  <c r="N59" i="1" s="1"/>
  <c r="O67" i="1" s="1"/>
  <c r="R9" i="2"/>
  <c r="R10" i="2" s="1"/>
  <c r="S8" i="2"/>
  <c r="M56" i="2"/>
  <c r="M36" i="2"/>
  <c r="M35" i="2"/>
  <c r="M38" i="2"/>
  <c r="M33" i="2"/>
  <c r="M37" i="2"/>
  <c r="M34" i="2"/>
  <c r="N56" i="2"/>
  <c r="N37" i="2"/>
  <c r="N35" i="2"/>
  <c r="N33" i="2"/>
  <c r="N36" i="2"/>
  <c r="N38" i="2"/>
  <c r="N34" i="2"/>
  <c r="J75" i="2"/>
  <c r="K74" i="2"/>
  <c r="K63" i="2"/>
  <c r="J70" i="2"/>
  <c r="L67" i="2"/>
  <c r="L73" i="2" s="1"/>
  <c r="K66" i="2"/>
  <c r="K60" i="2"/>
  <c r="P24" i="2"/>
  <c r="P28" i="2" s="1"/>
  <c r="P32" i="2" s="1"/>
  <c r="P23" i="2"/>
  <c r="P27" i="2" s="1"/>
  <c r="R13" i="2"/>
  <c r="Q14" i="2"/>
  <c r="Q15" i="2" s="1"/>
  <c r="Q19" i="2"/>
  <c r="Q20" i="2" s="1"/>
  <c r="R18" i="2"/>
  <c r="O24" i="2"/>
  <c r="O28" i="2" s="1"/>
  <c r="O32" i="2" s="1"/>
  <c r="O23" i="2"/>
  <c r="O27" i="2" s="1"/>
  <c r="M67" i="2"/>
  <c r="L60" i="2"/>
  <c r="L66" i="2"/>
  <c r="U14" i="1"/>
  <c r="U15" i="1" s="1"/>
  <c r="V13" i="1"/>
  <c r="O56" i="1"/>
  <c r="O35" i="1"/>
  <c r="O37" i="1"/>
  <c r="O38" i="1"/>
  <c r="O33" i="1"/>
  <c r="O34" i="1"/>
  <c r="O36" i="1"/>
  <c r="U18" i="1"/>
  <c r="T19" i="1"/>
  <c r="T20" i="1" s="1"/>
  <c r="Q24" i="1"/>
  <c r="Q28" i="1" s="1"/>
  <c r="Q32" i="1" s="1"/>
  <c r="Q23" i="1"/>
  <c r="Q27" i="1" s="1"/>
  <c r="R9" i="1"/>
  <c r="R10" i="1" s="1"/>
  <c r="R22" i="1" s="1"/>
  <c r="L74" i="1"/>
  <c r="K75" i="1"/>
  <c r="M66" i="1"/>
  <c r="N73" i="1"/>
  <c r="M60" i="1"/>
  <c r="N30" i="5" l="1"/>
  <c r="N40" i="5" s="1"/>
  <c r="N41" i="5" s="1"/>
  <c r="M41" i="5"/>
  <c r="M74" i="5"/>
  <c r="L75" i="5"/>
  <c r="R9" i="5"/>
  <c r="R10" i="5" s="1"/>
  <c r="R22" i="5" s="1"/>
  <c r="S8" i="5"/>
  <c r="Q23" i="5"/>
  <c r="Q27" i="5" s="1"/>
  <c r="Q24" i="5"/>
  <c r="Q28" i="5" s="1"/>
  <c r="Q32" i="5" s="1"/>
  <c r="V19" i="5"/>
  <c r="V20" i="5" s="1"/>
  <c r="W18" i="5"/>
  <c r="K70" i="5"/>
  <c r="L63" i="5"/>
  <c r="L68" i="5" s="1"/>
  <c r="P31" i="5"/>
  <c r="O36" i="5"/>
  <c r="O37" i="5"/>
  <c r="O35" i="5"/>
  <c r="O34" i="5"/>
  <c r="O56" i="5"/>
  <c r="O38" i="5"/>
  <c r="O33" i="5"/>
  <c r="S14" i="5"/>
  <c r="S15" i="5" s="1"/>
  <c r="T13" i="5"/>
  <c r="M66" i="5"/>
  <c r="N67" i="5"/>
  <c r="N73" i="5" s="1"/>
  <c r="M60" i="5"/>
  <c r="N55" i="4"/>
  <c r="N41" i="4"/>
  <c r="R24" i="4"/>
  <c r="R28" i="4" s="1"/>
  <c r="R32" i="4" s="1"/>
  <c r="R23" i="4"/>
  <c r="R27" i="4" s="1"/>
  <c r="T8" i="4"/>
  <c r="S9" i="4"/>
  <c r="S10" i="4" s="1"/>
  <c r="M63" i="4"/>
  <c r="M68" i="4" s="1"/>
  <c r="L70" i="4"/>
  <c r="Q31" i="4"/>
  <c r="Q26" i="4"/>
  <c r="T14" i="4"/>
  <c r="T15" i="4" s="1"/>
  <c r="U13" i="4"/>
  <c r="P31" i="4"/>
  <c r="P26" i="4"/>
  <c r="S19" i="4"/>
  <c r="S20" i="4" s="1"/>
  <c r="T18" i="4"/>
  <c r="M74" i="4"/>
  <c r="L75" i="4"/>
  <c r="M66" i="4"/>
  <c r="N73" i="4"/>
  <c r="M60" i="4"/>
  <c r="O56" i="4"/>
  <c r="O37" i="4"/>
  <c r="O38" i="4"/>
  <c r="O36" i="4"/>
  <c r="O35" i="4"/>
  <c r="O34" i="4"/>
  <c r="O33" i="4"/>
  <c r="O30" i="4" s="1"/>
  <c r="O40" i="4" s="1"/>
  <c r="Q26" i="1"/>
  <c r="Q31" i="1"/>
  <c r="N41" i="1"/>
  <c r="K63" i="1"/>
  <c r="K68" i="1" s="1"/>
  <c r="L63" i="1" s="1"/>
  <c r="L68" i="1" s="1"/>
  <c r="O30" i="1"/>
  <c r="O40" i="1" s="1"/>
  <c r="O41" i="1" s="1"/>
  <c r="M73" i="2"/>
  <c r="N30" i="2"/>
  <c r="N40" i="2" s="1"/>
  <c r="N55" i="2" s="1"/>
  <c r="N59" i="2" s="1"/>
  <c r="M30" i="2"/>
  <c r="M40" i="2" s="1"/>
  <c r="T8" i="2"/>
  <c r="S9" i="2"/>
  <c r="S10" i="2" s="1"/>
  <c r="M41" i="2"/>
  <c r="M55" i="2"/>
  <c r="M59" i="2" s="1"/>
  <c r="N41" i="2"/>
  <c r="O31" i="2"/>
  <c r="O26" i="2"/>
  <c r="Q22" i="2"/>
  <c r="R19" i="2"/>
  <c r="R20" i="2" s="1"/>
  <c r="S18" i="2"/>
  <c r="S13" i="2"/>
  <c r="R14" i="2"/>
  <c r="R15" i="2" s="1"/>
  <c r="K68" i="2"/>
  <c r="P31" i="2"/>
  <c r="P26" i="2"/>
  <c r="L74" i="2"/>
  <c r="K75" i="2"/>
  <c r="O73" i="1"/>
  <c r="M74" i="1"/>
  <c r="L75" i="1"/>
  <c r="P56" i="1"/>
  <c r="P37" i="1"/>
  <c r="P36" i="1"/>
  <c r="P35" i="1"/>
  <c r="P38" i="1"/>
  <c r="P34" i="1"/>
  <c r="P33" i="1"/>
  <c r="S9" i="1"/>
  <c r="S10" i="1" s="1"/>
  <c r="S22" i="1" s="1"/>
  <c r="U19" i="1"/>
  <c r="U20" i="1" s="1"/>
  <c r="V18" i="1"/>
  <c r="V14" i="1"/>
  <c r="V15" i="1" s="1"/>
  <c r="W13" i="1"/>
  <c r="N66" i="1"/>
  <c r="N60" i="1"/>
  <c r="R24" i="1"/>
  <c r="R28" i="1" s="1"/>
  <c r="R32" i="1" s="1"/>
  <c r="R23" i="1"/>
  <c r="R27" i="1" s="1"/>
  <c r="N55" i="5" l="1"/>
  <c r="N59" i="5" s="1"/>
  <c r="N66" i="5" s="1"/>
  <c r="O30" i="5"/>
  <c r="O40" i="5" s="1"/>
  <c r="O41" i="5" s="1"/>
  <c r="R24" i="5"/>
  <c r="R28" i="5" s="1"/>
  <c r="R32" i="5" s="1"/>
  <c r="R23" i="5"/>
  <c r="R27" i="5" s="1"/>
  <c r="N74" i="5"/>
  <c r="M75" i="5"/>
  <c r="Q31" i="5"/>
  <c r="P37" i="5"/>
  <c r="P56" i="5"/>
  <c r="P36" i="5"/>
  <c r="P35" i="5"/>
  <c r="P34" i="5"/>
  <c r="P33" i="5"/>
  <c r="P38" i="5"/>
  <c r="M63" i="5"/>
  <c r="M68" i="5" s="1"/>
  <c r="L70" i="5"/>
  <c r="T14" i="5"/>
  <c r="T15" i="5" s="1"/>
  <c r="U13" i="5"/>
  <c r="X18" i="5"/>
  <c r="W19" i="5"/>
  <c r="W20" i="5" s="1"/>
  <c r="O67" i="5"/>
  <c r="O73" i="5" s="1"/>
  <c r="N60" i="5"/>
  <c r="T8" i="5"/>
  <c r="S9" i="5"/>
  <c r="S10" i="5" s="1"/>
  <c r="S22" i="5" s="1"/>
  <c r="K70" i="1"/>
  <c r="O55" i="4"/>
  <c r="O41" i="4"/>
  <c r="P37" i="4"/>
  <c r="P35" i="4"/>
  <c r="P56" i="4"/>
  <c r="P38" i="4"/>
  <c r="P34" i="4"/>
  <c r="P30" i="4" s="1"/>
  <c r="P40" i="4" s="1"/>
  <c r="P36" i="4"/>
  <c r="P33" i="4"/>
  <c r="M70" i="4"/>
  <c r="N63" i="4"/>
  <c r="T9" i="4"/>
  <c r="T10" i="4" s="1"/>
  <c r="T22" i="4" s="1"/>
  <c r="U8" i="4"/>
  <c r="V13" i="4"/>
  <c r="U14" i="4"/>
  <c r="U15" i="4" s="1"/>
  <c r="M75" i="4"/>
  <c r="N74" i="4"/>
  <c r="S22" i="4"/>
  <c r="O73" i="4"/>
  <c r="R31" i="4"/>
  <c r="R26" i="4"/>
  <c r="Q56" i="4"/>
  <c r="Q38" i="4"/>
  <c r="Q33" i="4"/>
  <c r="Q30" i="4" s="1"/>
  <c r="Q40" i="4" s="1"/>
  <c r="Q36" i="4"/>
  <c r="Q35" i="4"/>
  <c r="Q37" i="4"/>
  <c r="Q34" i="4"/>
  <c r="T19" i="4"/>
  <c r="T20" i="4" s="1"/>
  <c r="U18" i="4"/>
  <c r="N66" i="4"/>
  <c r="N60" i="4"/>
  <c r="R26" i="1"/>
  <c r="R31" i="1"/>
  <c r="O55" i="1"/>
  <c r="O59" i="1" s="1"/>
  <c r="P67" i="1" s="1"/>
  <c r="P73" i="1" s="1"/>
  <c r="P30" i="1"/>
  <c r="P40" i="1" s="1"/>
  <c r="P41" i="1" s="1"/>
  <c r="R22" i="2"/>
  <c r="U8" i="2"/>
  <c r="T9" i="2"/>
  <c r="T10" i="2" s="1"/>
  <c r="Q24" i="2"/>
  <c r="Q28" i="2" s="1"/>
  <c r="Q32" i="2" s="1"/>
  <c r="Q23" i="2"/>
  <c r="Q27" i="2" s="1"/>
  <c r="R24" i="2"/>
  <c r="R28" i="2" s="1"/>
  <c r="R32" i="2" s="1"/>
  <c r="R23" i="2"/>
  <c r="R27" i="2" s="1"/>
  <c r="L63" i="2"/>
  <c r="L68" i="2" s="1"/>
  <c r="K70" i="2"/>
  <c r="O56" i="2"/>
  <c r="O37" i="2"/>
  <c r="O35" i="2"/>
  <c r="O38" i="2"/>
  <c r="O33" i="2"/>
  <c r="O34" i="2"/>
  <c r="O36" i="2"/>
  <c r="S14" i="2"/>
  <c r="S15" i="2" s="1"/>
  <c r="T13" i="2"/>
  <c r="N66" i="2"/>
  <c r="N60" i="2"/>
  <c r="O67" i="2"/>
  <c r="M74" i="2"/>
  <c r="L75" i="2"/>
  <c r="P37" i="2"/>
  <c r="P38" i="2"/>
  <c r="P36" i="2"/>
  <c r="P56" i="2"/>
  <c r="P33" i="2"/>
  <c r="P34" i="2"/>
  <c r="P35" i="2"/>
  <c r="T18" i="2"/>
  <c r="S19" i="2"/>
  <c r="S20" i="2" s="1"/>
  <c r="M66" i="2"/>
  <c r="N67" i="2"/>
  <c r="N73" i="2" s="1"/>
  <c r="M60" i="2"/>
  <c r="Q37" i="1"/>
  <c r="Q56" i="1"/>
  <c r="Q35" i="1"/>
  <c r="Q36" i="1"/>
  <c r="Q38" i="1"/>
  <c r="Q34" i="1"/>
  <c r="Q33" i="1"/>
  <c r="M63" i="1"/>
  <c r="M68" i="1" s="1"/>
  <c r="L70" i="1"/>
  <c r="T9" i="1"/>
  <c r="T10" i="1" s="1"/>
  <c r="T22" i="1" s="1"/>
  <c r="W14" i="1"/>
  <c r="W15" i="1" s="1"/>
  <c r="X13" i="1"/>
  <c r="S24" i="1"/>
  <c r="S28" i="1" s="1"/>
  <c r="S32" i="1" s="1"/>
  <c r="S23" i="1"/>
  <c r="S27" i="1" s="1"/>
  <c r="N74" i="1"/>
  <c r="M75" i="1"/>
  <c r="V19" i="1"/>
  <c r="V20" i="1" s="1"/>
  <c r="W18" i="1"/>
  <c r="O55" i="5" l="1"/>
  <c r="O59" i="5" s="1"/>
  <c r="O60" i="5" s="1"/>
  <c r="P30" i="5"/>
  <c r="P40" i="5" s="1"/>
  <c r="P41" i="5" s="1"/>
  <c r="V13" i="5"/>
  <c r="U14" i="5"/>
  <c r="U15" i="5" s="1"/>
  <c r="S23" i="5"/>
  <c r="S27" i="5" s="1"/>
  <c r="S24" i="5"/>
  <c r="S28" i="5" s="1"/>
  <c r="S32" i="5" s="1"/>
  <c r="U8" i="5"/>
  <c r="T9" i="5"/>
  <c r="T10" i="5" s="1"/>
  <c r="T22" i="5" s="1"/>
  <c r="M70" i="5"/>
  <c r="N63" i="5"/>
  <c r="N68" i="5" s="1"/>
  <c r="Y18" i="5"/>
  <c r="X19" i="5"/>
  <c r="X20" i="5" s="1"/>
  <c r="O74" i="5"/>
  <c r="N75" i="5"/>
  <c r="O66" i="5"/>
  <c r="P67" i="5"/>
  <c r="P73" i="5" s="1"/>
  <c r="R31" i="5"/>
  <c r="Q37" i="5"/>
  <c r="Q38" i="5"/>
  <c r="Q56" i="5"/>
  <c r="Q33" i="5"/>
  <c r="Q36" i="5"/>
  <c r="Q34" i="5"/>
  <c r="Q35" i="5"/>
  <c r="O66" i="1"/>
  <c r="O60" i="1"/>
  <c r="P55" i="1"/>
  <c r="P59" i="1" s="1"/>
  <c r="Q67" i="1" s="1"/>
  <c r="Q73" i="1" s="1"/>
  <c r="Q55" i="4"/>
  <c r="Q41" i="4"/>
  <c r="P41" i="4"/>
  <c r="P55" i="4"/>
  <c r="U9" i="4"/>
  <c r="U10" i="4" s="1"/>
  <c r="V8" i="4"/>
  <c r="R30" i="4"/>
  <c r="R40" i="4" s="1"/>
  <c r="T24" i="4"/>
  <c r="T28" i="4" s="1"/>
  <c r="T32" i="4" s="1"/>
  <c r="T23" i="4"/>
  <c r="T27" i="4" s="1"/>
  <c r="W13" i="4"/>
  <c r="V14" i="4"/>
  <c r="V15" i="4" s="1"/>
  <c r="V18" i="4"/>
  <c r="U19" i="4"/>
  <c r="U20" i="4" s="1"/>
  <c r="R38" i="4"/>
  <c r="R36" i="4"/>
  <c r="R56" i="4"/>
  <c r="R33" i="4"/>
  <c r="R34" i="4"/>
  <c r="R37" i="4"/>
  <c r="R35" i="4"/>
  <c r="N68" i="4"/>
  <c r="O74" i="4"/>
  <c r="N75" i="4"/>
  <c r="S24" i="4"/>
  <c r="S28" i="4" s="1"/>
  <c r="S32" i="4" s="1"/>
  <c r="S23" i="4"/>
  <c r="S27" i="4" s="1"/>
  <c r="O66" i="4"/>
  <c r="O60" i="4"/>
  <c r="P73" i="4"/>
  <c r="S26" i="1"/>
  <c r="S31" i="1"/>
  <c r="Q30" i="1"/>
  <c r="Q40" i="1" s="1"/>
  <c r="Q41" i="1" s="1"/>
  <c r="O30" i="2"/>
  <c r="O40" i="2" s="1"/>
  <c r="P30" i="2"/>
  <c r="P40" i="2" s="1"/>
  <c r="P41" i="2" s="1"/>
  <c r="O73" i="2"/>
  <c r="U9" i="2"/>
  <c r="U10" i="2" s="1"/>
  <c r="V8" i="2"/>
  <c r="O55" i="2"/>
  <c r="O59" i="2" s="1"/>
  <c r="O41" i="2"/>
  <c r="P55" i="2"/>
  <c r="P59" i="2" s="1"/>
  <c r="R26" i="2"/>
  <c r="R31" i="2"/>
  <c r="Q31" i="2"/>
  <c r="Q26" i="2"/>
  <c r="T19" i="2"/>
  <c r="T20" i="2" s="1"/>
  <c r="U18" i="2"/>
  <c r="M63" i="2"/>
  <c r="M68" i="2" s="1"/>
  <c r="L70" i="2"/>
  <c r="T14" i="2"/>
  <c r="T15" i="2" s="1"/>
  <c r="U13" i="2"/>
  <c r="M75" i="2"/>
  <c r="N74" i="2"/>
  <c r="S22" i="2"/>
  <c r="T23" i="1"/>
  <c r="T27" i="1" s="1"/>
  <c r="T24" i="1"/>
  <c r="T28" i="1" s="1"/>
  <c r="T32" i="1" s="1"/>
  <c r="U9" i="1"/>
  <c r="U10" i="1" s="1"/>
  <c r="U22" i="1" s="1"/>
  <c r="R56" i="1"/>
  <c r="R38" i="1"/>
  <c r="R36" i="1"/>
  <c r="R37" i="1"/>
  <c r="R35" i="1"/>
  <c r="R34" i="1"/>
  <c r="R33" i="1"/>
  <c r="X14" i="1"/>
  <c r="X15" i="1" s="1"/>
  <c r="Y13" i="1"/>
  <c r="O74" i="1"/>
  <c r="N75" i="1"/>
  <c r="M70" i="1"/>
  <c r="N63" i="1"/>
  <c r="N68" i="1" s="1"/>
  <c r="W19" i="1"/>
  <c r="W20" i="1" s="1"/>
  <c r="X18" i="1"/>
  <c r="P55" i="5" l="1"/>
  <c r="P59" i="5" s="1"/>
  <c r="Q30" i="5"/>
  <c r="Q40" i="5" s="1"/>
  <c r="Q41" i="5" s="1"/>
  <c r="P74" i="5"/>
  <c r="O75" i="5"/>
  <c r="O63" i="5"/>
  <c r="O68" i="5" s="1"/>
  <c r="N70" i="5"/>
  <c r="P60" i="5"/>
  <c r="Q67" i="5"/>
  <c r="Q73" i="5" s="1"/>
  <c r="P66" i="5"/>
  <c r="R38" i="5"/>
  <c r="R33" i="5"/>
  <c r="R36" i="5"/>
  <c r="R34" i="5"/>
  <c r="R56" i="5"/>
  <c r="R35" i="5"/>
  <c r="R37" i="5"/>
  <c r="T23" i="5"/>
  <c r="T27" i="5" s="1"/>
  <c r="T24" i="5"/>
  <c r="T28" i="5" s="1"/>
  <c r="T32" i="5" s="1"/>
  <c r="S31" i="5"/>
  <c r="Z18" i="5"/>
  <c r="Y19" i="5"/>
  <c r="Y20" i="5" s="1"/>
  <c r="W13" i="5"/>
  <c r="V14" i="5"/>
  <c r="V15" i="5" s="1"/>
  <c r="V8" i="5"/>
  <c r="U9" i="5"/>
  <c r="U10" i="5" s="1"/>
  <c r="U22" i="5" s="1"/>
  <c r="P66" i="1"/>
  <c r="P60" i="1"/>
  <c r="Q55" i="1"/>
  <c r="Q59" i="1" s="1"/>
  <c r="R67" i="1" s="1"/>
  <c r="R73" i="1" s="1"/>
  <c r="R55" i="4"/>
  <c r="R41" i="4"/>
  <c r="P60" i="4"/>
  <c r="P66" i="4"/>
  <c r="Q73" i="4"/>
  <c r="R73" i="4" s="1"/>
  <c r="P74" i="4"/>
  <c r="O75" i="4"/>
  <c r="N70" i="4"/>
  <c r="O63" i="4"/>
  <c r="O68" i="4" s="1"/>
  <c r="W8" i="4"/>
  <c r="V9" i="4"/>
  <c r="V10" i="4" s="1"/>
  <c r="W18" i="4"/>
  <c r="V19" i="4"/>
  <c r="V20" i="4" s="1"/>
  <c r="S31" i="4"/>
  <c r="S26" i="4"/>
  <c r="X13" i="4"/>
  <c r="W14" i="4"/>
  <c r="W15" i="4" s="1"/>
  <c r="U22" i="4"/>
  <c r="T26" i="4"/>
  <c r="T31" i="4"/>
  <c r="Q66" i="4"/>
  <c r="Q60" i="4"/>
  <c r="T26" i="1"/>
  <c r="T31" i="1"/>
  <c r="R30" i="1"/>
  <c r="R40" i="1" s="1"/>
  <c r="R55" i="1" s="1"/>
  <c r="R59" i="1" s="1"/>
  <c r="S67" i="1" s="1"/>
  <c r="T22" i="2"/>
  <c r="W8" i="2"/>
  <c r="V9" i="2"/>
  <c r="V10" i="2" s="1"/>
  <c r="N75" i="2"/>
  <c r="O74" i="2"/>
  <c r="Q56" i="2"/>
  <c r="Q33" i="2"/>
  <c r="Q38" i="2"/>
  <c r="Q34" i="2"/>
  <c r="Q37" i="2"/>
  <c r="Q35" i="2"/>
  <c r="Q36" i="2"/>
  <c r="U14" i="2"/>
  <c r="U15" i="2" s="1"/>
  <c r="V13" i="2"/>
  <c r="T24" i="2"/>
  <c r="T28" i="2" s="1"/>
  <c r="T32" i="2" s="1"/>
  <c r="T23" i="2"/>
  <c r="T27" i="2" s="1"/>
  <c r="R38" i="2"/>
  <c r="R36" i="2"/>
  <c r="R34" i="2"/>
  <c r="R33" i="2"/>
  <c r="R56" i="2"/>
  <c r="R37" i="2"/>
  <c r="R35" i="2"/>
  <c r="S24" i="2"/>
  <c r="S28" i="2" s="1"/>
  <c r="S32" i="2" s="1"/>
  <c r="S23" i="2"/>
  <c r="S27" i="2" s="1"/>
  <c r="M70" i="2"/>
  <c r="N63" i="2"/>
  <c r="N68" i="2" s="1"/>
  <c r="P60" i="2"/>
  <c r="Q67" i="2"/>
  <c r="P66" i="2"/>
  <c r="V18" i="2"/>
  <c r="U19" i="2"/>
  <c r="U20" i="2" s="1"/>
  <c r="O66" i="2"/>
  <c r="O60" i="2"/>
  <c r="P67" i="2"/>
  <c r="P73" i="2" s="1"/>
  <c r="N70" i="1"/>
  <c r="O63" i="1"/>
  <c r="O68" i="1" s="1"/>
  <c r="U23" i="1"/>
  <c r="U27" i="1" s="1"/>
  <c r="U24" i="1"/>
  <c r="U28" i="1" s="1"/>
  <c r="U32" i="1" s="1"/>
  <c r="S38" i="1"/>
  <c r="S33" i="1"/>
  <c r="S37" i="1"/>
  <c r="S56" i="1"/>
  <c r="S35" i="1"/>
  <c r="S34" i="1"/>
  <c r="S36" i="1"/>
  <c r="V9" i="1"/>
  <c r="V10" i="1" s="1"/>
  <c r="V22" i="1" s="1"/>
  <c r="P74" i="1"/>
  <c r="O75" i="1"/>
  <c r="X19" i="1"/>
  <c r="X20" i="1" s="1"/>
  <c r="Y18" i="1"/>
  <c r="Z13" i="1"/>
  <c r="Y14" i="1"/>
  <c r="Y15" i="1" s="1"/>
  <c r="Q55" i="5" l="1"/>
  <c r="Q59" i="5" s="1"/>
  <c r="R30" i="5"/>
  <c r="R40" i="5" s="1"/>
  <c r="R55" i="5" s="1"/>
  <c r="R59" i="5" s="1"/>
  <c r="S56" i="5"/>
  <c r="S38" i="5"/>
  <c r="S33" i="5"/>
  <c r="S34" i="5"/>
  <c r="S36" i="5"/>
  <c r="S35" i="5"/>
  <c r="S37" i="5"/>
  <c r="W8" i="5"/>
  <c r="V9" i="5"/>
  <c r="V10" i="5" s="1"/>
  <c r="V22" i="5" s="1"/>
  <c r="U24" i="5"/>
  <c r="U28" i="5" s="1"/>
  <c r="U32" i="5" s="1"/>
  <c r="U23" i="5"/>
  <c r="U27" i="5" s="1"/>
  <c r="T31" i="5"/>
  <c r="O70" i="5"/>
  <c r="P63" i="5"/>
  <c r="P68" i="5" s="1"/>
  <c r="P75" i="5"/>
  <c r="Q74" i="5"/>
  <c r="X13" i="5"/>
  <c r="W14" i="5"/>
  <c r="W15" i="5" s="1"/>
  <c r="Q60" i="5"/>
  <c r="Q66" i="5"/>
  <c r="R67" i="5"/>
  <c r="R73" i="5" s="1"/>
  <c r="Z19" i="5"/>
  <c r="Z20" i="5" s="1"/>
  <c r="AA18" i="5"/>
  <c r="Q66" i="1"/>
  <c r="Q60" i="1"/>
  <c r="S38" i="4"/>
  <c r="S36" i="4"/>
  <c r="S37" i="4"/>
  <c r="S56" i="4"/>
  <c r="S35" i="4"/>
  <c r="S33" i="4"/>
  <c r="S30" i="4" s="1"/>
  <c r="S40" i="4" s="1"/>
  <c r="S34" i="4"/>
  <c r="P63" i="4"/>
  <c r="P68" i="4" s="1"/>
  <c r="O70" i="4"/>
  <c r="S73" i="4"/>
  <c r="R66" i="4"/>
  <c r="R60" i="4"/>
  <c r="P75" i="4"/>
  <c r="Q74" i="4"/>
  <c r="W19" i="4"/>
  <c r="W20" i="4" s="1"/>
  <c r="X18" i="4"/>
  <c r="T38" i="4"/>
  <c r="T36" i="4"/>
  <c r="T37" i="4"/>
  <c r="T34" i="4"/>
  <c r="T56" i="4"/>
  <c r="T35" i="4"/>
  <c r="T33" i="4"/>
  <c r="T30" i="4" s="1"/>
  <c r="T40" i="4" s="1"/>
  <c r="V22" i="4"/>
  <c r="U24" i="4"/>
  <c r="U28" i="4" s="1"/>
  <c r="U32" i="4" s="1"/>
  <c r="U23" i="4"/>
  <c r="U27" i="4" s="1"/>
  <c r="X8" i="4"/>
  <c r="W9" i="4"/>
  <c r="W10" i="4" s="1"/>
  <c r="Y13" i="4"/>
  <c r="X14" i="4"/>
  <c r="X15" i="4" s="1"/>
  <c r="U26" i="1"/>
  <c r="U31" i="1"/>
  <c r="R41" i="1"/>
  <c r="S30" i="1"/>
  <c r="S40" i="1" s="1"/>
  <c r="S41" i="1" s="1"/>
  <c r="R30" i="2"/>
  <c r="R40" i="2" s="1"/>
  <c r="R55" i="2" s="1"/>
  <c r="R59" i="2" s="1"/>
  <c r="Q73" i="2"/>
  <c r="Q30" i="2"/>
  <c r="Q40" i="2" s="1"/>
  <c r="Q55" i="2" s="1"/>
  <c r="Q59" i="2" s="1"/>
  <c r="W9" i="2"/>
  <c r="W10" i="2" s="1"/>
  <c r="X8" i="2"/>
  <c r="Q41" i="2"/>
  <c r="S26" i="2"/>
  <c r="S31" i="2"/>
  <c r="N70" i="2"/>
  <c r="O63" i="2"/>
  <c r="O68" i="2" s="1"/>
  <c r="W18" i="2"/>
  <c r="V19" i="2"/>
  <c r="V20" i="2" s="1"/>
  <c r="T26" i="2"/>
  <c r="T31" i="2"/>
  <c r="V14" i="2"/>
  <c r="V15" i="2" s="1"/>
  <c r="W13" i="2"/>
  <c r="P74" i="2"/>
  <c r="O75" i="2"/>
  <c r="U22" i="2"/>
  <c r="W9" i="1"/>
  <c r="W10" i="1" s="1"/>
  <c r="W22" i="1" s="1"/>
  <c r="O70" i="1"/>
  <c r="P63" i="1"/>
  <c r="P68" i="1" s="1"/>
  <c r="T38" i="1"/>
  <c r="T35" i="1"/>
  <c r="T34" i="1"/>
  <c r="T56" i="1"/>
  <c r="T33" i="1"/>
  <c r="T36" i="1"/>
  <c r="T37" i="1"/>
  <c r="Z18" i="1"/>
  <c r="Y19" i="1"/>
  <c r="Y20" i="1" s="1"/>
  <c r="P75" i="1"/>
  <c r="Q74" i="1"/>
  <c r="AA13" i="1"/>
  <c r="Z14" i="1"/>
  <c r="Z15" i="1" s="1"/>
  <c r="V23" i="1"/>
  <c r="V27" i="1" s="1"/>
  <c r="V24" i="1"/>
  <c r="V28" i="1" s="1"/>
  <c r="V32" i="1" s="1"/>
  <c r="S73" i="1"/>
  <c r="R66" i="1"/>
  <c r="R60" i="1"/>
  <c r="R41" i="5" l="1"/>
  <c r="S30" i="5"/>
  <c r="S40" i="5" s="1"/>
  <c r="S55" i="5" s="1"/>
  <c r="S59" i="5" s="1"/>
  <c r="T56" i="5"/>
  <c r="T34" i="5"/>
  <c r="T35" i="5"/>
  <c r="T33" i="5"/>
  <c r="T36" i="5"/>
  <c r="T38" i="5"/>
  <c r="T37" i="5"/>
  <c r="Q75" i="5"/>
  <c r="R74" i="5"/>
  <c r="P70" i="5"/>
  <c r="Q63" i="5"/>
  <c r="Q68" i="5" s="1"/>
  <c r="U31" i="5"/>
  <c r="Y13" i="5"/>
  <c r="X14" i="5"/>
  <c r="X15" i="5" s="1"/>
  <c r="V24" i="5"/>
  <c r="V28" i="5" s="1"/>
  <c r="V32" i="5" s="1"/>
  <c r="V23" i="5"/>
  <c r="V27" i="5" s="1"/>
  <c r="AA19" i="5"/>
  <c r="AA20" i="5" s="1"/>
  <c r="AB18" i="5"/>
  <c r="W9" i="5"/>
  <c r="W10" i="5" s="1"/>
  <c r="W22" i="5" s="1"/>
  <c r="X8" i="5"/>
  <c r="R60" i="5"/>
  <c r="S67" i="5"/>
  <c r="S73" i="5" s="1"/>
  <c r="R66" i="5"/>
  <c r="S55" i="1"/>
  <c r="S59" i="1" s="1"/>
  <c r="T67" i="1" s="1"/>
  <c r="T55" i="4"/>
  <c r="T41" i="4"/>
  <c r="S55" i="4"/>
  <c r="S41" i="4"/>
  <c r="Y8" i="4"/>
  <c r="X9" i="4"/>
  <c r="X10" i="4" s="1"/>
  <c r="X22" i="4" s="1"/>
  <c r="U31" i="4"/>
  <c r="U26" i="4"/>
  <c r="V24" i="4"/>
  <c r="V28" i="4" s="1"/>
  <c r="V32" i="4" s="1"/>
  <c r="V23" i="4"/>
  <c r="V27" i="4" s="1"/>
  <c r="Y18" i="4"/>
  <c r="X19" i="4"/>
  <c r="X20" i="4" s="1"/>
  <c r="P70" i="4"/>
  <c r="Q63" i="4"/>
  <c r="Q68" i="4" s="1"/>
  <c r="Z13" i="4"/>
  <c r="Y14" i="4"/>
  <c r="Y15" i="4" s="1"/>
  <c r="Q75" i="4"/>
  <c r="R74" i="4"/>
  <c r="W22" i="4"/>
  <c r="V26" i="1"/>
  <c r="V31" i="1"/>
  <c r="T30" i="1"/>
  <c r="T40" i="1" s="1"/>
  <c r="T55" i="1" s="1"/>
  <c r="T59" i="1" s="1"/>
  <c r="U67" i="1" s="1"/>
  <c r="R41" i="2"/>
  <c r="V22" i="2"/>
  <c r="Y8" i="2"/>
  <c r="X9" i="2"/>
  <c r="X10" i="2" s="1"/>
  <c r="V23" i="2"/>
  <c r="V27" i="2" s="1"/>
  <c r="V24" i="2"/>
  <c r="V28" i="2" s="1"/>
  <c r="V32" i="2" s="1"/>
  <c r="U24" i="2"/>
  <c r="U28" i="2" s="1"/>
  <c r="U32" i="2" s="1"/>
  <c r="U23" i="2"/>
  <c r="U27" i="2" s="1"/>
  <c r="S38" i="2"/>
  <c r="S36" i="2"/>
  <c r="S56" i="2"/>
  <c r="S34" i="2"/>
  <c r="S37" i="2"/>
  <c r="S35" i="2"/>
  <c r="S33" i="2"/>
  <c r="R67" i="2"/>
  <c r="R73" i="2" s="1"/>
  <c r="Q60" i="2"/>
  <c r="Q66" i="2"/>
  <c r="P75" i="2"/>
  <c r="Q74" i="2"/>
  <c r="X18" i="2"/>
  <c r="W19" i="2"/>
  <c r="W20" i="2" s="1"/>
  <c r="T38" i="2"/>
  <c r="T36" i="2"/>
  <c r="T37" i="2"/>
  <c r="T34" i="2"/>
  <c r="T56" i="2"/>
  <c r="T33" i="2"/>
  <c r="T35" i="2"/>
  <c r="W14" i="2"/>
  <c r="W15" i="2" s="1"/>
  <c r="X13" i="2"/>
  <c r="O70" i="2"/>
  <c r="P63" i="2"/>
  <c r="P68" i="2" s="1"/>
  <c r="S67" i="2"/>
  <c r="R60" i="2"/>
  <c r="R66" i="2"/>
  <c r="P70" i="1"/>
  <c r="Q63" i="1"/>
  <c r="Q68" i="1" s="1"/>
  <c r="AB13" i="1"/>
  <c r="AA14" i="1"/>
  <c r="AA15" i="1" s="1"/>
  <c r="Q75" i="1"/>
  <c r="R74" i="1"/>
  <c r="X9" i="1"/>
  <c r="X10" i="1" s="1"/>
  <c r="X22" i="1" s="1"/>
  <c r="W24" i="1"/>
  <c r="W28" i="1" s="1"/>
  <c r="W32" i="1" s="1"/>
  <c r="W23" i="1"/>
  <c r="W27" i="1" s="1"/>
  <c r="U56" i="1"/>
  <c r="U38" i="1"/>
  <c r="U36" i="1"/>
  <c r="U33" i="1"/>
  <c r="U34" i="1"/>
  <c r="U37" i="1"/>
  <c r="U35" i="1"/>
  <c r="AA18" i="1"/>
  <c r="Z19" i="1"/>
  <c r="Z20" i="1" s="1"/>
  <c r="T73" i="1"/>
  <c r="S66" i="1"/>
  <c r="S60" i="1"/>
  <c r="S41" i="5" l="1"/>
  <c r="T30" i="5"/>
  <c r="T40" i="5" s="1"/>
  <c r="T55" i="5" s="1"/>
  <c r="T59" i="5" s="1"/>
  <c r="W24" i="5"/>
  <c r="W28" i="5" s="1"/>
  <c r="W32" i="5" s="1"/>
  <c r="W23" i="5"/>
  <c r="W27" i="5" s="1"/>
  <c r="U56" i="5"/>
  <c r="U34" i="5"/>
  <c r="U35" i="5"/>
  <c r="U36" i="5"/>
  <c r="U33" i="5"/>
  <c r="U38" i="5"/>
  <c r="U37" i="5"/>
  <c r="R75" i="5"/>
  <c r="S74" i="5"/>
  <c r="Q70" i="5"/>
  <c r="R63" i="5"/>
  <c r="R68" i="5" s="1"/>
  <c r="V31" i="5"/>
  <c r="Y14" i="5"/>
  <c r="Y15" i="5" s="1"/>
  <c r="Z13" i="5"/>
  <c r="AB19" i="5"/>
  <c r="AB20" i="5" s="1"/>
  <c r="AC18" i="5"/>
  <c r="X9" i="5"/>
  <c r="X10" i="5" s="1"/>
  <c r="X22" i="5" s="1"/>
  <c r="Y8" i="5"/>
  <c r="S66" i="5"/>
  <c r="T67" i="5"/>
  <c r="T73" i="5" s="1"/>
  <c r="S60" i="5"/>
  <c r="X23" i="4"/>
  <c r="X27" i="4" s="1"/>
  <c r="X24" i="4"/>
  <c r="X28" i="4" s="1"/>
  <c r="X32" i="4" s="1"/>
  <c r="W23" i="4"/>
  <c r="W27" i="4" s="1"/>
  <c r="W24" i="4"/>
  <c r="W28" i="4" s="1"/>
  <c r="W32" i="4" s="1"/>
  <c r="Z18" i="4"/>
  <c r="Y19" i="4"/>
  <c r="Y20" i="4" s="1"/>
  <c r="Z14" i="4"/>
  <c r="Z15" i="4" s="1"/>
  <c r="AA13" i="4"/>
  <c r="Q70" i="4"/>
  <c r="R63" i="4"/>
  <c r="R68" i="4" s="1"/>
  <c r="V26" i="4"/>
  <c r="V31" i="4"/>
  <c r="T73" i="4"/>
  <c r="S60" i="4"/>
  <c r="S66" i="4"/>
  <c r="Y9" i="4"/>
  <c r="Y10" i="4" s="1"/>
  <c r="Y22" i="4" s="1"/>
  <c r="Z8" i="4"/>
  <c r="R75" i="4"/>
  <c r="S74" i="4"/>
  <c r="U56" i="4"/>
  <c r="U37" i="4"/>
  <c r="U34" i="4"/>
  <c r="U36" i="4"/>
  <c r="U35" i="4"/>
  <c r="U33" i="4"/>
  <c r="U30" i="4" s="1"/>
  <c r="U40" i="4" s="1"/>
  <c r="U38" i="4"/>
  <c r="T60" i="4"/>
  <c r="T66" i="4"/>
  <c r="W26" i="1"/>
  <c r="W31" i="1"/>
  <c r="U30" i="1"/>
  <c r="U40" i="1" s="1"/>
  <c r="U55" i="1" s="1"/>
  <c r="U59" i="1" s="1"/>
  <c r="V67" i="1" s="1"/>
  <c r="T41" i="1"/>
  <c r="S30" i="2"/>
  <c r="S40" i="2" s="1"/>
  <c r="S73" i="2"/>
  <c r="T30" i="2"/>
  <c r="T40" i="2" s="1"/>
  <c r="T41" i="2" s="1"/>
  <c r="Z8" i="2"/>
  <c r="Y9" i="2"/>
  <c r="Y10" i="2" s="1"/>
  <c r="S55" i="2"/>
  <c r="S59" i="2" s="1"/>
  <c r="S41" i="2"/>
  <c r="Q63" i="2"/>
  <c r="Q68" i="2" s="1"/>
  <c r="P70" i="2"/>
  <c r="U26" i="2"/>
  <c r="U31" i="2"/>
  <c r="Y18" i="2"/>
  <c r="X19" i="2"/>
  <c r="X20" i="2" s="1"/>
  <c r="Q75" i="2"/>
  <c r="R74" i="2"/>
  <c r="W22" i="2"/>
  <c r="X14" i="2"/>
  <c r="X15" i="2" s="1"/>
  <c r="Y13" i="2"/>
  <c r="V26" i="2"/>
  <c r="V31" i="2"/>
  <c r="AC13" i="1"/>
  <c r="AB14" i="1"/>
  <c r="AB15" i="1" s="1"/>
  <c r="X24" i="1"/>
  <c r="X28" i="1" s="1"/>
  <c r="X32" i="1" s="1"/>
  <c r="X23" i="1"/>
  <c r="X27" i="1" s="1"/>
  <c r="V56" i="1"/>
  <c r="V34" i="1"/>
  <c r="V37" i="1"/>
  <c r="V36" i="1"/>
  <c r="V35" i="1"/>
  <c r="V38" i="1"/>
  <c r="V33" i="1"/>
  <c r="Q70" i="1"/>
  <c r="R63" i="1"/>
  <c r="R68" i="1" s="1"/>
  <c r="Y9" i="1"/>
  <c r="Y10" i="1" s="1"/>
  <c r="Y22" i="1" s="1"/>
  <c r="R75" i="1"/>
  <c r="S74" i="1"/>
  <c r="AB18" i="1"/>
  <c r="AA19" i="1"/>
  <c r="AA20" i="1" s="1"/>
  <c r="U73" i="1"/>
  <c r="T66" i="1"/>
  <c r="T60" i="1"/>
  <c r="T41" i="5" l="1"/>
  <c r="U30" i="5"/>
  <c r="U40" i="5" s="1"/>
  <c r="U55" i="5" s="1"/>
  <c r="U59" i="5" s="1"/>
  <c r="S75" i="5"/>
  <c r="T74" i="5"/>
  <c r="X23" i="5"/>
  <c r="X27" i="5" s="1"/>
  <c r="X24" i="5"/>
  <c r="X28" i="5" s="1"/>
  <c r="X32" i="5" s="1"/>
  <c r="W31" i="5"/>
  <c r="V35" i="5"/>
  <c r="V36" i="5"/>
  <c r="V56" i="5"/>
  <c r="V33" i="5"/>
  <c r="V37" i="5"/>
  <c r="V38" i="5"/>
  <c r="V34" i="5"/>
  <c r="AC19" i="5"/>
  <c r="AC20" i="5" s="1"/>
  <c r="AD18" i="5"/>
  <c r="Z14" i="5"/>
  <c r="Z15" i="5" s="1"/>
  <c r="AA13" i="5"/>
  <c r="Y9" i="5"/>
  <c r="Y10" i="5" s="1"/>
  <c r="Y22" i="5" s="1"/>
  <c r="Z8" i="5"/>
  <c r="R70" i="5"/>
  <c r="S63" i="5"/>
  <c r="S68" i="5" s="1"/>
  <c r="T66" i="5"/>
  <c r="U67" i="5"/>
  <c r="U73" i="5" s="1"/>
  <c r="T60" i="5"/>
  <c r="U41" i="4"/>
  <c r="U55" i="4"/>
  <c r="U73" i="4"/>
  <c r="Z19" i="4"/>
  <c r="Z20" i="4" s="1"/>
  <c r="AA18" i="4"/>
  <c r="T74" i="4"/>
  <c r="S75" i="4"/>
  <c r="V56" i="4"/>
  <c r="V37" i="4"/>
  <c r="V36" i="4"/>
  <c r="V33" i="4"/>
  <c r="V34" i="4"/>
  <c r="V30" i="4" s="1"/>
  <c r="V40" i="4" s="1"/>
  <c r="V38" i="4"/>
  <c r="V35" i="4"/>
  <c r="W31" i="4"/>
  <c r="W26" i="4"/>
  <c r="Y23" i="4"/>
  <c r="Y27" i="4" s="1"/>
  <c r="Y24" i="4"/>
  <c r="Y28" i="4" s="1"/>
  <c r="Y32" i="4" s="1"/>
  <c r="S63" i="4"/>
  <c r="S68" i="4" s="1"/>
  <c r="R70" i="4"/>
  <c r="AA14" i="4"/>
  <c r="AA15" i="4" s="1"/>
  <c r="AB13" i="4"/>
  <c r="AA8" i="4"/>
  <c r="Z9" i="4"/>
  <c r="Z10" i="4" s="1"/>
  <c r="X26" i="4"/>
  <c r="X31" i="4"/>
  <c r="X26" i="1"/>
  <c r="X31" i="1"/>
  <c r="U41" i="1"/>
  <c r="V30" i="1"/>
  <c r="V40" i="1" s="1"/>
  <c r="V41" i="1" s="1"/>
  <c r="T55" i="2"/>
  <c r="T59" i="2" s="1"/>
  <c r="Z9" i="2"/>
  <c r="Z10" i="2" s="1"/>
  <c r="AA8" i="2"/>
  <c r="R75" i="2"/>
  <c r="S74" i="2"/>
  <c r="W23" i="2"/>
  <c r="W27" i="2" s="1"/>
  <c r="W24" i="2"/>
  <c r="W28" i="2" s="1"/>
  <c r="W32" i="2" s="1"/>
  <c r="Q70" i="2"/>
  <c r="R63" i="2"/>
  <c r="R68" i="2" s="1"/>
  <c r="U67" i="2"/>
  <c r="T60" i="2"/>
  <c r="T66" i="2"/>
  <c r="V56" i="2"/>
  <c r="V37" i="2"/>
  <c r="V35" i="2"/>
  <c r="V33" i="2"/>
  <c r="V36" i="2"/>
  <c r="V38" i="2"/>
  <c r="V34" i="2"/>
  <c r="Z13" i="2"/>
  <c r="Y14" i="2"/>
  <c r="Y15" i="2" s="1"/>
  <c r="X22" i="2"/>
  <c r="Y19" i="2"/>
  <c r="Y20" i="2" s="1"/>
  <c r="Z18" i="2"/>
  <c r="U56" i="2"/>
  <c r="U38" i="2"/>
  <c r="U37" i="2"/>
  <c r="U35" i="2"/>
  <c r="U36" i="2"/>
  <c r="U33" i="2"/>
  <c r="U34" i="2"/>
  <c r="T67" i="2"/>
  <c r="T73" i="2" s="1"/>
  <c r="S66" i="2"/>
  <c r="S60" i="2"/>
  <c r="V73" i="1"/>
  <c r="T74" i="1"/>
  <c r="S75" i="1"/>
  <c r="Y24" i="1"/>
  <c r="Y28" i="1" s="1"/>
  <c r="Y32" i="1" s="1"/>
  <c r="Y23" i="1"/>
  <c r="Y27" i="1" s="1"/>
  <c r="Z9" i="1"/>
  <c r="Z10" i="1" s="1"/>
  <c r="Z22" i="1" s="1"/>
  <c r="S63" i="1"/>
  <c r="S68" i="1" s="1"/>
  <c r="R70" i="1"/>
  <c r="AC14" i="1"/>
  <c r="AC15" i="1" s="1"/>
  <c r="AD13" i="1"/>
  <c r="U66" i="1"/>
  <c r="U60" i="1"/>
  <c r="AB19" i="1"/>
  <c r="AB20" i="1" s="1"/>
  <c r="AC18" i="1"/>
  <c r="W56" i="1"/>
  <c r="W37" i="1"/>
  <c r="W36" i="1"/>
  <c r="W34" i="1"/>
  <c r="W33" i="1"/>
  <c r="W38" i="1"/>
  <c r="W35" i="1"/>
  <c r="U41" i="5" l="1"/>
  <c r="V30" i="5"/>
  <c r="V40" i="5" s="1"/>
  <c r="V55" i="5" s="1"/>
  <c r="V59" i="5" s="1"/>
  <c r="Z9" i="5"/>
  <c r="Z10" i="5" s="1"/>
  <c r="Z22" i="5" s="1"/>
  <c r="AA8" i="5"/>
  <c r="W56" i="5"/>
  <c r="W36" i="5"/>
  <c r="W37" i="5"/>
  <c r="W38" i="5"/>
  <c r="W33" i="5"/>
  <c r="W34" i="5"/>
  <c r="W35" i="5"/>
  <c r="Y24" i="5"/>
  <c r="Y28" i="5" s="1"/>
  <c r="Y32" i="5" s="1"/>
  <c r="Y23" i="5"/>
  <c r="Y27" i="5" s="1"/>
  <c r="X31" i="5"/>
  <c r="U74" i="5"/>
  <c r="T75" i="5"/>
  <c r="U66" i="5"/>
  <c r="V67" i="5"/>
  <c r="V73" i="5" s="1"/>
  <c r="U60" i="5"/>
  <c r="AA14" i="5"/>
  <c r="AA15" i="5" s="1"/>
  <c r="AB13" i="5"/>
  <c r="AE18" i="5"/>
  <c r="AD19" i="5"/>
  <c r="AD20" i="5" s="1"/>
  <c r="S70" i="5"/>
  <c r="T63" i="5"/>
  <c r="T68" i="5" s="1"/>
  <c r="V55" i="1"/>
  <c r="V59" i="1" s="1"/>
  <c r="W67" i="1" s="1"/>
  <c r="W73" i="1" s="1"/>
  <c r="V55" i="4"/>
  <c r="V41" i="4"/>
  <c r="AB14" i="4"/>
  <c r="AB15" i="4" s="1"/>
  <c r="AC13" i="4"/>
  <c r="T63" i="4"/>
  <c r="T68" i="4" s="1"/>
  <c r="S70" i="4"/>
  <c r="AA19" i="4"/>
  <c r="AA20" i="4" s="1"/>
  <c r="AB18" i="4"/>
  <c r="Z22" i="4"/>
  <c r="Y31" i="4"/>
  <c r="Y26" i="4"/>
  <c r="U66" i="4"/>
  <c r="U60" i="4"/>
  <c r="V73" i="4"/>
  <c r="U74" i="4"/>
  <c r="T75" i="4"/>
  <c r="X37" i="4"/>
  <c r="X35" i="4"/>
  <c r="X36" i="4"/>
  <c r="X34" i="4"/>
  <c r="X33" i="4"/>
  <c r="X30" i="4" s="1"/>
  <c r="X40" i="4" s="1"/>
  <c r="X56" i="4"/>
  <c r="X38" i="4"/>
  <c r="AB8" i="4"/>
  <c r="AA9" i="4"/>
  <c r="AA10" i="4" s="1"/>
  <c r="W56" i="4"/>
  <c r="W37" i="4"/>
  <c r="W38" i="4"/>
  <c r="W36" i="4"/>
  <c r="W35" i="4"/>
  <c r="W33" i="4"/>
  <c r="W30" i="4" s="1"/>
  <c r="W40" i="4" s="1"/>
  <c r="W34" i="4"/>
  <c r="Y26" i="1"/>
  <c r="Y31" i="1"/>
  <c r="W30" i="1"/>
  <c r="W40" i="1" s="1"/>
  <c r="W55" i="1" s="1"/>
  <c r="W59" i="1" s="1"/>
  <c r="X67" i="1" s="1"/>
  <c r="U30" i="2"/>
  <c r="U40" i="2" s="1"/>
  <c r="Y22" i="2"/>
  <c r="AB8" i="2"/>
  <c r="AA9" i="2"/>
  <c r="AA10" i="2" s="1"/>
  <c r="V30" i="2"/>
  <c r="V40" i="2" s="1"/>
  <c r="V55" i="2" s="1"/>
  <c r="V59" i="2" s="1"/>
  <c r="U73" i="2"/>
  <c r="U41" i="2"/>
  <c r="U55" i="2"/>
  <c r="U59" i="2" s="1"/>
  <c r="X24" i="2"/>
  <c r="X28" i="2" s="1"/>
  <c r="X32" i="2" s="1"/>
  <c r="X23" i="2"/>
  <c r="X27" i="2" s="1"/>
  <c r="Z19" i="2"/>
  <c r="Z20" i="2" s="1"/>
  <c r="AA18" i="2"/>
  <c r="W31" i="2"/>
  <c r="W26" i="2"/>
  <c r="Y24" i="2"/>
  <c r="Y28" i="2" s="1"/>
  <c r="Y32" i="2" s="1"/>
  <c r="Y23" i="2"/>
  <c r="Y27" i="2" s="1"/>
  <c r="AA13" i="2"/>
  <c r="Z14" i="2"/>
  <c r="Z15" i="2" s="1"/>
  <c r="T74" i="2"/>
  <c r="S75" i="2"/>
  <c r="S63" i="2"/>
  <c r="S68" i="2" s="1"/>
  <c r="R70" i="2"/>
  <c r="AA9" i="1"/>
  <c r="AA10" i="1" s="1"/>
  <c r="AA22" i="1" s="1"/>
  <c r="AC19" i="1"/>
  <c r="AC20" i="1" s="1"/>
  <c r="AD18" i="1"/>
  <c r="U74" i="1"/>
  <c r="T75" i="1"/>
  <c r="V66" i="1"/>
  <c r="V60" i="1"/>
  <c r="X56" i="1"/>
  <c r="X37" i="1"/>
  <c r="X38" i="1"/>
  <c r="X36" i="1"/>
  <c r="X34" i="1"/>
  <c r="X33" i="1"/>
  <c r="X35" i="1"/>
  <c r="AD14" i="1"/>
  <c r="AD15" i="1" s="1"/>
  <c r="AE13" i="1"/>
  <c r="T63" i="1"/>
  <c r="T68" i="1" s="1"/>
  <c r="S70" i="1"/>
  <c r="Z24" i="1"/>
  <c r="Z28" i="1" s="1"/>
  <c r="Z32" i="1" s="1"/>
  <c r="Z23" i="1"/>
  <c r="Z27" i="1" s="1"/>
  <c r="V41" i="5" l="1"/>
  <c r="W30" i="5"/>
  <c r="W40" i="5" s="1"/>
  <c r="W55" i="5" s="1"/>
  <c r="W59" i="5" s="1"/>
  <c r="Y31" i="5"/>
  <c r="AB14" i="5"/>
  <c r="AB15" i="5" s="1"/>
  <c r="AC13" i="5"/>
  <c r="U63" i="5"/>
  <c r="U68" i="5" s="1"/>
  <c r="T70" i="5"/>
  <c r="Z24" i="5"/>
  <c r="Z28" i="5" s="1"/>
  <c r="Z32" i="5" s="1"/>
  <c r="Z23" i="5"/>
  <c r="Z27" i="5" s="1"/>
  <c r="V74" i="5"/>
  <c r="U75" i="5"/>
  <c r="AB8" i="5"/>
  <c r="AA9" i="5"/>
  <c r="AA10" i="5" s="1"/>
  <c r="AA22" i="5" s="1"/>
  <c r="AF18" i="5"/>
  <c r="AE19" i="5"/>
  <c r="AE20" i="5" s="1"/>
  <c r="X56" i="5"/>
  <c r="X37" i="5"/>
  <c r="X38" i="5"/>
  <c r="X36" i="5"/>
  <c r="X35" i="5"/>
  <c r="X34" i="5"/>
  <c r="X33" i="5"/>
  <c r="X30" i="5" s="1"/>
  <c r="X40" i="5" s="1"/>
  <c r="W67" i="5"/>
  <c r="W73" i="5" s="1"/>
  <c r="V66" i="5"/>
  <c r="V60" i="5"/>
  <c r="W55" i="4"/>
  <c r="W41" i="4"/>
  <c r="X41" i="4"/>
  <c r="X55" i="4"/>
  <c r="U63" i="4"/>
  <c r="U68" i="4" s="1"/>
  <c r="T70" i="4"/>
  <c r="AA22" i="4"/>
  <c r="AD13" i="4"/>
  <c r="AC14" i="4"/>
  <c r="AC15" i="4" s="1"/>
  <c r="AB9" i="4"/>
  <c r="AB10" i="4" s="1"/>
  <c r="AB22" i="4" s="1"/>
  <c r="AC8" i="4"/>
  <c r="Z24" i="4"/>
  <c r="Z28" i="4" s="1"/>
  <c r="Z32" i="4" s="1"/>
  <c r="Z23" i="4"/>
  <c r="Z27" i="4" s="1"/>
  <c r="U75" i="4"/>
  <c r="V74" i="4"/>
  <c r="Y36" i="4"/>
  <c r="Y33" i="4"/>
  <c r="Y30" i="4" s="1"/>
  <c r="Y40" i="4" s="1"/>
  <c r="Y56" i="4"/>
  <c r="Y34" i="4"/>
  <c r="Y37" i="4"/>
  <c r="Y35" i="4"/>
  <c r="Y38" i="4"/>
  <c r="AB19" i="4"/>
  <c r="AB20" i="4" s="1"/>
  <c r="AC18" i="4"/>
  <c r="V66" i="4"/>
  <c r="V60" i="4"/>
  <c r="W73" i="4"/>
  <c r="Z26" i="1"/>
  <c r="Z31" i="1"/>
  <c r="W41" i="1"/>
  <c r="X30" i="1"/>
  <c r="X40" i="1" s="1"/>
  <c r="X41" i="1" s="1"/>
  <c r="Z22" i="2"/>
  <c r="V41" i="2"/>
  <c r="AC8" i="2"/>
  <c r="AB9" i="2"/>
  <c r="AB10" i="2" s="1"/>
  <c r="AB13" i="2"/>
  <c r="AA14" i="2"/>
  <c r="AA15" i="2" s="1"/>
  <c r="X31" i="2"/>
  <c r="X26" i="2"/>
  <c r="T63" i="2"/>
  <c r="T68" i="2" s="1"/>
  <c r="S70" i="2"/>
  <c r="U74" i="2"/>
  <c r="T75" i="2"/>
  <c r="AB18" i="2"/>
  <c r="AA19" i="2"/>
  <c r="AA20" i="2" s="1"/>
  <c r="V66" i="2"/>
  <c r="V60" i="2"/>
  <c r="W67" i="2"/>
  <c r="W56" i="2"/>
  <c r="W37" i="2"/>
  <c r="W35" i="2"/>
  <c r="W36" i="2"/>
  <c r="W33" i="2"/>
  <c r="W38" i="2"/>
  <c r="W34" i="2"/>
  <c r="U66" i="2"/>
  <c r="U60" i="2"/>
  <c r="V67" i="2"/>
  <c r="V73" i="2" s="1"/>
  <c r="Y31" i="2"/>
  <c r="Y26" i="2"/>
  <c r="Z23" i="2"/>
  <c r="Z27" i="2" s="1"/>
  <c r="Z24" i="2"/>
  <c r="Z28" i="2" s="1"/>
  <c r="Z32" i="2" s="1"/>
  <c r="AE14" i="1"/>
  <c r="AE15" i="1" s="1"/>
  <c r="AF13" i="1"/>
  <c r="AA24" i="1"/>
  <c r="AA28" i="1" s="1"/>
  <c r="AA32" i="1" s="1"/>
  <c r="AA23" i="1"/>
  <c r="AA27" i="1" s="1"/>
  <c r="Y37" i="1"/>
  <c r="Y35" i="1"/>
  <c r="Y38" i="1"/>
  <c r="Y36" i="1"/>
  <c r="Y56" i="1"/>
  <c r="Y34" i="1"/>
  <c r="Y33" i="1"/>
  <c r="AB9" i="1"/>
  <c r="AB10" i="1" s="1"/>
  <c r="AB22" i="1" s="1"/>
  <c r="U63" i="1"/>
  <c r="U68" i="1" s="1"/>
  <c r="T70" i="1"/>
  <c r="V74" i="1"/>
  <c r="U75" i="1"/>
  <c r="AD19" i="1"/>
  <c r="AD20" i="1" s="1"/>
  <c r="AE18" i="1"/>
  <c r="W66" i="1"/>
  <c r="W60" i="1"/>
  <c r="X73" i="1"/>
  <c r="W41" i="5" l="1"/>
  <c r="X55" i="5"/>
  <c r="X59" i="5" s="1"/>
  <c r="X41" i="5"/>
  <c r="Y56" i="5"/>
  <c r="Y37" i="5"/>
  <c r="Y38" i="5"/>
  <c r="Y36" i="5"/>
  <c r="Y35" i="5"/>
  <c r="Y34" i="5"/>
  <c r="Y33" i="5"/>
  <c r="AA23" i="5"/>
  <c r="AA27" i="5" s="1"/>
  <c r="AA24" i="5"/>
  <c r="AA28" i="5" s="1"/>
  <c r="AA32" i="5" s="1"/>
  <c r="W74" i="5"/>
  <c r="V75" i="5"/>
  <c r="AD13" i="5"/>
  <c r="AC14" i="5"/>
  <c r="AC15" i="5" s="1"/>
  <c r="AC8" i="5"/>
  <c r="AB9" i="5"/>
  <c r="AB10" i="5" s="1"/>
  <c r="AB22" i="5" s="1"/>
  <c r="Z31" i="5"/>
  <c r="AG18" i="5"/>
  <c r="AF19" i="5"/>
  <c r="AF20" i="5" s="1"/>
  <c r="U70" i="5"/>
  <c r="V63" i="5"/>
  <c r="V68" i="5" s="1"/>
  <c r="W66" i="5"/>
  <c r="X67" i="5"/>
  <c r="X73" i="5" s="1"/>
  <c r="W60" i="5"/>
  <c r="X55" i="1"/>
  <c r="X59" i="1" s="1"/>
  <c r="Y67" i="1" s="1"/>
  <c r="Y41" i="4"/>
  <c r="Y55" i="4"/>
  <c r="AA24" i="4"/>
  <c r="AA28" i="4" s="1"/>
  <c r="AA32" i="4" s="1"/>
  <c r="AA23" i="4"/>
  <c r="AA27" i="4" s="1"/>
  <c r="AC9" i="4"/>
  <c r="AC10" i="4" s="1"/>
  <c r="AC22" i="4" s="1"/>
  <c r="AD8" i="4"/>
  <c r="Z31" i="4"/>
  <c r="Z26" i="4"/>
  <c r="U70" i="4"/>
  <c r="V63" i="4"/>
  <c r="V68" i="4" s="1"/>
  <c r="AB24" i="4"/>
  <c r="AB28" i="4" s="1"/>
  <c r="AB32" i="4" s="1"/>
  <c r="AB23" i="4"/>
  <c r="AB27" i="4" s="1"/>
  <c r="X60" i="4"/>
  <c r="X66" i="4"/>
  <c r="AD18" i="4"/>
  <c r="AC19" i="4"/>
  <c r="AC20" i="4" s="1"/>
  <c r="AE13" i="4"/>
  <c r="AD14" i="4"/>
  <c r="AD15" i="4" s="1"/>
  <c r="V75" i="4"/>
  <c r="W74" i="4"/>
  <c r="W66" i="4"/>
  <c r="W60" i="4"/>
  <c r="X73" i="4"/>
  <c r="Y73" i="4" s="1"/>
  <c r="AA26" i="1"/>
  <c r="AA31" i="1"/>
  <c r="Y30" i="1"/>
  <c r="Y40" i="1" s="1"/>
  <c r="Y41" i="1" s="1"/>
  <c r="W30" i="2"/>
  <c r="W40" i="2" s="1"/>
  <c r="AD8" i="2"/>
  <c r="AC9" i="2"/>
  <c r="AC10" i="2" s="1"/>
  <c r="W55" i="2"/>
  <c r="W59" i="2" s="1"/>
  <c r="W41" i="2"/>
  <c r="Z31" i="2"/>
  <c r="Z26" i="2"/>
  <c r="W73" i="2"/>
  <c r="AB19" i="2"/>
  <c r="AB20" i="2" s="1"/>
  <c r="AC18" i="2"/>
  <c r="U63" i="2"/>
  <c r="U68" i="2" s="1"/>
  <c r="T70" i="2"/>
  <c r="Y37" i="2"/>
  <c r="Y33" i="2"/>
  <c r="Y36" i="2"/>
  <c r="Y56" i="2"/>
  <c r="Y34" i="2"/>
  <c r="Y38" i="2"/>
  <c r="Y35" i="2"/>
  <c r="X37" i="2"/>
  <c r="X38" i="2"/>
  <c r="X36" i="2"/>
  <c r="X33" i="2"/>
  <c r="X56" i="2"/>
  <c r="X34" i="2"/>
  <c r="X35" i="2"/>
  <c r="AA22" i="2"/>
  <c r="U75" i="2"/>
  <c r="V74" i="2"/>
  <c r="AB14" i="2"/>
  <c r="AB15" i="2" s="1"/>
  <c r="AC13" i="2"/>
  <c r="Y73" i="1"/>
  <c r="V75" i="1"/>
  <c r="W74" i="1"/>
  <c r="U70" i="1"/>
  <c r="V63" i="1"/>
  <c r="V68" i="1" s="1"/>
  <c r="AB24" i="1"/>
  <c r="AB28" i="1" s="1"/>
  <c r="AB32" i="1" s="1"/>
  <c r="AB23" i="1"/>
  <c r="AB27" i="1" s="1"/>
  <c r="Z56" i="1"/>
  <c r="Z36" i="1"/>
  <c r="Z38" i="1"/>
  <c r="Z34" i="1"/>
  <c r="Z35" i="1"/>
  <c r="Z37" i="1"/>
  <c r="Z33" i="1"/>
  <c r="AF14" i="1"/>
  <c r="AF15" i="1" s="1"/>
  <c r="AG13" i="1"/>
  <c r="AC9" i="1"/>
  <c r="AC10" i="1" s="1"/>
  <c r="AC22" i="1" s="1"/>
  <c r="X60" i="1"/>
  <c r="X66" i="1"/>
  <c r="AE19" i="1"/>
  <c r="AE20" i="1" s="1"/>
  <c r="AF18" i="1"/>
  <c r="Y30" i="5" l="1"/>
  <c r="Y40" i="5" s="1"/>
  <c r="Y55" i="5" s="1"/>
  <c r="Y59" i="5" s="1"/>
  <c r="Z38" i="5"/>
  <c r="Z56" i="5"/>
  <c r="Z36" i="5"/>
  <c r="Z35" i="5"/>
  <c r="Z34" i="5"/>
  <c r="Z37" i="5"/>
  <c r="Z33" i="5"/>
  <c r="AE13" i="5"/>
  <c r="AD14" i="5"/>
  <c r="AD15" i="5" s="1"/>
  <c r="AH18" i="5"/>
  <c r="AG19" i="5"/>
  <c r="AG20" i="5" s="1"/>
  <c r="AB23" i="5"/>
  <c r="AB27" i="5" s="1"/>
  <c r="AB24" i="5"/>
  <c r="AB28" i="5" s="1"/>
  <c r="AB32" i="5" s="1"/>
  <c r="W75" i="5"/>
  <c r="X74" i="5"/>
  <c r="W63" i="5"/>
  <c r="W68" i="5" s="1"/>
  <c r="V70" i="5"/>
  <c r="AD8" i="5"/>
  <c r="AC9" i="5"/>
  <c r="AC10" i="5" s="1"/>
  <c r="AC22" i="5" s="1"/>
  <c r="X60" i="5"/>
  <c r="Y67" i="5"/>
  <c r="Y73" i="5" s="1"/>
  <c r="X66" i="5"/>
  <c r="AA31" i="5"/>
  <c r="Y55" i="1"/>
  <c r="Y59" i="1" s="1"/>
  <c r="Z67" i="1" s="1"/>
  <c r="AE8" i="4"/>
  <c r="AD9" i="4"/>
  <c r="AD10" i="4" s="1"/>
  <c r="AC23" i="4"/>
  <c r="AC27" i="4" s="1"/>
  <c r="AC24" i="4"/>
  <c r="AC28" i="4" s="1"/>
  <c r="AC32" i="4" s="1"/>
  <c r="AA26" i="4"/>
  <c r="AA31" i="4"/>
  <c r="AE14" i="4"/>
  <c r="AE15" i="4" s="1"/>
  <c r="AF13" i="4"/>
  <c r="V70" i="4"/>
  <c r="W63" i="4"/>
  <c r="W68" i="4" s="1"/>
  <c r="Z73" i="4"/>
  <c r="Y60" i="4"/>
  <c r="Y66" i="4"/>
  <c r="X74" i="4"/>
  <c r="W75" i="4"/>
  <c r="AB31" i="4"/>
  <c r="AB26" i="4"/>
  <c r="AE18" i="4"/>
  <c r="AD19" i="4"/>
  <c r="AD20" i="4" s="1"/>
  <c r="Z38" i="4"/>
  <c r="Z36" i="4"/>
  <c r="Z56" i="4"/>
  <c r="Z33" i="4"/>
  <c r="Z34" i="4"/>
  <c r="Z30" i="4" s="1"/>
  <c r="Z40" i="4" s="1"/>
  <c r="Z37" i="4"/>
  <c r="Z35" i="4"/>
  <c r="AB26" i="1"/>
  <c r="AB31" i="1"/>
  <c r="Z30" i="1"/>
  <c r="Z40" i="1" s="1"/>
  <c r="Z41" i="1" s="1"/>
  <c r="X30" i="2"/>
  <c r="X40" i="2" s="1"/>
  <c r="Y30" i="2"/>
  <c r="Y40" i="2" s="1"/>
  <c r="AE8" i="2"/>
  <c r="AD9" i="2"/>
  <c r="AD10" i="2" s="1"/>
  <c r="X55" i="2"/>
  <c r="X59" i="2" s="1"/>
  <c r="X41" i="2"/>
  <c r="Y41" i="2"/>
  <c r="Y55" i="2"/>
  <c r="Y59" i="2" s="1"/>
  <c r="AC19" i="2"/>
  <c r="AC20" i="2" s="1"/>
  <c r="AD18" i="2"/>
  <c r="AA23" i="2"/>
  <c r="AA27" i="2" s="1"/>
  <c r="AA24" i="2"/>
  <c r="AA28" i="2" s="1"/>
  <c r="AA32" i="2" s="1"/>
  <c r="Z38" i="2"/>
  <c r="Z36" i="2"/>
  <c r="Z34" i="2"/>
  <c r="Z37" i="2"/>
  <c r="Z56" i="2"/>
  <c r="Z35" i="2"/>
  <c r="Z33" i="2"/>
  <c r="AC14" i="2"/>
  <c r="AC15" i="2" s="1"/>
  <c r="AD13" i="2"/>
  <c r="U70" i="2"/>
  <c r="V63" i="2"/>
  <c r="V68" i="2" s="1"/>
  <c r="Z30" i="2"/>
  <c r="Z40" i="2" s="1"/>
  <c r="AB22" i="2"/>
  <c r="V75" i="2"/>
  <c r="W74" i="2"/>
  <c r="W66" i="2"/>
  <c r="W60" i="2"/>
  <c r="X67" i="2"/>
  <c r="X73" i="2" s="1"/>
  <c r="AC24" i="1"/>
  <c r="AC28" i="1" s="1"/>
  <c r="AC32" i="1" s="1"/>
  <c r="AC23" i="1"/>
  <c r="AC27" i="1" s="1"/>
  <c r="AH13" i="1"/>
  <c r="AG14" i="1"/>
  <c r="AG15" i="1" s="1"/>
  <c r="AF19" i="1"/>
  <c r="AF20" i="1" s="1"/>
  <c r="AG18" i="1"/>
  <c r="AA38" i="1"/>
  <c r="AA33" i="1"/>
  <c r="AA56" i="1"/>
  <c r="AA36" i="1"/>
  <c r="AA35" i="1"/>
  <c r="AA34" i="1"/>
  <c r="AA37" i="1"/>
  <c r="Y60" i="1"/>
  <c r="Z73" i="1"/>
  <c r="Y66" i="1"/>
  <c r="AD9" i="1"/>
  <c r="AD10" i="1" s="1"/>
  <c r="AD22" i="1" s="1"/>
  <c r="W75" i="1"/>
  <c r="X74" i="1"/>
  <c r="V70" i="1"/>
  <c r="W63" i="1"/>
  <c r="W68" i="1" s="1"/>
  <c r="Y41" i="5" l="1"/>
  <c r="Z30" i="5"/>
  <c r="Z40" i="5" s="1"/>
  <c r="Z55" i="5" s="1"/>
  <c r="Z59" i="5" s="1"/>
  <c r="AE8" i="5"/>
  <c r="AD9" i="5"/>
  <c r="AD10" i="5" s="1"/>
  <c r="AD22" i="5" s="1"/>
  <c r="AH19" i="5"/>
  <c r="AH20" i="5" s="1"/>
  <c r="AI18" i="5"/>
  <c r="AC24" i="5"/>
  <c r="AC28" i="5" s="1"/>
  <c r="AC32" i="5" s="1"/>
  <c r="AC23" i="5"/>
  <c r="AC27" i="5" s="1"/>
  <c r="AA56" i="5"/>
  <c r="AA38" i="5"/>
  <c r="AA33" i="5"/>
  <c r="AA34" i="5"/>
  <c r="AA37" i="5"/>
  <c r="AA36" i="5"/>
  <c r="AA35" i="5"/>
  <c r="X63" i="5"/>
  <c r="X68" i="5" s="1"/>
  <c r="W70" i="5"/>
  <c r="X75" i="5"/>
  <c r="Y74" i="5"/>
  <c r="AF13" i="5"/>
  <c r="AE14" i="5"/>
  <c r="AE15" i="5" s="1"/>
  <c r="AB31" i="5"/>
  <c r="Y60" i="5"/>
  <c r="Z67" i="5"/>
  <c r="Z73" i="5" s="1"/>
  <c r="Y66" i="5"/>
  <c r="Z55" i="1"/>
  <c r="Z59" i="1" s="1"/>
  <c r="AA67" i="1" s="1"/>
  <c r="Z55" i="4"/>
  <c r="Z41" i="4"/>
  <c r="X63" i="4"/>
  <c r="X68" i="4" s="1"/>
  <c r="W70" i="4"/>
  <c r="X75" i="4"/>
  <c r="Y74" i="4"/>
  <c r="AA38" i="4"/>
  <c r="AA36" i="4"/>
  <c r="AA37" i="4"/>
  <c r="AA56" i="4"/>
  <c r="AA33" i="4"/>
  <c r="AA30" i="4" s="1"/>
  <c r="AA40" i="4" s="1"/>
  <c r="AA34" i="4"/>
  <c r="AA35" i="4"/>
  <c r="AB38" i="4"/>
  <c r="AB36" i="4"/>
  <c r="AB34" i="4"/>
  <c r="AB56" i="4"/>
  <c r="AB37" i="4"/>
  <c r="AB33" i="4"/>
  <c r="AB35" i="4"/>
  <c r="AC31" i="4"/>
  <c r="AC26" i="4"/>
  <c r="AF18" i="4"/>
  <c r="AE19" i="4"/>
  <c r="AE20" i="4" s="1"/>
  <c r="AD22" i="4"/>
  <c r="AE9" i="4"/>
  <c r="AE10" i="4" s="1"/>
  <c r="AE22" i="4" s="1"/>
  <c r="AF8" i="4"/>
  <c r="AB30" i="4"/>
  <c r="AB40" i="4" s="1"/>
  <c r="AG13" i="4"/>
  <c r="AF14" i="4"/>
  <c r="AF15" i="4" s="1"/>
  <c r="AC26" i="1"/>
  <c r="AC31" i="1"/>
  <c r="AA30" i="1"/>
  <c r="AA40" i="1" s="1"/>
  <c r="AA55" i="1" s="1"/>
  <c r="AA59" i="1" s="1"/>
  <c r="AB67" i="1" s="1"/>
  <c r="AE9" i="2"/>
  <c r="AE10" i="2" s="1"/>
  <c r="AF8" i="2"/>
  <c r="Z55" i="2"/>
  <c r="Z59" i="2" s="1"/>
  <c r="Z41" i="2"/>
  <c r="AA26" i="2"/>
  <c r="AA31" i="2"/>
  <c r="AB23" i="2"/>
  <c r="AB27" i="2" s="1"/>
  <c r="AB24" i="2"/>
  <c r="AB28" i="2" s="1"/>
  <c r="AB32" i="2" s="1"/>
  <c r="V70" i="2"/>
  <c r="W63" i="2"/>
  <c r="W68" i="2" s="1"/>
  <c r="Z67" i="2"/>
  <c r="Y60" i="2"/>
  <c r="Y66" i="2"/>
  <c r="W75" i="2"/>
  <c r="X74" i="2"/>
  <c r="AD14" i="2"/>
  <c r="AD15" i="2" s="1"/>
  <c r="AE13" i="2"/>
  <c r="AC22" i="2"/>
  <c r="AD19" i="2"/>
  <c r="AD20" i="2" s="1"/>
  <c r="AE18" i="2"/>
  <c r="X60" i="2"/>
  <c r="Y67" i="2"/>
  <c r="Y73" i="2" s="1"/>
  <c r="X66" i="2"/>
  <c r="AE9" i="1"/>
  <c r="AE10" i="1" s="1"/>
  <c r="AE22" i="1" s="1"/>
  <c r="W70" i="1"/>
  <c r="X63" i="1"/>
  <c r="X68" i="1" s="1"/>
  <c r="AB56" i="1"/>
  <c r="AB36" i="1"/>
  <c r="AB35" i="1"/>
  <c r="AB34" i="1"/>
  <c r="AB37" i="1"/>
  <c r="AB33" i="1"/>
  <c r="AB38" i="1"/>
  <c r="X75" i="1"/>
  <c r="Y74" i="1"/>
  <c r="AD23" i="1"/>
  <c r="AD27" i="1" s="1"/>
  <c r="AD24" i="1"/>
  <c r="AD28" i="1" s="1"/>
  <c r="AD32" i="1" s="1"/>
  <c r="AI13" i="1"/>
  <c r="AH14" i="1"/>
  <c r="AH15" i="1" s="1"/>
  <c r="AH18" i="1"/>
  <c r="AG19" i="1"/>
  <c r="AG20" i="1" s="1"/>
  <c r="AA73" i="1"/>
  <c r="Z41" i="5" l="1"/>
  <c r="AA30" i="5"/>
  <c r="AA40" i="5" s="1"/>
  <c r="AA55" i="5" s="1"/>
  <c r="AA59" i="5" s="1"/>
  <c r="Y75" i="5"/>
  <c r="Z74" i="5"/>
  <c r="AC31" i="5"/>
  <c r="AE9" i="5"/>
  <c r="AE10" i="5" s="1"/>
  <c r="AE22" i="5" s="1"/>
  <c r="AF8" i="5"/>
  <c r="AI19" i="5"/>
  <c r="AI20" i="5" s="1"/>
  <c r="AJ18" i="5"/>
  <c r="AD24" i="5"/>
  <c r="AD28" i="5" s="1"/>
  <c r="AD32" i="5" s="1"/>
  <c r="AD23" i="5"/>
  <c r="AD27" i="5" s="1"/>
  <c r="AB56" i="5"/>
  <c r="AB33" i="5"/>
  <c r="AB34" i="5"/>
  <c r="AB35" i="5"/>
  <c r="AB38" i="5"/>
  <c r="AB37" i="5"/>
  <c r="AB36" i="5"/>
  <c r="Y63" i="5"/>
  <c r="Y68" i="5" s="1"/>
  <c r="X70" i="5"/>
  <c r="AG13" i="5"/>
  <c r="AF14" i="5"/>
  <c r="AF15" i="5" s="1"/>
  <c r="Z60" i="5"/>
  <c r="Z66" i="5"/>
  <c r="AA67" i="5"/>
  <c r="AA73" i="5" s="1"/>
  <c r="AA41" i="1"/>
  <c r="Z66" i="1"/>
  <c r="Z60" i="1"/>
  <c r="AB55" i="4"/>
  <c r="AB41" i="4"/>
  <c r="AA55" i="4"/>
  <c r="AA41" i="4"/>
  <c r="Y75" i="4"/>
  <c r="Z74" i="4"/>
  <c r="AD24" i="4"/>
  <c r="AD28" i="4" s="1"/>
  <c r="AD32" i="4" s="1"/>
  <c r="AD23" i="4"/>
  <c r="AD27" i="4" s="1"/>
  <c r="X70" i="4"/>
  <c r="Y63" i="4"/>
  <c r="Y68" i="4" s="1"/>
  <c r="AF9" i="4"/>
  <c r="AF10" i="4" s="1"/>
  <c r="AG8" i="4"/>
  <c r="AE23" i="4"/>
  <c r="AE27" i="4" s="1"/>
  <c r="AE24" i="4"/>
  <c r="AE28" i="4" s="1"/>
  <c r="AE32" i="4" s="1"/>
  <c r="AG18" i="4"/>
  <c r="AF19" i="4"/>
  <c r="AF20" i="4" s="1"/>
  <c r="AC56" i="4"/>
  <c r="AC34" i="4"/>
  <c r="AC38" i="4"/>
  <c r="AC35" i="4"/>
  <c r="AC30" i="4" s="1"/>
  <c r="AC40" i="4" s="1"/>
  <c r="AC33" i="4"/>
  <c r="AC36" i="4"/>
  <c r="AC37" i="4"/>
  <c r="AH13" i="4"/>
  <c r="AG14" i="4"/>
  <c r="AG15" i="4" s="1"/>
  <c r="AA73" i="4"/>
  <c r="Z66" i="4"/>
  <c r="Z60" i="4"/>
  <c r="AD26" i="1"/>
  <c r="AD31" i="1"/>
  <c r="AB30" i="1"/>
  <c r="AB40" i="1" s="1"/>
  <c r="AB55" i="1" s="1"/>
  <c r="AB59" i="1" s="1"/>
  <c r="AC67" i="1" s="1"/>
  <c r="Z73" i="2"/>
  <c r="AG8" i="2"/>
  <c r="AF9" i="2"/>
  <c r="AF10" i="2" s="1"/>
  <c r="AA38" i="2"/>
  <c r="AA36" i="2"/>
  <c r="AA56" i="2"/>
  <c r="AA34" i="2"/>
  <c r="AA33" i="2"/>
  <c r="AA37" i="2"/>
  <c r="AA35" i="2"/>
  <c r="X75" i="2"/>
  <c r="Y74" i="2"/>
  <c r="AB26" i="2"/>
  <c r="AB31" i="2"/>
  <c r="AF18" i="2"/>
  <c r="AE19" i="2"/>
  <c r="AE20" i="2" s="1"/>
  <c r="W70" i="2"/>
  <c r="X63" i="2"/>
  <c r="X68" i="2" s="1"/>
  <c r="AA67" i="2"/>
  <c r="AA73" i="2" s="1"/>
  <c r="Z60" i="2"/>
  <c r="Z66" i="2"/>
  <c r="AC23" i="2"/>
  <c r="AC27" i="2" s="1"/>
  <c r="AC24" i="2"/>
  <c r="AC28" i="2" s="1"/>
  <c r="AC32" i="2" s="1"/>
  <c r="AE14" i="2"/>
  <c r="AE15" i="2" s="1"/>
  <c r="AF13" i="2"/>
  <c r="AD22" i="2"/>
  <c r="X70" i="1"/>
  <c r="Y63" i="1"/>
  <c r="Y68" i="1" s="1"/>
  <c r="AI14" i="1"/>
  <c r="AI15" i="1" s="1"/>
  <c r="AJ13" i="1"/>
  <c r="AF9" i="1"/>
  <c r="AF10" i="1" s="1"/>
  <c r="AF22" i="1" s="1"/>
  <c r="AC56" i="1"/>
  <c r="AC38" i="1"/>
  <c r="AC36" i="1"/>
  <c r="AC37" i="1"/>
  <c r="AC35" i="1"/>
  <c r="AC34" i="1"/>
  <c r="AC33" i="1"/>
  <c r="AE24" i="1"/>
  <c r="AE28" i="1" s="1"/>
  <c r="AE32" i="1" s="1"/>
  <c r="AE23" i="1"/>
  <c r="AE27" i="1" s="1"/>
  <c r="Y75" i="1"/>
  <c r="Z74" i="1"/>
  <c r="AI18" i="1"/>
  <c r="AH19" i="1"/>
  <c r="AH20" i="1" s="1"/>
  <c r="AB73" i="1"/>
  <c r="AA60" i="1"/>
  <c r="AA66" i="1"/>
  <c r="AA41" i="5" l="1"/>
  <c r="AB30" i="5"/>
  <c r="AB40" i="5" s="1"/>
  <c r="AB55" i="5" s="1"/>
  <c r="AB59" i="5" s="1"/>
  <c r="AC56" i="5"/>
  <c r="AC34" i="5"/>
  <c r="AC35" i="5"/>
  <c r="AC36" i="5"/>
  <c r="AC38" i="5"/>
  <c r="AC37" i="5"/>
  <c r="AC33" i="5"/>
  <c r="AG14" i="5"/>
  <c r="AG15" i="5" s="1"/>
  <c r="AH13" i="5"/>
  <c r="AE24" i="5"/>
  <c r="AE28" i="5" s="1"/>
  <c r="AE32" i="5" s="1"/>
  <c r="AE23" i="5"/>
  <c r="AE27" i="5" s="1"/>
  <c r="Y70" i="5"/>
  <c r="Z63" i="5"/>
  <c r="Z68" i="5" s="1"/>
  <c r="AD31" i="5"/>
  <c r="AJ19" i="5"/>
  <c r="AJ20" i="5" s="1"/>
  <c r="AK18" i="5"/>
  <c r="Z75" i="5"/>
  <c r="AA74" i="5"/>
  <c r="AF9" i="5"/>
  <c r="AF10" i="5" s="1"/>
  <c r="AF22" i="5" s="1"/>
  <c r="AG8" i="5"/>
  <c r="AA66" i="5"/>
  <c r="AA60" i="5"/>
  <c r="AB67" i="5"/>
  <c r="AB73" i="5" s="1"/>
  <c r="AB41" i="1"/>
  <c r="AC41" i="4"/>
  <c r="AC55" i="4"/>
  <c r="AD26" i="4"/>
  <c r="AD31" i="4"/>
  <c r="AG19" i="4"/>
  <c r="AG20" i="4" s="1"/>
  <c r="AH18" i="4"/>
  <c r="Z75" i="4"/>
  <c r="AA74" i="4"/>
  <c r="AE31" i="4"/>
  <c r="AE26" i="4"/>
  <c r="AF22" i="4"/>
  <c r="AB73" i="4"/>
  <c r="AC73" i="4" s="1"/>
  <c r="AA60" i="4"/>
  <c r="AA66" i="4"/>
  <c r="Y70" i="4"/>
  <c r="Z63" i="4"/>
  <c r="Z68" i="4" s="1"/>
  <c r="AH8" i="4"/>
  <c r="AG9" i="4"/>
  <c r="AG10" i="4" s="1"/>
  <c r="AI13" i="4"/>
  <c r="AH14" i="4"/>
  <c r="AH15" i="4" s="1"/>
  <c r="AB66" i="4"/>
  <c r="AB60" i="4"/>
  <c r="AE26" i="1"/>
  <c r="AE31" i="1"/>
  <c r="AC30" i="1"/>
  <c r="AC40" i="1" s="1"/>
  <c r="AC41" i="1" s="1"/>
  <c r="AA30" i="2"/>
  <c r="AA40" i="2" s="1"/>
  <c r="AH8" i="2"/>
  <c r="AG9" i="2"/>
  <c r="AG10" i="2" s="1"/>
  <c r="AA55" i="2"/>
  <c r="AA59" i="2" s="1"/>
  <c r="AA41" i="2"/>
  <c r="AG18" i="2"/>
  <c r="AF19" i="2"/>
  <c r="AF20" i="2" s="1"/>
  <c r="AD23" i="2"/>
  <c r="AD27" i="2" s="1"/>
  <c r="AD24" i="2"/>
  <c r="AD28" i="2" s="1"/>
  <c r="AD32" i="2" s="1"/>
  <c r="Y75" i="2"/>
  <c r="Z74" i="2"/>
  <c r="AG13" i="2"/>
  <c r="AF14" i="2"/>
  <c r="AF15" i="2" s="1"/>
  <c r="AE22" i="2"/>
  <c r="AB38" i="2"/>
  <c r="AB36" i="2"/>
  <c r="AB37" i="2"/>
  <c r="AB34" i="2"/>
  <c r="AB56" i="2"/>
  <c r="AB33" i="2"/>
  <c r="AB35" i="2"/>
  <c r="AC26" i="2"/>
  <c r="AC31" i="2"/>
  <c r="Y63" i="2"/>
  <c r="Y68" i="2" s="1"/>
  <c r="X70" i="2"/>
  <c r="AJ18" i="1"/>
  <c r="AI19" i="1"/>
  <c r="AI20" i="1" s="1"/>
  <c r="Z75" i="1"/>
  <c r="AA74" i="1"/>
  <c r="AK13" i="1"/>
  <c r="AJ14" i="1"/>
  <c r="AJ15" i="1" s="1"/>
  <c r="AF24" i="1"/>
  <c r="AF28" i="1" s="1"/>
  <c r="AF32" i="1" s="1"/>
  <c r="AF23" i="1"/>
  <c r="AF27" i="1" s="1"/>
  <c r="Z63" i="1"/>
  <c r="Z68" i="1" s="1"/>
  <c r="Y70" i="1"/>
  <c r="AD56" i="1"/>
  <c r="AD34" i="1"/>
  <c r="AD38" i="1"/>
  <c r="AD36" i="1"/>
  <c r="AD37" i="1"/>
  <c r="AD33" i="1"/>
  <c r="AD35" i="1"/>
  <c r="AG9" i="1"/>
  <c r="AG10" i="1" s="1"/>
  <c r="AG22" i="1" s="1"/>
  <c r="AC73" i="1"/>
  <c r="AB66" i="1"/>
  <c r="AB60" i="1"/>
  <c r="AC30" i="5" l="1"/>
  <c r="AC40" i="5" s="1"/>
  <c r="AC55" i="5" s="1"/>
  <c r="AC59" i="5" s="1"/>
  <c r="AB41" i="5"/>
  <c r="AE31" i="5"/>
  <c r="AH14" i="5"/>
  <c r="AH15" i="5" s="1"/>
  <c r="AI13" i="5"/>
  <c r="AB74" i="5"/>
  <c r="AA75" i="5"/>
  <c r="AK19" i="5"/>
  <c r="AK20" i="5" s="1"/>
  <c r="AL18" i="5"/>
  <c r="AG9" i="5"/>
  <c r="AG10" i="5" s="1"/>
  <c r="AG22" i="5" s="1"/>
  <c r="AH8" i="5"/>
  <c r="AD35" i="5"/>
  <c r="AD36" i="5"/>
  <c r="AD33" i="5"/>
  <c r="AD34" i="5"/>
  <c r="AD56" i="5"/>
  <c r="AD37" i="5"/>
  <c r="AD38" i="5"/>
  <c r="AF23" i="5"/>
  <c r="AF27" i="5" s="1"/>
  <c r="AF24" i="5"/>
  <c r="AF28" i="5" s="1"/>
  <c r="AF32" i="5" s="1"/>
  <c r="Z70" i="5"/>
  <c r="AA63" i="5"/>
  <c r="AA68" i="5" s="1"/>
  <c r="AB66" i="5"/>
  <c r="AC67" i="5"/>
  <c r="AC73" i="5" s="1"/>
  <c r="AB60" i="5"/>
  <c r="AD30" i="1"/>
  <c r="AD40" i="1" s="1"/>
  <c r="AA63" i="4"/>
  <c r="AA68" i="4" s="1"/>
  <c r="Z70" i="4"/>
  <c r="AB74" i="4"/>
  <c r="AA75" i="4"/>
  <c r="AH19" i="4"/>
  <c r="AH20" i="4" s="1"/>
  <c r="AI18" i="4"/>
  <c r="AI14" i="4"/>
  <c r="AI15" i="4" s="1"/>
  <c r="AJ13" i="4"/>
  <c r="AC66" i="4"/>
  <c r="AD73" i="4"/>
  <c r="AC60" i="4"/>
  <c r="AG22" i="4"/>
  <c r="AF23" i="4"/>
  <c r="AF27" i="4" s="1"/>
  <c r="AF24" i="4"/>
  <c r="AF28" i="4" s="1"/>
  <c r="AF32" i="4" s="1"/>
  <c r="AD56" i="4"/>
  <c r="AD37" i="4"/>
  <c r="AD38" i="4"/>
  <c r="AD35" i="4"/>
  <c r="AD33" i="4"/>
  <c r="AD34" i="4"/>
  <c r="AD36" i="4"/>
  <c r="AD30" i="4" s="1"/>
  <c r="AD40" i="4" s="1"/>
  <c r="AH9" i="4"/>
  <c r="AH10" i="4" s="1"/>
  <c r="AI8" i="4"/>
  <c r="AE56" i="4"/>
  <c r="AE37" i="4"/>
  <c r="AE38" i="4"/>
  <c r="AE36" i="4"/>
  <c r="AE35" i="4"/>
  <c r="AE30" i="4" s="1"/>
  <c r="AE40" i="4" s="1"/>
  <c r="AE33" i="4"/>
  <c r="AE34" i="4"/>
  <c r="AF26" i="1"/>
  <c r="AF31" i="1"/>
  <c r="AC55" i="1"/>
  <c r="AC59" i="1" s="1"/>
  <c r="AD67" i="1" s="1"/>
  <c r="AD73" i="1" s="1"/>
  <c r="AB30" i="2"/>
  <c r="AB40" i="2" s="1"/>
  <c r="AH9" i="2"/>
  <c r="AH10" i="2" s="1"/>
  <c r="AI8" i="2"/>
  <c r="AB55" i="2"/>
  <c r="AB59" i="2" s="1"/>
  <c r="AB41" i="2"/>
  <c r="AE24" i="2"/>
  <c r="AE28" i="2" s="1"/>
  <c r="AE32" i="2" s="1"/>
  <c r="AE23" i="2"/>
  <c r="AE27" i="2" s="1"/>
  <c r="AD31" i="2"/>
  <c r="AD26" i="2"/>
  <c r="AF22" i="2"/>
  <c r="AH13" i="2"/>
  <c r="AG14" i="2"/>
  <c r="AG15" i="2" s="1"/>
  <c r="Z75" i="2"/>
  <c r="AA74" i="2"/>
  <c r="Y70" i="2"/>
  <c r="Z63" i="2"/>
  <c r="Z68" i="2" s="1"/>
  <c r="AG19" i="2"/>
  <c r="AG20" i="2" s="1"/>
  <c r="AH18" i="2"/>
  <c r="AC56" i="2"/>
  <c r="AC36" i="2"/>
  <c r="AC35" i="2"/>
  <c r="AC33" i="2"/>
  <c r="AC34" i="2"/>
  <c r="AC38" i="2"/>
  <c r="AC37" i="2"/>
  <c r="AB67" i="2"/>
  <c r="AB73" i="2" s="1"/>
  <c r="AA66" i="2"/>
  <c r="AA60" i="2"/>
  <c r="AD41" i="1"/>
  <c r="AD55" i="1"/>
  <c r="AD59" i="1" s="1"/>
  <c r="AE67" i="1" s="1"/>
  <c r="AA63" i="1"/>
  <c r="AA68" i="1" s="1"/>
  <c r="Z70" i="1"/>
  <c r="AK14" i="1"/>
  <c r="AK15" i="1" s="1"/>
  <c r="AL13" i="1"/>
  <c r="AB74" i="1"/>
  <c r="AA75" i="1"/>
  <c r="AK18" i="1"/>
  <c r="AJ19" i="1"/>
  <c r="AJ20" i="1" s="1"/>
  <c r="AE56" i="1"/>
  <c r="AE37" i="1"/>
  <c r="AE38" i="1"/>
  <c r="AE36" i="1"/>
  <c r="AE35" i="1"/>
  <c r="AE34" i="1"/>
  <c r="AE33" i="1"/>
  <c r="AG24" i="1"/>
  <c r="AG28" i="1" s="1"/>
  <c r="AG32" i="1" s="1"/>
  <c r="AG23" i="1"/>
  <c r="AG27" i="1" s="1"/>
  <c r="AC60" i="1"/>
  <c r="AH9" i="1"/>
  <c r="AH10" i="1" s="1"/>
  <c r="AH22" i="1" s="1"/>
  <c r="AC41" i="5" l="1"/>
  <c r="AD30" i="5"/>
  <c r="AD40" i="5" s="1"/>
  <c r="AD41" i="5" s="1"/>
  <c r="AF31" i="5"/>
  <c r="AC74" i="5"/>
  <c r="AB75" i="5"/>
  <c r="AI14" i="5"/>
  <c r="AI15" i="5" s="1"/>
  <c r="AJ13" i="5"/>
  <c r="AL19" i="5"/>
  <c r="AL20" i="5" s="1"/>
  <c r="AM18" i="5"/>
  <c r="AE56" i="5"/>
  <c r="AE36" i="5"/>
  <c r="AE37" i="5"/>
  <c r="AE33" i="5"/>
  <c r="AE35" i="5"/>
  <c r="AE38" i="5"/>
  <c r="AE34" i="5"/>
  <c r="AA70" i="5"/>
  <c r="AB63" i="5"/>
  <c r="AB68" i="5" s="1"/>
  <c r="AC66" i="5"/>
  <c r="AD67" i="5"/>
  <c r="AD73" i="5" s="1"/>
  <c r="AC60" i="5"/>
  <c r="AH9" i="5"/>
  <c r="AH10" i="5" s="1"/>
  <c r="AH22" i="5" s="1"/>
  <c r="AI8" i="5"/>
  <c r="AG23" i="5"/>
  <c r="AG27" i="5" s="1"/>
  <c r="AG24" i="5"/>
  <c r="AG28" i="5" s="1"/>
  <c r="AG32" i="5" s="1"/>
  <c r="AC66" i="1"/>
  <c r="AE55" i="4"/>
  <c r="AE41" i="4"/>
  <c r="AD55" i="4"/>
  <c r="AD41" i="4"/>
  <c r="AF31" i="4"/>
  <c r="AF26" i="4"/>
  <c r="AI19" i="4"/>
  <c r="AI20" i="4" s="1"/>
  <c r="AJ18" i="4"/>
  <c r="AG23" i="4"/>
  <c r="AG27" i="4" s="1"/>
  <c r="AG24" i="4"/>
  <c r="AG28" i="4" s="1"/>
  <c r="AG32" i="4" s="1"/>
  <c r="AC74" i="4"/>
  <c r="AB75" i="4"/>
  <c r="AJ8" i="4"/>
  <c r="AI9" i="4"/>
  <c r="AI10" i="4" s="1"/>
  <c r="AB63" i="4"/>
  <c r="AB68" i="4" s="1"/>
  <c r="AA70" i="4"/>
  <c r="AH22" i="4"/>
  <c r="AJ14" i="4"/>
  <c r="AJ15" i="4" s="1"/>
  <c r="AK13" i="4"/>
  <c r="AG26" i="1"/>
  <c r="AG31" i="1"/>
  <c r="AE30" i="1"/>
  <c r="AE40" i="1" s="1"/>
  <c r="AE41" i="1" s="1"/>
  <c r="AC30" i="2"/>
  <c r="AC40" i="2" s="1"/>
  <c r="AC55" i="2" s="1"/>
  <c r="AC59" i="2" s="1"/>
  <c r="AI9" i="2"/>
  <c r="AI10" i="2" s="1"/>
  <c r="AJ8" i="2"/>
  <c r="AC41" i="2"/>
  <c r="AF24" i="2"/>
  <c r="AF28" i="2" s="1"/>
  <c r="AF32" i="2" s="1"/>
  <c r="AF23" i="2"/>
  <c r="AF27" i="2" s="1"/>
  <c r="AH14" i="2"/>
  <c r="AH15" i="2" s="1"/>
  <c r="AH22" i="2" s="1"/>
  <c r="AI13" i="2"/>
  <c r="AA63" i="2"/>
  <c r="AA68" i="2" s="1"/>
  <c r="Z70" i="2"/>
  <c r="AD56" i="2"/>
  <c r="AD37" i="2"/>
  <c r="AD35" i="2"/>
  <c r="AD34" i="2"/>
  <c r="AD38" i="2"/>
  <c r="AD36" i="2"/>
  <c r="AD33" i="2"/>
  <c r="AE31" i="2"/>
  <c r="AE26" i="2"/>
  <c r="AB74" i="2"/>
  <c r="AA75" i="2"/>
  <c r="AH19" i="2"/>
  <c r="AH20" i="2" s="1"/>
  <c r="AI18" i="2"/>
  <c r="AG22" i="2"/>
  <c r="AC67" i="2"/>
  <c r="AC73" i="2" s="1"/>
  <c r="AB60" i="2"/>
  <c r="AB66" i="2"/>
  <c r="AH24" i="1"/>
  <c r="AH28" i="1" s="1"/>
  <c r="AH32" i="1" s="1"/>
  <c r="AH23" i="1"/>
  <c r="AH27" i="1" s="1"/>
  <c r="AC74" i="1"/>
  <c r="AB75" i="1"/>
  <c r="AI9" i="1"/>
  <c r="AI10" i="1" s="1"/>
  <c r="AI22" i="1" s="1"/>
  <c r="AL18" i="1"/>
  <c r="AK19" i="1"/>
  <c r="AK20" i="1" s="1"/>
  <c r="AF56" i="1"/>
  <c r="AF36" i="1"/>
  <c r="AF35" i="1"/>
  <c r="AF37" i="1"/>
  <c r="AF34" i="1"/>
  <c r="AF33" i="1"/>
  <c r="AF38" i="1"/>
  <c r="AL14" i="1"/>
  <c r="AL15" i="1" s="1"/>
  <c r="AM13" i="1"/>
  <c r="AB63" i="1"/>
  <c r="AB68" i="1" s="1"/>
  <c r="AA70" i="1"/>
  <c r="AD66" i="1"/>
  <c r="AD60" i="1"/>
  <c r="AE73" i="1"/>
  <c r="AD55" i="5" l="1"/>
  <c r="AD59" i="5" s="1"/>
  <c r="AD60" i="5" s="1"/>
  <c r="AE30" i="5"/>
  <c r="AE40" i="5" s="1"/>
  <c r="AE41" i="5" s="1"/>
  <c r="AJ8" i="5"/>
  <c r="AI9" i="5"/>
  <c r="AI10" i="5" s="1"/>
  <c r="AI22" i="5" s="1"/>
  <c r="AN18" i="5"/>
  <c r="AM19" i="5"/>
  <c r="AM20" i="5" s="1"/>
  <c r="AD74" i="5"/>
  <c r="AC75" i="5"/>
  <c r="AE67" i="5"/>
  <c r="AE73" i="5" s="1"/>
  <c r="AC63" i="5"/>
  <c r="AC68" i="5" s="1"/>
  <c r="AB70" i="5"/>
  <c r="AF37" i="5"/>
  <c r="AF33" i="5"/>
  <c r="AF56" i="5"/>
  <c r="AF35" i="5"/>
  <c r="AF38" i="5"/>
  <c r="AF36" i="5"/>
  <c r="AF34" i="5"/>
  <c r="AG31" i="5"/>
  <c r="AH23" i="5"/>
  <c r="AH27" i="5" s="1"/>
  <c r="AH24" i="5"/>
  <c r="AH28" i="5" s="1"/>
  <c r="AH32" i="5" s="1"/>
  <c r="AJ14" i="5"/>
  <c r="AJ15" i="5" s="1"/>
  <c r="AK13" i="5"/>
  <c r="AE55" i="1"/>
  <c r="AE59" i="1" s="1"/>
  <c r="AF67" i="1" s="1"/>
  <c r="AF73" i="1" s="1"/>
  <c r="AC63" i="4"/>
  <c r="AC68" i="4" s="1"/>
  <c r="AB70" i="4"/>
  <c r="AF37" i="4"/>
  <c r="AF35" i="4"/>
  <c r="AF56" i="4"/>
  <c r="AF38" i="4"/>
  <c r="AF36" i="4"/>
  <c r="AF30" i="4" s="1"/>
  <c r="AF40" i="4" s="1"/>
  <c r="AF34" i="4"/>
  <c r="AF33" i="4"/>
  <c r="AJ9" i="4"/>
  <c r="AJ10" i="4" s="1"/>
  <c r="AJ22" i="4" s="1"/>
  <c r="AK8" i="4"/>
  <c r="AI22" i="4"/>
  <c r="AK14" i="4"/>
  <c r="AK15" i="4" s="1"/>
  <c r="AL13" i="4"/>
  <c r="AC75" i="4"/>
  <c r="AD74" i="4"/>
  <c r="AD66" i="4"/>
  <c r="AD60" i="4"/>
  <c r="AE73" i="4"/>
  <c r="AH24" i="4"/>
  <c r="AH28" i="4" s="1"/>
  <c r="AH32" i="4" s="1"/>
  <c r="AH23" i="4"/>
  <c r="AH27" i="4" s="1"/>
  <c r="AG31" i="4"/>
  <c r="AG26" i="4"/>
  <c r="AJ19" i="4"/>
  <c r="AJ20" i="4" s="1"/>
  <c r="AK18" i="4"/>
  <c r="AE66" i="4"/>
  <c r="AE60" i="4"/>
  <c r="AH26" i="1"/>
  <c r="AH31" i="1"/>
  <c r="AF30" i="1"/>
  <c r="AF40" i="1" s="1"/>
  <c r="AF55" i="1" s="1"/>
  <c r="AF59" i="1" s="1"/>
  <c r="AG67" i="1" s="1"/>
  <c r="AD30" i="2"/>
  <c r="AD40" i="2" s="1"/>
  <c r="AD55" i="2" s="1"/>
  <c r="AD59" i="2" s="1"/>
  <c r="AJ9" i="2"/>
  <c r="AJ10" i="2" s="1"/>
  <c r="AK8" i="2"/>
  <c r="AD41" i="2"/>
  <c r="AC74" i="2"/>
  <c r="AB75" i="2"/>
  <c r="AH23" i="2"/>
  <c r="AH27" i="2" s="1"/>
  <c r="AH24" i="2"/>
  <c r="AH28" i="2" s="1"/>
  <c r="AH32" i="2" s="1"/>
  <c r="AJ18" i="2"/>
  <c r="AI19" i="2"/>
  <c r="AI20" i="2" s="1"/>
  <c r="AB63" i="2"/>
  <c r="AB68" i="2" s="1"/>
  <c r="AA70" i="2"/>
  <c r="AI14" i="2"/>
  <c r="AI15" i="2" s="1"/>
  <c r="AJ13" i="2"/>
  <c r="AC66" i="2"/>
  <c r="AD67" i="2"/>
  <c r="AD73" i="2" s="1"/>
  <c r="AC60" i="2"/>
  <c r="AE56" i="2"/>
  <c r="AE37" i="2"/>
  <c r="AE35" i="2"/>
  <c r="AE38" i="2"/>
  <c r="AE33" i="2"/>
  <c r="AE34" i="2"/>
  <c r="AE36" i="2"/>
  <c r="AG24" i="2"/>
  <c r="AG28" i="2" s="1"/>
  <c r="AG32" i="2" s="1"/>
  <c r="AG23" i="2"/>
  <c r="AG27" i="2" s="1"/>
  <c r="AF31" i="2"/>
  <c r="AF26" i="2"/>
  <c r="AE66" i="1"/>
  <c r="AE60" i="1"/>
  <c r="AC63" i="1"/>
  <c r="AC68" i="1" s="1"/>
  <c r="AB70" i="1"/>
  <c r="AM14" i="1"/>
  <c r="AM15" i="1" s="1"/>
  <c r="AN13" i="1"/>
  <c r="AD74" i="1"/>
  <c r="AC75" i="1"/>
  <c r="AL19" i="1"/>
  <c r="AL20" i="1" s="1"/>
  <c r="AM18" i="1"/>
  <c r="AG37" i="1"/>
  <c r="AG56" i="1"/>
  <c r="AG35" i="1"/>
  <c r="AG36" i="1"/>
  <c r="AG34" i="1"/>
  <c r="AG33" i="1"/>
  <c r="AG38" i="1"/>
  <c r="AJ9" i="1"/>
  <c r="AJ10" i="1" s="1"/>
  <c r="AJ22" i="1" s="1"/>
  <c r="AI24" i="1"/>
  <c r="AI28" i="1" s="1"/>
  <c r="AI32" i="1" s="1"/>
  <c r="AI23" i="1"/>
  <c r="AI27" i="1" s="1"/>
  <c r="AD66" i="5" l="1"/>
  <c r="AE55" i="5"/>
  <c r="AE59" i="5" s="1"/>
  <c r="AE66" i="5" s="1"/>
  <c r="AF30" i="5"/>
  <c r="AF40" i="5" s="1"/>
  <c r="AF41" i="5" s="1"/>
  <c r="AL13" i="5"/>
  <c r="AK14" i="5"/>
  <c r="AK15" i="5" s="1"/>
  <c r="AG37" i="5"/>
  <c r="AG38" i="5"/>
  <c r="AG33" i="5"/>
  <c r="AG56" i="5"/>
  <c r="AG35" i="5"/>
  <c r="AG36" i="5"/>
  <c r="AG34" i="5"/>
  <c r="AE74" i="5"/>
  <c r="AD75" i="5"/>
  <c r="AI23" i="5"/>
  <c r="AI27" i="5" s="1"/>
  <c r="AI24" i="5"/>
  <c r="AI28" i="5" s="1"/>
  <c r="AI32" i="5" s="1"/>
  <c r="AC70" i="5"/>
  <c r="AD63" i="5"/>
  <c r="AD68" i="5" s="1"/>
  <c r="AK8" i="5"/>
  <c r="AJ9" i="5"/>
  <c r="AJ10" i="5" s="1"/>
  <c r="AJ22" i="5" s="1"/>
  <c r="AH31" i="5"/>
  <c r="AO18" i="5"/>
  <c r="AN19" i="5"/>
  <c r="AN20" i="5" s="1"/>
  <c r="AF41" i="1"/>
  <c r="AF41" i="4"/>
  <c r="AF55" i="4"/>
  <c r="AH31" i="4"/>
  <c r="AH26" i="4"/>
  <c r="AM13" i="4"/>
  <c r="AL14" i="4"/>
  <c r="AL15" i="4" s="1"/>
  <c r="AF73" i="4"/>
  <c r="AG30" i="4"/>
  <c r="AG40" i="4" s="1"/>
  <c r="AI24" i="4"/>
  <c r="AI28" i="4" s="1"/>
  <c r="AI32" i="4" s="1"/>
  <c r="AI23" i="4"/>
  <c r="AI27" i="4" s="1"/>
  <c r="AL8" i="4"/>
  <c r="AK9" i="4"/>
  <c r="AK10" i="4" s="1"/>
  <c r="AK22" i="4" s="1"/>
  <c r="AL18" i="4"/>
  <c r="AK19" i="4"/>
  <c r="AK20" i="4" s="1"/>
  <c r="AJ24" i="4"/>
  <c r="AJ28" i="4" s="1"/>
  <c r="AJ32" i="4" s="1"/>
  <c r="AJ23" i="4"/>
  <c r="AJ27" i="4" s="1"/>
  <c r="AD75" i="4"/>
  <c r="AE74" i="4"/>
  <c r="AG56" i="4"/>
  <c r="AG38" i="4"/>
  <c r="AG33" i="4"/>
  <c r="AG35" i="4"/>
  <c r="AG37" i="4"/>
  <c r="AG34" i="4"/>
  <c r="AG36" i="4"/>
  <c r="AC70" i="4"/>
  <c r="AD63" i="4"/>
  <c r="AD68" i="4" s="1"/>
  <c r="AI26" i="1"/>
  <c r="AI31" i="1"/>
  <c r="AG30" i="1"/>
  <c r="AG40" i="1" s="1"/>
  <c r="AG55" i="1" s="1"/>
  <c r="AG59" i="1" s="1"/>
  <c r="AH67" i="1" s="1"/>
  <c r="AE30" i="2"/>
  <c r="AE40" i="2" s="1"/>
  <c r="AL8" i="2"/>
  <c r="AK9" i="2"/>
  <c r="AK10" i="2" s="1"/>
  <c r="AI22" i="2"/>
  <c r="AI24" i="2" s="1"/>
  <c r="AI28" i="2" s="1"/>
  <c r="AI32" i="2" s="1"/>
  <c r="AE41" i="2"/>
  <c r="AE55" i="2"/>
  <c r="AE59" i="2" s="1"/>
  <c r="AH31" i="2"/>
  <c r="AH26" i="2"/>
  <c r="AF37" i="2"/>
  <c r="AF38" i="2"/>
  <c r="AF36" i="2"/>
  <c r="AF56" i="2"/>
  <c r="AF33" i="2"/>
  <c r="AF35" i="2"/>
  <c r="AF34" i="2"/>
  <c r="AI23" i="2"/>
  <c r="AI27" i="2" s="1"/>
  <c r="AC75" i="2"/>
  <c r="AD74" i="2"/>
  <c r="AC63" i="2"/>
  <c r="AC68" i="2" s="1"/>
  <c r="AB70" i="2"/>
  <c r="AJ19" i="2"/>
  <c r="AJ20" i="2" s="1"/>
  <c r="AK18" i="2"/>
  <c r="AD66" i="2"/>
  <c r="AD60" i="2"/>
  <c r="AE67" i="2"/>
  <c r="AJ14" i="2"/>
  <c r="AJ15" i="2" s="1"/>
  <c r="AK13" i="2"/>
  <c r="AG31" i="2"/>
  <c r="AG26" i="2"/>
  <c r="AE73" i="2"/>
  <c r="AN14" i="1"/>
  <c r="AN15" i="1" s="1"/>
  <c r="AO13" i="1"/>
  <c r="AE74" i="1"/>
  <c r="AD75" i="1"/>
  <c r="AH56" i="1"/>
  <c r="AH37" i="1"/>
  <c r="AH36" i="1"/>
  <c r="AH35" i="1"/>
  <c r="AH38" i="1"/>
  <c r="AH33" i="1"/>
  <c r="AH34" i="1"/>
  <c r="AK9" i="1"/>
  <c r="AK10" i="1" s="1"/>
  <c r="AK22" i="1" s="1"/>
  <c r="AL8" i="1"/>
  <c r="AG73" i="1"/>
  <c r="AJ24" i="1"/>
  <c r="AJ28" i="1" s="1"/>
  <c r="AJ32" i="1" s="1"/>
  <c r="AJ23" i="1"/>
  <c r="AJ27" i="1" s="1"/>
  <c r="AC70" i="1"/>
  <c r="AD63" i="1"/>
  <c r="AD68" i="1" s="1"/>
  <c r="AF60" i="1"/>
  <c r="AF66" i="1"/>
  <c r="AM19" i="1"/>
  <c r="AM20" i="1" s="1"/>
  <c r="AN18" i="1"/>
  <c r="AF67" i="5" l="1"/>
  <c r="AF73" i="5" s="1"/>
  <c r="AE60" i="5"/>
  <c r="AG30" i="5"/>
  <c r="AG40" i="5" s="1"/>
  <c r="AG55" i="5" s="1"/>
  <c r="AG59" i="5" s="1"/>
  <c r="AF55" i="5"/>
  <c r="AF59" i="5" s="1"/>
  <c r="AF60" i="5" s="1"/>
  <c r="AL8" i="5"/>
  <c r="AK9" i="5"/>
  <c r="AK10" i="5" s="1"/>
  <c r="AK22" i="5" s="1"/>
  <c r="AF74" i="5"/>
  <c r="AE75" i="5"/>
  <c r="AJ23" i="5"/>
  <c r="AJ27" i="5" s="1"/>
  <c r="AJ24" i="5"/>
  <c r="AJ28" i="5" s="1"/>
  <c r="AJ32" i="5" s="1"/>
  <c r="AI31" i="5"/>
  <c r="AP18" i="5"/>
  <c r="AO19" i="5"/>
  <c r="AO20" i="5" s="1"/>
  <c r="AE63" i="5"/>
  <c r="AE68" i="5" s="1"/>
  <c r="AD70" i="5"/>
  <c r="AG67" i="5"/>
  <c r="AG73" i="5" s="1"/>
  <c r="AM13" i="5"/>
  <c r="AL14" i="5"/>
  <c r="AL15" i="5" s="1"/>
  <c r="AH38" i="5"/>
  <c r="AH56" i="5"/>
  <c r="AH35" i="5"/>
  <c r="AH37" i="5"/>
  <c r="AH33" i="5"/>
  <c r="AH36" i="5"/>
  <c r="AH34" i="5"/>
  <c r="AG41" i="1"/>
  <c r="AG55" i="4"/>
  <c r="AG41" i="4"/>
  <c r="AN13" i="4"/>
  <c r="AM14" i="4"/>
  <c r="AM15" i="4" s="1"/>
  <c r="AM8" i="4"/>
  <c r="AL9" i="4"/>
  <c r="AL10" i="4" s="1"/>
  <c r="AL22" i="4" s="1"/>
  <c r="AM18" i="4"/>
  <c r="AL19" i="4"/>
  <c r="AL20" i="4" s="1"/>
  <c r="AF74" i="4"/>
  <c r="AE75" i="4"/>
  <c r="AI26" i="4"/>
  <c r="AI31" i="4"/>
  <c r="AF60" i="4"/>
  <c r="AF66" i="4"/>
  <c r="AG73" i="4"/>
  <c r="AJ26" i="4"/>
  <c r="AJ31" i="4"/>
  <c r="AD70" i="4"/>
  <c r="AE63" i="4"/>
  <c r="AE68" i="4" s="1"/>
  <c r="AK23" i="4"/>
  <c r="AK27" i="4" s="1"/>
  <c r="AK24" i="4"/>
  <c r="AK28" i="4" s="1"/>
  <c r="AK32" i="4" s="1"/>
  <c r="AH38" i="4"/>
  <c r="AH30" i="4" s="1"/>
  <c r="AH40" i="4" s="1"/>
  <c r="AH36" i="4"/>
  <c r="AH56" i="4"/>
  <c r="AH33" i="4"/>
  <c r="AH34" i="4"/>
  <c r="AH37" i="4"/>
  <c r="AH35" i="4"/>
  <c r="AJ26" i="1"/>
  <c r="AJ31" i="1"/>
  <c r="AH30" i="1"/>
  <c r="AH40" i="1" s="1"/>
  <c r="AH55" i="1" s="1"/>
  <c r="AH59" i="1" s="1"/>
  <c r="AI67" i="1" s="1"/>
  <c r="AF30" i="2"/>
  <c r="AF40" i="2" s="1"/>
  <c r="AL9" i="2"/>
  <c r="AL10" i="2" s="1"/>
  <c r="AM8" i="2"/>
  <c r="AF55" i="2"/>
  <c r="AF59" i="2" s="1"/>
  <c r="AF41" i="2"/>
  <c r="AG56" i="2"/>
  <c r="AG33" i="2"/>
  <c r="AG38" i="2"/>
  <c r="AG36" i="2"/>
  <c r="AG35" i="2"/>
  <c r="AG37" i="2"/>
  <c r="AG34" i="2"/>
  <c r="AD75" i="2"/>
  <c r="AE74" i="2"/>
  <c r="AL18" i="2"/>
  <c r="AK19" i="2"/>
  <c r="AK20" i="2" s="1"/>
  <c r="AK14" i="2"/>
  <c r="AK15" i="2" s="1"/>
  <c r="AL13" i="2"/>
  <c r="AI26" i="2"/>
  <c r="AI31" i="2"/>
  <c r="AJ22" i="2"/>
  <c r="AH38" i="2"/>
  <c r="AH36" i="2"/>
  <c r="AH34" i="2"/>
  <c r="AH56" i="2"/>
  <c r="AH35" i="2"/>
  <c r="AH37" i="2"/>
  <c r="AH33" i="2"/>
  <c r="AC70" i="2"/>
  <c r="AD63" i="2"/>
  <c r="AD68" i="2" s="1"/>
  <c r="AE66" i="2"/>
  <c r="AE60" i="2"/>
  <c r="AF67" i="2"/>
  <c r="AF73" i="2" s="1"/>
  <c r="AN19" i="1"/>
  <c r="AN20" i="1" s="1"/>
  <c r="AO18" i="1"/>
  <c r="AD70" i="1"/>
  <c r="AE63" i="1"/>
  <c r="AE68" i="1" s="1"/>
  <c r="AI38" i="1"/>
  <c r="AI37" i="1"/>
  <c r="AI33" i="1"/>
  <c r="AI56" i="1"/>
  <c r="AI36" i="1"/>
  <c r="AI35" i="1"/>
  <c r="AI34" i="1"/>
  <c r="AP13" i="1"/>
  <c r="AP14" i="1" s="1"/>
  <c r="AP15" i="1" s="1"/>
  <c r="AO14" i="1"/>
  <c r="AO15" i="1" s="1"/>
  <c r="AL9" i="1"/>
  <c r="AL10" i="1" s="1"/>
  <c r="AL22" i="1" s="1"/>
  <c r="AM8" i="1"/>
  <c r="AE75" i="1"/>
  <c r="AF74" i="1"/>
  <c r="AH73" i="1"/>
  <c r="AK24" i="1"/>
  <c r="AK28" i="1" s="1"/>
  <c r="AK32" i="1" s="1"/>
  <c r="AK23" i="1"/>
  <c r="AK27" i="1" s="1"/>
  <c r="AG60" i="1"/>
  <c r="AG66" i="1"/>
  <c r="AG41" i="5" l="1"/>
  <c r="AF66" i="5"/>
  <c r="AH30" i="5"/>
  <c r="AH40" i="5" s="1"/>
  <c r="AH55" i="5" s="1"/>
  <c r="AH59" i="5" s="1"/>
  <c r="AJ31" i="5"/>
  <c r="AF75" i="5"/>
  <c r="AG74" i="5"/>
  <c r="AE70" i="5"/>
  <c r="AF63" i="5"/>
  <c r="AF68" i="5" s="1"/>
  <c r="AK24" i="5"/>
  <c r="AK28" i="5" s="1"/>
  <c r="AK32" i="5" s="1"/>
  <c r="AK23" i="5"/>
  <c r="AK27" i="5" s="1"/>
  <c r="AN13" i="5"/>
  <c r="AM14" i="5"/>
  <c r="AM15" i="5" s="1"/>
  <c r="AQ18" i="5"/>
  <c r="AP19" i="5"/>
  <c r="AP20" i="5" s="1"/>
  <c r="AM8" i="5"/>
  <c r="AL9" i="5"/>
  <c r="AL10" i="5" s="1"/>
  <c r="AL22" i="5" s="1"/>
  <c r="AI56" i="5"/>
  <c r="AI38" i="5"/>
  <c r="AI33" i="5"/>
  <c r="AI34" i="5"/>
  <c r="AI36" i="5"/>
  <c r="AI35" i="5"/>
  <c r="AI37" i="5"/>
  <c r="AG60" i="5"/>
  <c r="AG66" i="5"/>
  <c r="AH67" i="5"/>
  <c r="AH73" i="5" s="1"/>
  <c r="AH41" i="1"/>
  <c r="AH55" i="4"/>
  <c r="AH41" i="4"/>
  <c r="AL24" i="4"/>
  <c r="AL28" i="4" s="1"/>
  <c r="AL32" i="4" s="1"/>
  <c r="AL23" i="4"/>
  <c r="AL27" i="4" s="1"/>
  <c r="AK31" i="4"/>
  <c r="AK26" i="4"/>
  <c r="AF63" i="4"/>
  <c r="AF68" i="4" s="1"/>
  <c r="AE70" i="4"/>
  <c r="AI38" i="4"/>
  <c r="AI36" i="4"/>
  <c r="AI37" i="4"/>
  <c r="AI34" i="4"/>
  <c r="AI35" i="4"/>
  <c r="AI33" i="4"/>
  <c r="AI30" i="4" s="1"/>
  <c r="AI40" i="4" s="1"/>
  <c r="AI56" i="4"/>
  <c r="AF75" i="4"/>
  <c r="AG74" i="4"/>
  <c r="AJ38" i="4"/>
  <c r="AJ36" i="4"/>
  <c r="AJ37" i="4"/>
  <c r="AJ34" i="4"/>
  <c r="AJ56" i="4"/>
  <c r="AJ35" i="4"/>
  <c r="AJ33" i="4"/>
  <c r="AJ30" i="4" s="1"/>
  <c r="AJ40" i="4" s="1"/>
  <c r="AM9" i="4"/>
  <c r="AM10" i="4" s="1"/>
  <c r="AM22" i="4" s="1"/>
  <c r="AN8" i="4"/>
  <c r="AO13" i="4"/>
  <c r="AN14" i="4"/>
  <c r="AN15" i="4" s="1"/>
  <c r="AN18" i="4"/>
  <c r="AM19" i="4"/>
  <c r="AM20" i="4" s="1"/>
  <c r="AG66" i="4"/>
  <c r="AH73" i="4"/>
  <c r="AG60" i="4"/>
  <c r="AK26" i="1"/>
  <c r="AK31" i="1"/>
  <c r="AI30" i="1"/>
  <c r="AI40" i="1" s="1"/>
  <c r="AI55" i="1" s="1"/>
  <c r="AI59" i="1" s="1"/>
  <c r="AJ67" i="1" s="1"/>
  <c r="AK22" i="2"/>
  <c r="AH30" i="2"/>
  <c r="AH40" i="2" s="1"/>
  <c r="AM9" i="2"/>
  <c r="AM10" i="2" s="1"/>
  <c r="AN8" i="2"/>
  <c r="AG30" i="2"/>
  <c r="AG40" i="2" s="1"/>
  <c r="AG55" i="2" s="1"/>
  <c r="AG59" i="2" s="1"/>
  <c r="AG41" i="2"/>
  <c r="AH55" i="2"/>
  <c r="AH59" i="2" s="1"/>
  <c r="AH41" i="2"/>
  <c r="AJ23" i="2"/>
  <c r="AJ27" i="2" s="1"/>
  <c r="AJ24" i="2"/>
  <c r="AJ28" i="2" s="1"/>
  <c r="AJ32" i="2" s="1"/>
  <c r="AI38" i="2"/>
  <c r="AI36" i="2"/>
  <c r="AI56" i="2"/>
  <c r="AI34" i="2"/>
  <c r="AI37" i="2"/>
  <c r="AI35" i="2"/>
  <c r="AI33" i="2"/>
  <c r="AF74" i="2"/>
  <c r="AE75" i="2"/>
  <c r="AL14" i="2"/>
  <c r="AL15" i="2" s="1"/>
  <c r="AM13" i="2"/>
  <c r="AD70" i="2"/>
  <c r="AE63" i="2"/>
  <c r="AE68" i="2" s="1"/>
  <c r="AK23" i="2"/>
  <c r="AK27" i="2" s="1"/>
  <c r="AK24" i="2"/>
  <c r="AK28" i="2" s="1"/>
  <c r="AK32" i="2" s="1"/>
  <c r="AM18" i="2"/>
  <c r="AL19" i="2"/>
  <c r="AL20" i="2" s="1"/>
  <c r="AF60" i="2"/>
  <c r="AG67" i="2"/>
  <c r="AG73" i="2" s="1"/>
  <c r="AF66" i="2"/>
  <c r="AI73" i="1"/>
  <c r="AF75" i="1"/>
  <c r="AG74" i="1"/>
  <c r="AP18" i="1"/>
  <c r="AP19" i="1" s="1"/>
  <c r="AP20" i="1" s="1"/>
  <c r="AO19" i="1"/>
  <c r="AO20" i="1" s="1"/>
  <c r="AM9" i="1"/>
  <c r="AM10" i="1" s="1"/>
  <c r="AM22" i="1" s="1"/>
  <c r="AN8" i="1"/>
  <c r="AL23" i="1"/>
  <c r="AL27" i="1" s="1"/>
  <c r="AL24" i="1"/>
  <c r="AL28" i="1" s="1"/>
  <c r="AL32" i="1" s="1"/>
  <c r="AF63" i="1"/>
  <c r="AF68" i="1" s="1"/>
  <c r="AE70" i="1"/>
  <c r="AJ38" i="1"/>
  <c r="AJ56" i="1"/>
  <c r="AJ37" i="1"/>
  <c r="AJ36" i="1"/>
  <c r="AJ35" i="1"/>
  <c r="AJ33" i="1"/>
  <c r="AJ34" i="1"/>
  <c r="AH60" i="1"/>
  <c r="AH66" i="1"/>
  <c r="AH41" i="5" l="1"/>
  <c r="AI30" i="5"/>
  <c r="AI40" i="5" s="1"/>
  <c r="AI55" i="5" s="1"/>
  <c r="AI59" i="5" s="1"/>
  <c r="AM9" i="5"/>
  <c r="AM10" i="5" s="1"/>
  <c r="AM22" i="5" s="1"/>
  <c r="AN8" i="5"/>
  <c r="AG75" i="5"/>
  <c r="AH74" i="5"/>
  <c r="AR18" i="5"/>
  <c r="AR19" i="5" s="1"/>
  <c r="AR20" i="5" s="1"/>
  <c r="AQ19" i="5"/>
  <c r="AQ20" i="5" s="1"/>
  <c r="AO13" i="5"/>
  <c r="AN14" i="5"/>
  <c r="AN15" i="5" s="1"/>
  <c r="AK31" i="5"/>
  <c r="AJ56" i="5"/>
  <c r="AJ33" i="5"/>
  <c r="AJ34" i="5"/>
  <c r="AJ35" i="5"/>
  <c r="AJ36" i="5"/>
  <c r="AJ37" i="5"/>
  <c r="AJ38" i="5"/>
  <c r="AL24" i="5"/>
  <c r="AL28" i="5" s="1"/>
  <c r="AL32" i="5" s="1"/>
  <c r="AL23" i="5"/>
  <c r="AL27" i="5" s="1"/>
  <c r="AF70" i="5"/>
  <c r="AG63" i="5"/>
  <c r="AG68" i="5" s="1"/>
  <c r="AH60" i="5"/>
  <c r="AI67" i="5"/>
  <c r="AI73" i="5" s="1"/>
  <c r="AH66" i="5"/>
  <c r="AI41" i="1"/>
  <c r="AJ55" i="4"/>
  <c r="AJ41" i="4"/>
  <c r="AI55" i="4"/>
  <c r="AI41" i="4"/>
  <c r="AF70" i="4"/>
  <c r="AG63" i="4"/>
  <c r="AG68" i="4" s="1"/>
  <c r="AP13" i="4"/>
  <c r="AP14" i="4" s="1"/>
  <c r="AP15" i="4" s="1"/>
  <c r="AO14" i="4"/>
  <c r="AO15" i="4" s="1"/>
  <c r="AM23" i="4"/>
  <c r="AM27" i="4" s="1"/>
  <c r="AM24" i="4"/>
  <c r="AM28" i="4" s="1"/>
  <c r="AM32" i="4" s="1"/>
  <c r="AL26" i="4"/>
  <c r="AL31" i="4"/>
  <c r="AN19" i="4"/>
  <c r="AN20" i="4" s="1"/>
  <c r="AO18" i="4"/>
  <c r="AI73" i="4"/>
  <c r="AH66" i="4"/>
  <c r="AH60" i="4"/>
  <c r="AN9" i="4"/>
  <c r="AN10" i="4" s="1"/>
  <c r="AO8" i="4"/>
  <c r="AK56" i="4"/>
  <c r="AK37" i="4"/>
  <c r="AK34" i="4"/>
  <c r="AK30" i="4" s="1"/>
  <c r="AK40" i="4" s="1"/>
  <c r="AK38" i="4"/>
  <c r="AK36" i="4"/>
  <c r="AK35" i="4"/>
  <c r="AK33" i="4"/>
  <c r="AG75" i="4"/>
  <c r="AH74" i="4"/>
  <c r="AL26" i="1"/>
  <c r="AL31" i="1"/>
  <c r="AJ30" i="1"/>
  <c r="AJ40" i="1" s="1"/>
  <c r="AJ55" i="1" s="1"/>
  <c r="AJ59" i="1" s="1"/>
  <c r="AK67" i="1" s="1"/>
  <c r="AL22" i="2"/>
  <c r="AI30" i="2"/>
  <c r="AI40" i="2" s="1"/>
  <c r="AO8" i="2"/>
  <c r="AN9" i="2"/>
  <c r="AN10" i="2" s="1"/>
  <c r="AI55" i="2"/>
  <c r="AI59" i="2" s="1"/>
  <c r="AI41" i="2"/>
  <c r="AF75" i="2"/>
  <c r="AG74" i="2"/>
  <c r="AH67" i="2"/>
  <c r="AH73" i="2" s="1"/>
  <c r="AG60" i="2"/>
  <c r="AG66" i="2"/>
  <c r="AJ26" i="2"/>
  <c r="AJ31" i="2"/>
  <c r="AN18" i="2"/>
  <c r="AM19" i="2"/>
  <c r="AM20" i="2" s="1"/>
  <c r="AI67" i="2"/>
  <c r="AH66" i="2"/>
  <c r="AH60" i="2"/>
  <c r="AK26" i="2"/>
  <c r="AK31" i="2"/>
  <c r="AM14" i="2"/>
  <c r="AM15" i="2" s="1"/>
  <c r="AN13" i="2"/>
  <c r="AL23" i="2"/>
  <c r="AL27" i="2" s="1"/>
  <c r="AL24" i="2"/>
  <c r="AL28" i="2" s="1"/>
  <c r="AL32" i="2" s="1"/>
  <c r="AF63" i="2"/>
  <c r="AF68" i="2" s="1"/>
  <c r="AE70" i="2"/>
  <c r="AM23" i="1"/>
  <c r="AM27" i="1" s="1"/>
  <c r="AM24" i="1"/>
  <c r="AM28" i="1" s="1"/>
  <c r="AM32" i="1" s="1"/>
  <c r="AG75" i="1"/>
  <c r="AH74" i="1"/>
  <c r="AK56" i="1"/>
  <c r="AK38" i="1"/>
  <c r="AK36" i="1"/>
  <c r="AK37" i="1"/>
  <c r="AK35" i="1"/>
  <c r="AK33" i="1"/>
  <c r="AK34" i="1"/>
  <c r="AF70" i="1"/>
  <c r="AG63" i="1"/>
  <c r="AG68" i="1" s="1"/>
  <c r="AN9" i="1"/>
  <c r="AN10" i="1" s="1"/>
  <c r="AN22" i="1" s="1"/>
  <c r="AO8" i="1"/>
  <c r="AJ73" i="1"/>
  <c r="AI60" i="1"/>
  <c r="AI66" i="1"/>
  <c r="AI41" i="5" l="1"/>
  <c r="AJ30" i="5"/>
  <c r="AJ40" i="5" s="1"/>
  <c r="AJ55" i="5" s="1"/>
  <c r="AJ59" i="5" s="1"/>
  <c r="AL31" i="5"/>
  <c r="AH75" i="5"/>
  <c r="AI74" i="5"/>
  <c r="AK56" i="5"/>
  <c r="AK34" i="5"/>
  <c r="AK35" i="5"/>
  <c r="AK36" i="5"/>
  <c r="AK37" i="5"/>
  <c r="AK38" i="5"/>
  <c r="AK33" i="5"/>
  <c r="AN9" i="5"/>
  <c r="AN10" i="5" s="1"/>
  <c r="AN22" i="5" s="1"/>
  <c r="AO8" i="5"/>
  <c r="AM23" i="5"/>
  <c r="AM27" i="5" s="1"/>
  <c r="AM24" i="5"/>
  <c r="AM28" i="5" s="1"/>
  <c r="AM32" i="5" s="1"/>
  <c r="AP13" i="5"/>
  <c r="AO14" i="5"/>
  <c r="AO15" i="5" s="1"/>
  <c r="AG70" i="5"/>
  <c r="AH63" i="5"/>
  <c r="AH68" i="5" s="1"/>
  <c r="AI66" i="5"/>
  <c r="AJ67" i="5"/>
  <c r="AJ73" i="5" s="1"/>
  <c r="AI60" i="5"/>
  <c r="AJ41" i="1"/>
  <c r="AK41" i="4"/>
  <c r="AK55" i="4"/>
  <c r="AJ73" i="4"/>
  <c r="AK73" i="4" s="1"/>
  <c r="AI60" i="4"/>
  <c r="AI66" i="4"/>
  <c r="AP8" i="4"/>
  <c r="AP9" i="4" s="1"/>
  <c r="AP10" i="4" s="1"/>
  <c r="AP22" i="4" s="1"/>
  <c r="AO9" i="4"/>
  <c r="AO10" i="4" s="1"/>
  <c r="AO22" i="4" s="1"/>
  <c r="AN22" i="4"/>
  <c r="AM31" i="4"/>
  <c r="AM26" i="4"/>
  <c r="AP18" i="4"/>
  <c r="AP19" i="4" s="1"/>
  <c r="AP20" i="4" s="1"/>
  <c r="AO19" i="4"/>
  <c r="AO20" i="4" s="1"/>
  <c r="AL56" i="4"/>
  <c r="AL37" i="4"/>
  <c r="AL34" i="4"/>
  <c r="AL36" i="4"/>
  <c r="AL38" i="4"/>
  <c r="AL33" i="4"/>
  <c r="AL30" i="4" s="1"/>
  <c r="AL40" i="4" s="1"/>
  <c r="AL35" i="4"/>
  <c r="AH75" i="4"/>
  <c r="AI74" i="4"/>
  <c r="AG70" i="4"/>
  <c r="AH63" i="4"/>
  <c r="AH68" i="4" s="1"/>
  <c r="AJ60" i="4"/>
  <c r="AJ66" i="4"/>
  <c r="AM26" i="1"/>
  <c r="AM31" i="1"/>
  <c r="AK30" i="1"/>
  <c r="AK40" i="1" s="1"/>
  <c r="AK55" i="1" s="1"/>
  <c r="AK59" i="1" s="1"/>
  <c r="AL67" i="1" s="1"/>
  <c r="AP8" i="2"/>
  <c r="AP9" i="2" s="1"/>
  <c r="AP10" i="2" s="1"/>
  <c r="AO9" i="2"/>
  <c r="AO10" i="2" s="1"/>
  <c r="AI73" i="2"/>
  <c r="AK56" i="2"/>
  <c r="AK38" i="2"/>
  <c r="AK37" i="2"/>
  <c r="AK35" i="2"/>
  <c r="AK33" i="2"/>
  <c r="AK36" i="2"/>
  <c r="AK34" i="2"/>
  <c r="AN14" i="2"/>
  <c r="AN15" i="2" s="1"/>
  <c r="AO13" i="2"/>
  <c r="AO18" i="2"/>
  <c r="AN19" i="2"/>
  <c r="AN20" i="2" s="1"/>
  <c r="AL26" i="2"/>
  <c r="AL31" i="2"/>
  <c r="AM22" i="2"/>
  <c r="AG63" i="2"/>
  <c r="AG68" i="2" s="1"/>
  <c r="AF70" i="2"/>
  <c r="AG75" i="2"/>
  <c r="AH74" i="2"/>
  <c r="AJ38" i="2"/>
  <c r="AJ36" i="2"/>
  <c r="AJ37" i="2"/>
  <c r="AJ34" i="2"/>
  <c r="AJ33" i="2"/>
  <c r="AJ56" i="2"/>
  <c r="AJ35" i="2"/>
  <c r="AJ67" i="2"/>
  <c r="AJ73" i="2" s="1"/>
  <c r="AI66" i="2"/>
  <c r="AI60" i="2"/>
  <c r="AH75" i="1"/>
  <c r="AI74" i="1"/>
  <c r="AO9" i="1"/>
  <c r="AO10" i="1" s="1"/>
  <c r="AO22" i="1" s="1"/>
  <c r="AP8" i="1"/>
  <c r="AP9" i="1" s="1"/>
  <c r="AP10" i="1" s="1"/>
  <c r="AP22" i="1" s="1"/>
  <c r="AN23" i="1"/>
  <c r="AN27" i="1" s="1"/>
  <c r="AN24" i="1"/>
  <c r="AN28" i="1" s="1"/>
  <c r="AN32" i="1" s="1"/>
  <c r="AL56" i="1"/>
  <c r="AL34" i="1"/>
  <c r="AL38" i="1"/>
  <c r="AL37" i="1"/>
  <c r="AL35" i="1"/>
  <c r="AL33" i="1"/>
  <c r="AL36" i="1"/>
  <c r="AG70" i="1"/>
  <c r="AH63" i="1"/>
  <c r="AH68" i="1" s="1"/>
  <c r="AK73" i="1"/>
  <c r="AJ60" i="1"/>
  <c r="AJ66" i="1"/>
  <c r="AJ41" i="5" l="1"/>
  <c r="AK30" i="5"/>
  <c r="AK40" i="5" s="1"/>
  <c r="AK55" i="5" s="1"/>
  <c r="AK59" i="5" s="1"/>
  <c r="AP14" i="5"/>
  <c r="AP15" i="5" s="1"/>
  <c r="AQ13" i="5"/>
  <c r="AH70" i="5"/>
  <c r="AI63" i="5"/>
  <c r="AI68" i="5" s="1"/>
  <c r="AI75" i="5"/>
  <c r="AJ74" i="5"/>
  <c r="AL35" i="5"/>
  <c r="AL36" i="5"/>
  <c r="AL56" i="5"/>
  <c r="AL37" i="5"/>
  <c r="AL38" i="5"/>
  <c r="AL34" i="5"/>
  <c r="AL33" i="5"/>
  <c r="AM31" i="5"/>
  <c r="AO9" i="5"/>
  <c r="AO10" i="5" s="1"/>
  <c r="AO22" i="5" s="1"/>
  <c r="AP8" i="5"/>
  <c r="AN24" i="5"/>
  <c r="AN28" i="5" s="1"/>
  <c r="AN32" i="5" s="1"/>
  <c r="AN23" i="5"/>
  <c r="AN27" i="5" s="1"/>
  <c r="AJ66" i="5"/>
  <c r="AK67" i="5"/>
  <c r="AK73" i="5" s="1"/>
  <c r="AJ60" i="5"/>
  <c r="AK41" i="1"/>
  <c r="AL55" i="4"/>
  <c r="AL41" i="4"/>
  <c r="AO23" i="4"/>
  <c r="AO27" i="4" s="1"/>
  <c r="AO24" i="4"/>
  <c r="AO28" i="4" s="1"/>
  <c r="AO32" i="4" s="1"/>
  <c r="AK66" i="4"/>
  <c r="AK60" i="4"/>
  <c r="AL73" i="4"/>
  <c r="AP24" i="4"/>
  <c r="AP28" i="4" s="1"/>
  <c r="AP32" i="4" s="1"/>
  <c r="AP23" i="4"/>
  <c r="AP27" i="4" s="1"/>
  <c r="AM56" i="4"/>
  <c r="AM37" i="4"/>
  <c r="AM38" i="4"/>
  <c r="AM36" i="4"/>
  <c r="AM35" i="4"/>
  <c r="AM33" i="4"/>
  <c r="AM34" i="4"/>
  <c r="AM30" i="4" s="1"/>
  <c r="AM40" i="4" s="1"/>
  <c r="AJ74" i="4"/>
  <c r="AI75" i="4"/>
  <c r="AI63" i="4"/>
  <c r="AI68" i="4" s="1"/>
  <c r="AH70" i="4"/>
  <c r="AN23" i="4"/>
  <c r="AN27" i="4" s="1"/>
  <c r="AN24" i="4"/>
  <c r="AN28" i="4" s="1"/>
  <c r="AN32" i="4" s="1"/>
  <c r="AN26" i="1"/>
  <c r="AN31" i="1"/>
  <c r="AL30" i="1"/>
  <c r="AL40" i="1" s="1"/>
  <c r="AL41" i="1" s="1"/>
  <c r="AK30" i="2"/>
  <c r="AK40" i="2" s="1"/>
  <c r="AJ30" i="2"/>
  <c r="AJ40" i="2" s="1"/>
  <c r="AJ55" i="2"/>
  <c r="AJ59" i="2" s="1"/>
  <c r="AJ41" i="2"/>
  <c r="AK41" i="2"/>
  <c r="AK55" i="2"/>
  <c r="AK59" i="2" s="1"/>
  <c r="AH75" i="2"/>
  <c r="AI74" i="2"/>
  <c r="AM24" i="2"/>
  <c r="AM28" i="2" s="1"/>
  <c r="AM32" i="2" s="1"/>
  <c r="AM23" i="2"/>
  <c r="AM27" i="2" s="1"/>
  <c r="AG70" i="2"/>
  <c r="AH63" i="2"/>
  <c r="AH68" i="2" s="1"/>
  <c r="AN22" i="2"/>
  <c r="AL56" i="2"/>
  <c r="AL37" i="2"/>
  <c r="AL35" i="2"/>
  <c r="AL38" i="2"/>
  <c r="AL33" i="2"/>
  <c r="AL34" i="2"/>
  <c r="AL36" i="2"/>
  <c r="AO19" i="2"/>
  <c r="AO20" i="2" s="1"/>
  <c r="AP18" i="2"/>
  <c r="AP19" i="2" s="1"/>
  <c r="AP20" i="2" s="1"/>
  <c r="AO14" i="2"/>
  <c r="AO15" i="2" s="1"/>
  <c r="AP13" i="2"/>
  <c r="AP14" i="2" s="1"/>
  <c r="AP15" i="2" s="1"/>
  <c r="AI63" i="1"/>
  <c r="AI68" i="1" s="1"/>
  <c r="AH70" i="1"/>
  <c r="AJ74" i="1"/>
  <c r="AI75" i="1"/>
  <c r="AK66" i="1"/>
  <c r="AL73" i="1"/>
  <c r="AK60" i="1"/>
  <c r="AO24" i="1"/>
  <c r="AO28" i="1" s="1"/>
  <c r="AO32" i="1" s="1"/>
  <c r="AO23" i="1"/>
  <c r="AO27" i="1" s="1"/>
  <c r="AM56" i="1"/>
  <c r="AM37" i="1"/>
  <c r="AM38" i="1"/>
  <c r="AM36" i="1"/>
  <c r="AM35" i="1"/>
  <c r="AM34" i="1"/>
  <c r="AM33" i="1"/>
  <c r="AP24" i="1"/>
  <c r="AP28" i="1" s="1"/>
  <c r="AP32" i="1" s="1"/>
  <c r="AP23" i="1"/>
  <c r="AP27" i="1" s="1"/>
  <c r="AK41" i="5" l="1"/>
  <c r="AL30" i="5"/>
  <c r="AL40" i="5" s="1"/>
  <c r="AL55" i="5" s="1"/>
  <c r="AL59" i="5" s="1"/>
  <c r="AO24" i="5"/>
  <c r="AO28" i="5" s="1"/>
  <c r="AO32" i="5" s="1"/>
  <c r="AO23" i="5"/>
  <c r="AO27" i="5" s="1"/>
  <c r="AN31" i="5"/>
  <c r="AK74" i="5"/>
  <c r="AJ75" i="5"/>
  <c r="AI70" i="5"/>
  <c r="AJ63" i="5"/>
  <c r="AJ68" i="5" s="1"/>
  <c r="AM56" i="5"/>
  <c r="AM36" i="5"/>
  <c r="AM37" i="5"/>
  <c r="AM38" i="5"/>
  <c r="AM35" i="5"/>
  <c r="AM34" i="5"/>
  <c r="AM33" i="5"/>
  <c r="AP9" i="5"/>
  <c r="AP10" i="5" s="1"/>
  <c r="AP22" i="5" s="1"/>
  <c r="AQ8" i="5"/>
  <c r="AQ14" i="5"/>
  <c r="AQ15" i="5" s="1"/>
  <c r="AR13" i="5"/>
  <c r="AR14" i="5" s="1"/>
  <c r="AR15" i="5" s="1"/>
  <c r="AK66" i="5"/>
  <c r="AL67" i="5"/>
  <c r="AL73" i="5" s="1"/>
  <c r="AK60" i="5"/>
  <c r="AL55" i="1"/>
  <c r="AL59" i="1" s="1"/>
  <c r="AM67" i="1" s="1"/>
  <c r="AM55" i="4"/>
  <c r="AM41" i="4"/>
  <c r="AO31" i="4"/>
  <c r="AO26" i="4"/>
  <c r="AJ63" i="4"/>
  <c r="AJ68" i="4" s="1"/>
  <c r="AI70" i="4"/>
  <c r="AP31" i="4"/>
  <c r="AP26" i="4"/>
  <c r="AL66" i="4"/>
  <c r="AL60" i="4"/>
  <c r="AM73" i="4"/>
  <c r="AN31" i="4"/>
  <c r="AN26" i="4"/>
  <c r="AK74" i="4"/>
  <c r="AJ75" i="4"/>
  <c r="AP26" i="1"/>
  <c r="AP31" i="1"/>
  <c r="AO26" i="1"/>
  <c r="AO31" i="1"/>
  <c r="AM30" i="1"/>
  <c r="AM40" i="1" s="1"/>
  <c r="AM55" i="1" s="1"/>
  <c r="AM59" i="1" s="1"/>
  <c r="AN67" i="1" s="1"/>
  <c r="AL30" i="2"/>
  <c r="AL40" i="2" s="1"/>
  <c r="AL55" i="2" s="1"/>
  <c r="AL59" i="2" s="1"/>
  <c r="AL41" i="2"/>
  <c r="AO22" i="2"/>
  <c r="AI63" i="2"/>
  <c r="AI68" i="2" s="1"/>
  <c r="AH70" i="2"/>
  <c r="AJ74" i="2"/>
  <c r="AI75" i="2"/>
  <c r="AN24" i="2"/>
  <c r="AN28" i="2" s="1"/>
  <c r="AN32" i="2" s="1"/>
  <c r="AN23" i="2"/>
  <c r="AN27" i="2" s="1"/>
  <c r="AK66" i="2"/>
  <c r="AK60" i="2"/>
  <c r="AL67" i="2"/>
  <c r="AP22" i="2"/>
  <c r="AM31" i="2"/>
  <c r="AM26" i="2"/>
  <c r="AK67" i="2"/>
  <c r="AK73" i="2" s="1"/>
  <c r="AJ60" i="2"/>
  <c r="AJ66" i="2"/>
  <c r="AN56" i="1"/>
  <c r="AN38" i="1"/>
  <c r="AN36" i="1"/>
  <c r="AN35" i="1"/>
  <c r="AN34" i="1"/>
  <c r="AN33" i="1"/>
  <c r="AN37" i="1"/>
  <c r="AK74" i="1"/>
  <c r="AJ75" i="1"/>
  <c r="AJ63" i="1"/>
  <c r="AJ68" i="1" s="1"/>
  <c r="AI70" i="1"/>
  <c r="AL66" i="1"/>
  <c r="AL60" i="1"/>
  <c r="AM73" i="1"/>
  <c r="AL41" i="5" l="1"/>
  <c r="AM30" i="5"/>
  <c r="AM40" i="5" s="1"/>
  <c r="AM41" i="5" s="1"/>
  <c r="AN56" i="5"/>
  <c r="AN37" i="5"/>
  <c r="AN36" i="5"/>
  <c r="AN35" i="5"/>
  <c r="AN34" i="5"/>
  <c r="AN33" i="5"/>
  <c r="AN38" i="5"/>
  <c r="AL74" i="5"/>
  <c r="AK75" i="5"/>
  <c r="AR8" i="5"/>
  <c r="AR9" i="5" s="1"/>
  <c r="AR10" i="5" s="1"/>
  <c r="AR22" i="5" s="1"/>
  <c r="AQ9" i="5"/>
  <c r="AQ10" i="5" s="1"/>
  <c r="AQ22" i="5" s="1"/>
  <c r="AK63" i="5"/>
  <c r="AK68" i="5" s="1"/>
  <c r="AJ70" i="5"/>
  <c r="AO31" i="5"/>
  <c r="AM67" i="5"/>
  <c r="AM73" i="5" s="1"/>
  <c r="AL60" i="5"/>
  <c r="AL66" i="5"/>
  <c r="AP23" i="5"/>
  <c r="AP27" i="5" s="1"/>
  <c r="AP24" i="5"/>
  <c r="AP28" i="5" s="1"/>
  <c r="AP32" i="5" s="1"/>
  <c r="AN37" i="4"/>
  <c r="AN35" i="4"/>
  <c r="AN36" i="4"/>
  <c r="AN33" i="4"/>
  <c r="AN38" i="4"/>
  <c r="AN30" i="4" s="1"/>
  <c r="AN40" i="4" s="1"/>
  <c r="AN34" i="4"/>
  <c r="AN56" i="4"/>
  <c r="AK63" i="4"/>
  <c r="AK68" i="4" s="1"/>
  <c r="AJ70" i="4"/>
  <c r="AK75" i="4"/>
  <c r="AL74" i="4"/>
  <c r="AO36" i="4"/>
  <c r="AO33" i="4"/>
  <c r="AO30" i="4" s="1"/>
  <c r="AO40" i="4" s="1"/>
  <c r="AO56" i="4"/>
  <c r="AO35" i="4"/>
  <c r="AO37" i="4"/>
  <c r="AO38" i="4"/>
  <c r="AO34" i="4"/>
  <c r="AP38" i="4"/>
  <c r="AP36" i="4"/>
  <c r="AP56" i="4"/>
  <c r="AP33" i="4"/>
  <c r="AP30" i="4" s="1"/>
  <c r="AP40" i="4" s="1"/>
  <c r="AP35" i="4"/>
  <c r="AP34" i="4"/>
  <c r="AP37" i="4"/>
  <c r="C30" i="4"/>
  <c r="AM66" i="4"/>
  <c r="AM60" i="4"/>
  <c r="AN73" i="4"/>
  <c r="AM41" i="1"/>
  <c r="AN30" i="1"/>
  <c r="AN40" i="1" s="1"/>
  <c r="AN55" i="1" s="1"/>
  <c r="AN59" i="1" s="1"/>
  <c r="AO67" i="1" s="1"/>
  <c r="AL73" i="2"/>
  <c r="AP24" i="2"/>
  <c r="AP28" i="2" s="1"/>
  <c r="AP32" i="2" s="1"/>
  <c r="AP23" i="2"/>
  <c r="AP27" i="2" s="1"/>
  <c r="AM56" i="2"/>
  <c r="AM37" i="2"/>
  <c r="AM35" i="2"/>
  <c r="AM36" i="2"/>
  <c r="AM33" i="2"/>
  <c r="AM38" i="2"/>
  <c r="AM34" i="2"/>
  <c r="AJ63" i="2"/>
  <c r="AJ68" i="2" s="1"/>
  <c r="AI70" i="2"/>
  <c r="AO24" i="2"/>
  <c r="AO28" i="2" s="1"/>
  <c r="AO32" i="2" s="1"/>
  <c r="AO23" i="2"/>
  <c r="AO27" i="2" s="1"/>
  <c r="AK74" i="2"/>
  <c r="AJ75" i="2"/>
  <c r="AN31" i="2"/>
  <c r="AN26" i="2"/>
  <c r="AL66" i="2"/>
  <c r="AL60" i="2"/>
  <c r="AM67" i="2"/>
  <c r="AM73" i="2" s="1"/>
  <c r="AL74" i="1"/>
  <c r="AK75" i="1"/>
  <c r="AO37" i="1"/>
  <c r="AO38" i="1"/>
  <c r="AO36" i="1"/>
  <c r="AO35" i="1"/>
  <c r="AO34" i="1"/>
  <c r="AO33" i="1"/>
  <c r="AO56" i="1"/>
  <c r="AP35" i="1"/>
  <c r="AP36" i="1"/>
  <c r="AP34" i="1"/>
  <c r="AP33" i="1"/>
  <c r="AP38" i="1"/>
  <c r="AP37" i="1"/>
  <c r="AP56" i="1"/>
  <c r="C30" i="1"/>
  <c r="AM66" i="1"/>
  <c r="AM60" i="1"/>
  <c r="AN73" i="1"/>
  <c r="AK63" i="1"/>
  <c r="AK68" i="1" s="1"/>
  <c r="AJ70" i="1"/>
  <c r="AM55" i="5" l="1"/>
  <c r="AM59" i="5" s="1"/>
  <c r="AM60" i="5" s="1"/>
  <c r="AN30" i="5"/>
  <c r="AN40" i="5" s="1"/>
  <c r="AN41" i="5" s="1"/>
  <c r="AP31" i="5"/>
  <c r="AQ23" i="5"/>
  <c r="AQ27" i="5" s="1"/>
  <c r="AQ24" i="5"/>
  <c r="AQ28" i="5" s="1"/>
  <c r="AQ32" i="5" s="1"/>
  <c r="AR23" i="5"/>
  <c r="AR27" i="5" s="1"/>
  <c r="AR24" i="5"/>
  <c r="AR28" i="5" s="1"/>
  <c r="AR32" i="5" s="1"/>
  <c r="AN67" i="5"/>
  <c r="AN73" i="5" s="1"/>
  <c r="AO56" i="5"/>
  <c r="AO37" i="5"/>
  <c r="AO38" i="5"/>
  <c r="AO33" i="5"/>
  <c r="AO36" i="5"/>
  <c r="AO35" i="5"/>
  <c r="AO34" i="5"/>
  <c r="AM74" i="5"/>
  <c r="AL75" i="5"/>
  <c r="AK70" i="5"/>
  <c r="AL63" i="5"/>
  <c r="AL68" i="5" s="1"/>
  <c r="AN41" i="1"/>
  <c r="AP55" i="4"/>
  <c r="AP41" i="4"/>
  <c r="AO41" i="4"/>
  <c r="AO55" i="4"/>
  <c r="AN41" i="4"/>
  <c r="AN55" i="4"/>
  <c r="AL75" i="4"/>
  <c r="AM74" i="4"/>
  <c r="AK70" i="4"/>
  <c r="AL63" i="4"/>
  <c r="AL68" i="4" s="1"/>
  <c r="AP30" i="1"/>
  <c r="AP40" i="1" s="1"/>
  <c r="AP41" i="1" s="1"/>
  <c r="AO30" i="1"/>
  <c r="AO40" i="1" s="1"/>
  <c r="AO41" i="1" s="1"/>
  <c r="AM30" i="2"/>
  <c r="AM40" i="2" s="1"/>
  <c r="AM41" i="2"/>
  <c r="AM55" i="2"/>
  <c r="AM59" i="2" s="1"/>
  <c r="AO31" i="2"/>
  <c r="AO26" i="2"/>
  <c r="AN37" i="2"/>
  <c r="AN38" i="2"/>
  <c r="AN36" i="2"/>
  <c r="AN33" i="2"/>
  <c r="AN56" i="2"/>
  <c r="AN34" i="2"/>
  <c r="AN35" i="2"/>
  <c r="AP26" i="2"/>
  <c r="AP31" i="2"/>
  <c r="AK63" i="2"/>
  <c r="AK68" i="2" s="1"/>
  <c r="AJ70" i="2"/>
  <c r="AK75" i="2"/>
  <c r="AL74" i="2"/>
  <c r="AK70" i="1"/>
  <c r="AL63" i="1"/>
  <c r="AL68" i="1" s="1"/>
  <c r="AL75" i="1"/>
  <c r="AM74" i="1"/>
  <c r="AN60" i="1"/>
  <c r="AN66" i="1"/>
  <c r="AO73" i="1"/>
  <c r="AM66" i="5" l="1"/>
  <c r="AN55" i="5"/>
  <c r="AN59" i="5" s="1"/>
  <c r="AO30" i="5"/>
  <c r="AO40" i="5" s="1"/>
  <c r="AO41" i="5" s="1"/>
  <c r="AQ31" i="5"/>
  <c r="AR31" i="5"/>
  <c r="AN60" i="5"/>
  <c r="AO67" i="5"/>
  <c r="AO73" i="5" s="1"/>
  <c r="AN66" i="5"/>
  <c r="AM75" i="5"/>
  <c r="AN74" i="5"/>
  <c r="AP38" i="5"/>
  <c r="AP56" i="5"/>
  <c r="AP33" i="5"/>
  <c r="AP37" i="5"/>
  <c r="AP36" i="5"/>
  <c r="AP34" i="5"/>
  <c r="AP35" i="5"/>
  <c r="C30" i="5"/>
  <c r="AM63" i="5"/>
  <c r="AM68" i="5" s="1"/>
  <c r="AL70" i="5"/>
  <c r="AO55" i="1"/>
  <c r="AO59" i="1" s="1"/>
  <c r="AP67" i="1" s="1"/>
  <c r="AP73" i="1" s="1"/>
  <c r="AN60" i="4"/>
  <c r="AO73" i="4"/>
  <c r="AN66" i="4"/>
  <c r="AO60" i="4"/>
  <c r="AO66" i="4"/>
  <c r="AL70" i="4"/>
  <c r="AM63" i="4"/>
  <c r="AM68" i="4" s="1"/>
  <c r="AN74" i="4"/>
  <c r="AM75" i="4"/>
  <c r="AP66" i="4"/>
  <c r="AP60" i="4"/>
  <c r="C31" i="4"/>
  <c r="AP55" i="1"/>
  <c r="AP59" i="1" s="1"/>
  <c r="C31" i="1" s="1"/>
  <c r="AN30" i="2"/>
  <c r="AN40" i="2" s="1"/>
  <c r="AN55" i="2" s="1"/>
  <c r="AN59" i="2" s="1"/>
  <c r="AN41" i="2"/>
  <c r="AL75" i="2"/>
  <c r="AM74" i="2"/>
  <c r="AM66" i="2"/>
  <c r="AM60" i="2"/>
  <c r="AN67" i="2"/>
  <c r="AN73" i="2" s="1"/>
  <c r="AP38" i="2"/>
  <c r="AP36" i="2"/>
  <c r="AP34" i="2"/>
  <c r="AP33" i="2"/>
  <c r="AP56" i="2"/>
  <c r="AP35" i="2"/>
  <c r="AP37" i="2"/>
  <c r="C30" i="2"/>
  <c r="AO37" i="2"/>
  <c r="AO33" i="2"/>
  <c r="AO36" i="2"/>
  <c r="AO34" i="2"/>
  <c r="AO35" i="2"/>
  <c r="AO38" i="2"/>
  <c r="AO56" i="2"/>
  <c r="AK70" i="2"/>
  <c r="AL63" i="2"/>
  <c r="AL68" i="2" s="1"/>
  <c r="AL70" i="1"/>
  <c r="AM63" i="1"/>
  <c r="AM68" i="1" s="1"/>
  <c r="AO66" i="1"/>
  <c r="AM75" i="1"/>
  <c r="AN74" i="1"/>
  <c r="AO55" i="5" l="1"/>
  <c r="AO59" i="5" s="1"/>
  <c r="AP67" i="5" s="1"/>
  <c r="AP73" i="5" s="1"/>
  <c r="AP30" i="5"/>
  <c r="AP40" i="5" s="1"/>
  <c r="AP55" i="5" s="1"/>
  <c r="AP59" i="5" s="1"/>
  <c r="AN63" i="5"/>
  <c r="AN68" i="5" s="1"/>
  <c r="AM70" i="5"/>
  <c r="AQ56" i="5"/>
  <c r="AQ38" i="5"/>
  <c r="AQ33" i="5"/>
  <c r="AQ34" i="5"/>
  <c r="AQ36" i="5"/>
  <c r="AQ35" i="5"/>
  <c r="AQ37" i="5"/>
  <c r="AO60" i="5"/>
  <c r="AO66" i="5"/>
  <c r="AR56" i="5"/>
  <c r="AR33" i="5"/>
  <c r="AR34" i="5"/>
  <c r="AR35" i="5"/>
  <c r="AR36" i="5"/>
  <c r="AR38" i="5"/>
  <c r="AR37" i="5"/>
  <c r="AN75" i="5"/>
  <c r="AO74" i="5"/>
  <c r="AP66" i="1"/>
  <c r="AQ67" i="1"/>
  <c r="AQ73" i="1"/>
  <c r="AR73" i="1" s="1"/>
  <c r="AO60" i="1"/>
  <c r="AP60" i="1"/>
  <c r="AP73" i="4"/>
  <c r="AN63" i="4"/>
  <c r="AN68" i="4" s="1"/>
  <c r="AM70" i="4"/>
  <c r="AN75" i="4"/>
  <c r="AO74" i="4"/>
  <c r="AP30" i="2"/>
  <c r="AP40" i="2" s="1"/>
  <c r="AO30" i="2"/>
  <c r="AO40" i="2" s="1"/>
  <c r="AO41" i="2" s="1"/>
  <c r="AP55" i="2"/>
  <c r="AP59" i="2" s="1"/>
  <c r="AP41" i="2"/>
  <c r="AO55" i="2"/>
  <c r="AO59" i="2" s="1"/>
  <c r="AL70" i="2"/>
  <c r="AM63" i="2"/>
  <c r="AM68" i="2" s="1"/>
  <c r="AM75" i="2"/>
  <c r="AN74" i="2"/>
  <c r="AN60" i="2"/>
  <c r="AO67" i="2"/>
  <c r="AO73" i="2" s="1"/>
  <c r="AN66" i="2"/>
  <c r="AN75" i="1"/>
  <c r="AO74" i="1"/>
  <c r="AM70" i="1"/>
  <c r="AN63" i="1"/>
  <c r="AN68" i="1" s="1"/>
  <c r="AP41" i="5" l="1"/>
  <c r="AQ30" i="5"/>
  <c r="AQ40" i="5" s="1"/>
  <c r="AR30" i="5"/>
  <c r="AR40" i="5" s="1"/>
  <c r="AQ55" i="5"/>
  <c r="AQ59" i="5" s="1"/>
  <c r="AQ41" i="5"/>
  <c r="AR55" i="5"/>
  <c r="AR59" i="5" s="1"/>
  <c r="AR41" i="5"/>
  <c r="AO75" i="5"/>
  <c r="AP74" i="5"/>
  <c r="AO63" i="5"/>
  <c r="AO68" i="5" s="1"/>
  <c r="AN70" i="5"/>
  <c r="AP60" i="5"/>
  <c r="AP66" i="5"/>
  <c r="AQ67" i="5"/>
  <c r="AQ73" i="5" s="1"/>
  <c r="C31" i="5"/>
  <c r="AO75" i="4"/>
  <c r="AP74" i="4"/>
  <c r="AP75" i="4" s="1"/>
  <c r="C36" i="4" s="1"/>
  <c r="AN70" i="4"/>
  <c r="AO63" i="4"/>
  <c r="AO68" i="4" s="1"/>
  <c r="AN63" i="2"/>
  <c r="AN68" i="2" s="1"/>
  <c r="AM70" i="2"/>
  <c r="AP67" i="2"/>
  <c r="AP73" i="2" s="1"/>
  <c r="AO60" i="2"/>
  <c r="AO66" i="2"/>
  <c r="AN75" i="2"/>
  <c r="AO74" i="2"/>
  <c r="AP60" i="2"/>
  <c r="AP66" i="2"/>
  <c r="C31" i="2"/>
  <c r="AN70" i="1"/>
  <c r="AO63" i="1"/>
  <c r="AO68" i="1" s="1"/>
  <c r="AO75" i="1"/>
  <c r="AP74" i="1"/>
  <c r="AO70" i="5" l="1"/>
  <c r="AP63" i="5"/>
  <c r="AP68" i="5" s="1"/>
  <c r="AP75" i="5"/>
  <c r="C36" i="5" s="1"/>
  <c r="AQ74" i="5"/>
  <c r="AR74" i="5" s="1"/>
  <c r="AR73" i="5"/>
  <c r="AR66" i="5"/>
  <c r="AR60" i="5"/>
  <c r="AQ66" i="5"/>
  <c r="AQ60" i="5"/>
  <c r="AR67" i="5"/>
  <c r="AP75" i="1"/>
  <c r="AQ74" i="1"/>
  <c r="AR74" i="1" s="1"/>
  <c r="C36" i="1"/>
  <c r="AP63" i="4"/>
  <c r="AP68" i="4" s="1"/>
  <c r="AO70" i="4"/>
  <c r="AO75" i="2"/>
  <c r="AP74" i="2"/>
  <c r="AP75" i="2" s="1"/>
  <c r="AO63" i="2"/>
  <c r="AO68" i="2" s="1"/>
  <c r="AN70" i="2"/>
  <c r="AO70" i="1"/>
  <c r="AP63" i="1"/>
  <c r="AP68" i="1" s="1"/>
  <c r="AQ63" i="1" s="1"/>
  <c r="AQ68" i="1" s="1"/>
  <c r="AP70" i="5" l="1"/>
  <c r="C35" i="5" s="1"/>
  <c r="AQ63" i="5"/>
  <c r="AQ68" i="5" s="1"/>
  <c r="C28" i="5"/>
  <c r="C34" i="5" s="1"/>
  <c r="AQ70" i="1"/>
  <c r="AR63" i="1"/>
  <c r="AR68" i="1" s="1"/>
  <c r="AR70" i="1" s="1"/>
  <c r="C28" i="4"/>
  <c r="C34" i="4" s="1"/>
  <c r="AP70" i="4"/>
  <c r="C35" i="4" s="1"/>
  <c r="C36" i="2"/>
  <c r="AO70" i="2"/>
  <c r="AP63" i="2"/>
  <c r="AP68" i="2" s="1"/>
  <c r="AP70" i="1"/>
  <c r="C35" i="1" s="1"/>
  <c r="C28" i="1"/>
  <c r="C34" i="1" s="1"/>
  <c r="AQ70" i="5" l="1"/>
  <c r="AR63" i="5"/>
  <c r="AR68" i="5" s="1"/>
  <c r="AR70" i="5" s="1"/>
  <c r="AP70" i="2"/>
  <c r="C35" i="2" s="1"/>
  <c r="C28" i="2"/>
  <c r="C3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F41" authorId="0" shapeId="0" xr:uid="{4335C8A3-B09D-724C-AF61-E523112900E7}">
      <text>
        <r>
          <rPr>
            <sz val="10"/>
            <color rgb="FF000000"/>
            <rFont val="Tahoma"/>
            <family val="2"/>
          </rPr>
          <t>переименовала ячейку. рентабельность ниже, это маржинальность</t>
        </r>
      </text>
    </comment>
    <comment ref="F59" authorId="0" shapeId="0" xr:uid="{8A5BCEE0-A5CC-2C4D-ABBA-B3C69C07F2B2}">
      <text>
        <r>
          <rPr>
            <sz val="10"/>
            <color rgb="FF000000"/>
            <rFont val="Tahoma"/>
            <family val="2"/>
          </rPr>
          <t>убрала пустую строку из формулы</t>
        </r>
      </text>
    </comment>
    <comment ref="F67" authorId="0" shapeId="0" xr:uid="{746CDCB8-8E7E-C64D-9429-0C862CC94183}">
      <text>
        <r>
          <rPr>
            <sz val="9"/>
            <color rgb="FF000000"/>
            <rFont val="Helvetica Neue"/>
            <family val="2"/>
            <scheme val="minor"/>
          </rPr>
          <t>поменяла формулу. теперь не выплачиваем инвестору деньги, если не заработали</t>
        </r>
        <r>
          <rPr>
            <sz val="9"/>
            <color rgb="FF000000"/>
            <rFont val="Helvetica Neue"/>
            <family val="2"/>
            <scheme val="minor"/>
          </rPr>
          <t>. раньше вместо этого отбирали у инвестора еще денег</t>
        </r>
      </text>
    </comment>
  </commentList>
</comments>
</file>

<file path=xl/sharedStrings.xml><?xml version="1.0" encoding="utf-8"?>
<sst xmlns="http://schemas.openxmlformats.org/spreadsheetml/2006/main" count="377" uniqueCount="118">
  <si>
    <t>Желтые ячейки заполняем вручную</t>
  </si>
  <si>
    <t>Пешеходный трафик</t>
  </si>
  <si>
    <t>Посещаемость ТЦ</t>
  </si>
  <si>
    <t>Лиды</t>
  </si>
  <si>
    <t>Заказы</t>
  </si>
  <si>
    <t>Доставка</t>
  </si>
  <si>
    <t>Просмотры</t>
  </si>
  <si>
    <t>Рекламный трафик</t>
  </si>
  <si>
    <t>Охваты</t>
  </si>
  <si>
    <t>Заявки</t>
  </si>
  <si>
    <t>Продажи</t>
  </si>
  <si>
    <t>Итого продаж</t>
  </si>
  <si>
    <t xml:space="preserve"> - из них блюда и напитки</t>
  </si>
  <si>
    <t xml:space="preserve"> - из них доставка</t>
  </si>
  <si>
    <t>ПОКАЗАТЕЛИ ПРОЕКТА</t>
  </si>
  <si>
    <t>Ср. чек</t>
  </si>
  <si>
    <t>ВЫРУЧКА</t>
  </si>
  <si>
    <t>Первоначальные вложения</t>
  </si>
  <si>
    <t>Блюда и напитки</t>
  </si>
  <si>
    <t>Остаток денег на конец 3-го года</t>
  </si>
  <si>
    <t>Среднемесячная выручка</t>
  </si>
  <si>
    <t>% от выручки</t>
  </si>
  <si>
    <t>Переменные расходы</t>
  </si>
  <si>
    <t>Среднемесячная прибыль</t>
  </si>
  <si>
    <t>Себестоимость, блюда/напитки</t>
  </si>
  <si>
    <t>Себестоимость, доставка</t>
  </si>
  <si>
    <t>Логистика</t>
  </si>
  <si>
    <t>ROI вложений</t>
  </si>
  <si>
    <t>Порча продуктов</t>
  </si>
  <si>
    <t>Окупаемость, мес.</t>
  </si>
  <si>
    <t>Эксплуатационные расходы</t>
  </si>
  <si>
    <t>Окупаемость инвестора, мес.</t>
  </si>
  <si>
    <t>Маркетинг</t>
  </si>
  <si>
    <t>Эквайринг</t>
  </si>
  <si>
    <t>Непредвиденные расходы</t>
  </si>
  <si>
    <t>ЗАТРАТЫ НА ОТКРЫТИЕ</t>
  </si>
  <si>
    <t>Маржинальная прибыль</t>
  </si>
  <si>
    <t>Рентабельность</t>
  </si>
  <si>
    <t xml:space="preserve">Регистрация юрлица </t>
  </si>
  <si>
    <t>Торговое оборудование </t>
  </si>
  <si>
    <t>Сумма</t>
  </si>
  <si>
    <t>Постоянные расходы</t>
  </si>
  <si>
    <t>Ремонт помещения</t>
  </si>
  <si>
    <t>Аренда</t>
  </si>
  <si>
    <t>Интерьер, дизайн, входная группа</t>
  </si>
  <si>
    <t>Закупки (хозы)</t>
  </si>
  <si>
    <t>ТВ, видеонаблюдение, пр. оборуд-е</t>
  </si>
  <si>
    <t>ФОТ — бухгалтерия</t>
  </si>
  <si>
    <t>Мебель и оборудование кабинета</t>
  </si>
  <si>
    <t>ФОТ — повар</t>
  </si>
  <si>
    <t xml:space="preserve">Складское помещение </t>
  </si>
  <si>
    <t>ФОТ — кассир</t>
  </si>
  <si>
    <t>Первичный маркетинг (блогеры)</t>
  </si>
  <si>
    <t>ФОТ — уборщица</t>
  </si>
  <si>
    <t>Первичный маркетинг (СМИ)</t>
  </si>
  <si>
    <t>Прочее (питание персонала)</t>
  </si>
  <si>
    <t>Продукты (первая закупка)</t>
  </si>
  <si>
    <t>Банковское обслуживание</t>
  </si>
  <si>
    <t>Помещение (депозит ×3)</t>
  </si>
  <si>
    <t>Прочее</t>
  </si>
  <si>
    <t>Подушка (ФОТ, продукты)</t>
  </si>
  <si>
    <t xml:space="preserve">Работа с персоналом </t>
  </si>
  <si>
    <t>Прибыль до налогов</t>
  </si>
  <si>
    <t>Итого</t>
  </si>
  <si>
    <t xml:space="preserve">Налоги </t>
  </si>
  <si>
    <t>Прибыль после налогов</t>
  </si>
  <si>
    <t>Остаток ДС на начало</t>
  </si>
  <si>
    <t>Первоначальные инвестиции</t>
  </si>
  <si>
    <t>Затраты на открытие</t>
  </si>
  <si>
    <t>Операционный результат</t>
  </si>
  <si>
    <t>Выплата инвестору</t>
  </si>
  <si>
    <t>Остаток ДС на конец</t>
  </si>
  <si>
    <t>Окупаемость проекта</t>
  </si>
  <si>
    <t>Инвестиции</t>
  </si>
  <si>
    <t>Выплата накопительно</t>
  </si>
  <si>
    <t>Баланс инвестора</t>
  </si>
  <si>
    <t>Окупаемость инвестора</t>
  </si>
  <si>
    <t>изменения</t>
  </si>
  <si>
    <t>увеличение среднего чека на 10%;</t>
  </si>
  <si>
    <t>увеличение плановой выручки на 10%;</t>
  </si>
  <si>
    <t>снижение себестоимости на 5%;</t>
  </si>
  <si>
    <t>увеличение доли инвестора до возврата тела на 10%;</t>
  </si>
  <si>
    <t>снижение ФОТ всех сотрудников на 10%.</t>
  </si>
  <si>
    <t>вкл/выкл</t>
  </si>
  <si>
    <t>измерения изменений</t>
  </si>
  <si>
    <t>остаток на конец 3 года</t>
  </si>
  <si>
    <t>ср. выручка</t>
  </si>
  <si>
    <t>ср. прибыль</t>
  </si>
  <si>
    <t>изначальные значения</t>
  </si>
  <si>
    <t>Маржинальность</t>
  </si>
  <si>
    <t>первая прибыль</t>
  </si>
  <si>
    <t>коэффициент корреляции Пирсона</t>
  </si>
  <si>
    <t>данные для Пирсона</t>
  </si>
  <si>
    <t>доля инвестора</t>
  </si>
  <si>
    <t>значение</t>
  </si>
  <si>
    <t>что поменялось</t>
  </si>
  <si>
    <t>прямая зависимость</t>
  </si>
  <si>
    <t>это изначальные числа (до потенциальных изменений)</t>
  </si>
  <si>
    <t>*можно потыкать 0 и 1 и посмотреть, что поменяется</t>
  </si>
  <si>
    <t>увеличение плановой вырочки + доли инвестора</t>
  </si>
  <si>
    <t>месяц окупаемости</t>
  </si>
  <si>
    <t>лучший результат из всех предложенных изменений, значительный рост прибыли и более быстрая окупаемость бизнеса.</t>
  </si>
  <si>
    <t>значительное улучшение - окупаемость на 5 месяцев быстрее, +67 тыс. к средней прибыли. недостаток - с ростом среднего чека также растут переменные расходы, которые от него зависят.</t>
  </si>
  <si>
    <t>оптимальный вариант как для бизнеса, так и для инвестора - если увеличить выручку, то бизнес может себе позволить больше возвращать инвестору.</t>
  </si>
  <si>
    <t>на выручку не повлияло, но итоговый результат улучшился. в перспективе станет хуже - за меньшую зарплату сотрудники будут выполнять свою работу хуже.</t>
  </si>
  <si>
    <t>не так сильно повлияло на результат, как средний чек/выручка, но улучшение есть. в какой-то момент снижение себестоимости продуктов повлияет на качество блюд, но рассмотреть стоит.</t>
  </si>
  <si>
    <t>прибыльность не поменялась, а денег стало поменьше. бизнес не может себе позволить отдавать больше денег инвестору при таких данных.</t>
  </si>
  <si>
    <t>1 - средний чек</t>
  </si>
  <si>
    <t>значение среднего чека</t>
  </si>
  <si>
    <t>средняя прибыль</t>
  </si>
  <si>
    <t>2 - плановая выручка</t>
  </si>
  <si>
    <t>средняя плановая выручка</t>
  </si>
  <si>
    <t>3 - себестоимость</t>
  </si>
  <si>
    <t>4 - доля инвестора</t>
  </si>
  <si>
    <t>5 - ФОТ</t>
  </si>
  <si>
    <t>себестоимость ( сумма)</t>
  </si>
  <si>
    <t>не зависят друг от друга. можно также просто увидеть по данным - разница в доле инвестора меняется, а прибыль нет, следовательно доля инвестора на прибыльность бизнеса в целом не влияет.</t>
  </si>
  <si>
    <t>обратная зависимость (потому что это затраты)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</si>
</sst>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??_-;_-@"/>
    <numFmt numFmtId="165" formatCode="0.0%"/>
    <numFmt numFmtId="166" formatCode="_-* #,##0.0\ _R_U_B_-;\-* #,##0.0\ _R_U_B_-;_-* &quot;-&quot;?\ _R_U_B_-;_-@_-"/>
  </numFmts>
  <fonts count="23" x14ac:knownFonts="1">
    <font>
      <sz val="10"/>
      <color rgb="FF000000"/>
      <name val="Helvetica Neue"/>
      <scheme val="minor"/>
    </font>
    <font>
      <sz val="10"/>
      <color rgb="FF000000"/>
      <name val="Century Gothic"/>
      <family val="1"/>
    </font>
    <font>
      <b/>
      <sz val="14"/>
      <color rgb="FF000000"/>
      <name val="Century Gothic"/>
      <family val="1"/>
    </font>
    <font>
      <b/>
      <sz val="10"/>
      <color rgb="FFEF5A26"/>
      <name val="Century Gothic"/>
      <family val="1"/>
    </font>
    <font>
      <b/>
      <sz val="10"/>
      <color theme="1"/>
      <name val="Century Gothic"/>
      <family val="1"/>
    </font>
    <font>
      <b/>
      <sz val="10"/>
      <color rgb="FFDC2121"/>
      <name val="Century Gothic"/>
      <family val="1"/>
    </font>
    <font>
      <sz val="10"/>
      <color theme="0"/>
      <name val="Century Gothic"/>
      <family val="1"/>
    </font>
    <font>
      <sz val="10"/>
      <color theme="1"/>
      <name val="Century Gothic"/>
      <family val="1"/>
    </font>
    <font>
      <b/>
      <sz val="10"/>
      <color rgb="FF000000"/>
      <name val="Century Gothic"/>
      <family val="1"/>
    </font>
    <font>
      <b/>
      <sz val="10"/>
      <color rgb="FF1B4188"/>
      <name val="Century Gothic"/>
      <family val="1"/>
    </font>
    <font>
      <sz val="10"/>
      <color rgb="FF1B4188"/>
      <name val="Century Gothic"/>
      <family val="1"/>
    </font>
    <font>
      <b/>
      <sz val="10"/>
      <color rgb="FF452A23"/>
      <name val="Century Gothic"/>
      <family val="1"/>
    </font>
    <font>
      <sz val="10"/>
      <color rgb="FFA5A5A5"/>
      <name val="Century Gothic"/>
      <family val="1"/>
    </font>
    <font>
      <sz val="10"/>
      <color rgb="FFDC2121"/>
      <name val="Century Gothic"/>
      <family val="1"/>
    </font>
    <font>
      <b/>
      <sz val="10"/>
      <color rgb="FFC00000"/>
      <name val="Century Gothic"/>
      <family val="1"/>
    </font>
    <font>
      <sz val="10"/>
      <color rgb="FFC00000"/>
      <name val="Century Gothic"/>
      <family val="1"/>
    </font>
    <font>
      <b/>
      <i/>
      <sz val="10"/>
      <color rgb="FFEF5A26"/>
      <name val="Century Gothic"/>
      <family val="1"/>
    </font>
    <font>
      <sz val="10"/>
      <color rgb="FFEF5A26"/>
      <name val="Century Gothic"/>
      <family val="1"/>
    </font>
    <font>
      <sz val="10"/>
      <color rgb="FF000000"/>
      <name val="Tahoma"/>
      <family val="2"/>
    </font>
    <font>
      <sz val="10"/>
      <color rgb="FF373A3C"/>
      <name val="Century Gothic"/>
      <family val="1"/>
    </font>
    <font>
      <sz val="9"/>
      <color rgb="FF000000"/>
      <name val="Helvetica Neue"/>
      <family val="2"/>
      <scheme val="minor"/>
    </font>
    <font>
      <b/>
      <sz val="10"/>
      <name val="Century Gothic"/>
      <family val="1"/>
    </font>
    <font>
      <sz val="10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rgb="FFFFD710"/>
        <bgColor rgb="FFFFD710"/>
      </patternFill>
    </fill>
    <fill>
      <patternFill patternType="solid">
        <fgColor rgb="FFD8D8D8"/>
        <bgColor rgb="FFD8D8D8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165" fontId="1" fillId="2" borderId="1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64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164" fontId="1" fillId="2" borderId="1" xfId="0" applyNumberFormat="1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164" fontId="10" fillId="0" borderId="0" xfId="0" applyNumberFormat="1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164" fontId="1" fillId="0" borderId="2" xfId="0" applyNumberFormat="1" applyFont="1" applyBorder="1" applyAlignment="1">
      <alignment vertical="center" wrapText="1"/>
    </xf>
    <xf numFmtId="165" fontId="1" fillId="3" borderId="1" xfId="0" applyNumberFormat="1" applyFont="1" applyFill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164" fontId="10" fillId="0" borderId="2" xfId="0" applyNumberFormat="1" applyFont="1" applyBorder="1" applyAlignment="1">
      <alignment vertical="center" wrapText="1"/>
    </xf>
    <xf numFmtId="0" fontId="12" fillId="0" borderId="0" xfId="0" applyFont="1" applyAlignment="1">
      <alignment vertical="center"/>
    </xf>
    <xf numFmtId="164" fontId="11" fillId="0" borderId="2" xfId="0" applyNumberFormat="1" applyFont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164" fontId="8" fillId="0" borderId="0" xfId="0" applyNumberFormat="1" applyFont="1" applyAlignment="1">
      <alignment vertical="center" wrapText="1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 wrapText="1"/>
    </xf>
    <xf numFmtId="9" fontId="3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9" fontId="5" fillId="0" borderId="0" xfId="0" applyNumberFormat="1" applyFont="1" applyAlignment="1">
      <alignment vertical="center" wrapText="1"/>
    </xf>
    <xf numFmtId="0" fontId="13" fillId="0" borderId="0" xfId="0" applyFont="1" applyAlignment="1">
      <alignment vertical="center" wrapText="1"/>
    </xf>
    <xf numFmtId="9" fontId="1" fillId="0" borderId="0" xfId="0" applyNumberFormat="1" applyFont="1" applyAlignment="1">
      <alignment horizontal="right" vertical="center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164" fontId="15" fillId="0" borderId="0" xfId="0" applyNumberFormat="1" applyFont="1" applyAlignment="1">
      <alignment vertical="center" wrapText="1"/>
    </xf>
    <xf numFmtId="9" fontId="16" fillId="0" borderId="0" xfId="0" applyNumberFormat="1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64" fontId="3" fillId="0" borderId="2" xfId="0" applyNumberFormat="1" applyFont="1" applyBorder="1" applyAlignment="1">
      <alignment vertical="center" wrapText="1"/>
    </xf>
    <xf numFmtId="164" fontId="17" fillId="0" borderId="0" xfId="0" applyNumberFormat="1" applyFont="1" applyAlignment="1">
      <alignment vertical="center" wrapText="1"/>
    </xf>
    <xf numFmtId="164" fontId="17" fillId="2" borderId="1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 wrapText="1"/>
    </xf>
    <xf numFmtId="164" fontId="11" fillId="0" borderId="0" xfId="0" applyNumberFormat="1" applyFont="1" applyAlignment="1">
      <alignment vertical="center" wrapText="1"/>
    </xf>
    <xf numFmtId="0" fontId="19" fillId="0" borderId="0" xfId="0" applyFont="1"/>
    <xf numFmtId="0" fontId="1" fillId="0" borderId="0" xfId="0" applyFont="1"/>
    <xf numFmtId="0" fontId="8" fillId="0" borderId="0" xfId="0" applyFont="1"/>
    <xf numFmtId="164" fontId="1" fillId="0" borderId="0" xfId="0" applyNumberFormat="1" applyFont="1"/>
    <xf numFmtId="164" fontId="8" fillId="0" borderId="0" xfId="0" applyNumberFormat="1" applyFont="1"/>
    <xf numFmtId="0" fontId="8" fillId="0" borderId="3" xfId="0" applyFont="1" applyBorder="1"/>
    <xf numFmtId="0" fontId="8" fillId="0" borderId="5" xfId="0" applyFont="1" applyBorder="1"/>
    <xf numFmtId="0" fontId="8" fillId="0" borderId="4" xfId="0" applyFont="1" applyBorder="1"/>
    <xf numFmtId="0" fontId="19" fillId="0" borderId="4" xfId="0" applyFont="1" applyBorder="1"/>
    <xf numFmtId="0" fontId="8" fillId="0" borderId="6" xfId="0" applyFont="1" applyBorder="1"/>
    <xf numFmtId="0" fontId="8" fillId="0" borderId="1" xfId="0" applyFont="1" applyBorder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horizontal="left" vertical="center"/>
    </xf>
    <xf numFmtId="4" fontId="1" fillId="0" borderId="0" xfId="0" applyNumberFormat="1" applyFont="1" applyAlignment="1">
      <alignment horizontal="left" vertical="center" wrapText="1"/>
    </xf>
    <xf numFmtId="0" fontId="1" fillId="0" borderId="4" xfId="0" applyFont="1" applyBorder="1"/>
    <xf numFmtId="9" fontId="1" fillId="0" borderId="0" xfId="0" applyNumberFormat="1" applyFont="1"/>
    <xf numFmtId="164" fontId="22" fillId="0" borderId="1" xfId="0" applyNumberFormat="1" applyFont="1" applyFill="1" applyBorder="1" applyAlignment="1">
      <alignment vertical="center" wrapText="1"/>
    </xf>
    <xf numFmtId="0" fontId="21" fillId="0" borderId="1" xfId="0" applyFont="1" applyFill="1" applyBorder="1" applyAlignment="1">
      <alignment vertical="center" wrapText="1"/>
    </xf>
    <xf numFmtId="0" fontId="22" fillId="0" borderId="1" xfId="0" applyFont="1" applyFill="1" applyBorder="1" applyAlignment="1">
      <alignment vertical="center" wrapText="1"/>
    </xf>
    <xf numFmtId="0" fontId="22" fillId="0" borderId="1" xfId="0" applyFont="1" applyFill="1" applyBorder="1" applyAlignment="1">
      <alignment vertical="center"/>
    </xf>
    <xf numFmtId="164" fontId="21" fillId="0" borderId="1" xfId="0" applyNumberFormat="1" applyFont="1" applyFill="1" applyBorder="1" applyAlignment="1">
      <alignment vertical="center" wrapText="1"/>
    </xf>
    <xf numFmtId="0" fontId="22" fillId="0" borderId="0" xfId="0" applyFont="1"/>
    <xf numFmtId="164" fontId="12" fillId="0" borderId="0" xfId="0" applyNumberFormat="1" applyFont="1" applyAlignment="1">
      <alignment vertical="center"/>
    </xf>
    <xf numFmtId="0" fontId="1" fillId="0" borderId="3" xfId="0" applyFont="1" applyBorder="1"/>
    <xf numFmtId="4" fontId="1" fillId="0" borderId="7" xfId="0" applyNumberFormat="1" applyFont="1" applyBorder="1" applyAlignment="1">
      <alignment horizontal="left" vertical="center"/>
    </xf>
    <xf numFmtId="166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FF8AD8"/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Прибыль после налогов</c:v>
          </c:tx>
          <c:spPr>
            <a:ln w="28575" cmpd="sng">
              <a:solidFill>
                <a:srgbClr val="EF5A26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'BREAKFAST — финмодель'!$G$5:$AP$5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'BREAKFAST — финмодель'!$G$59:$AP$59</c:f>
              <c:numCache>
                <c:formatCode>_-* #\ ##0_-;\-* #\ ##0_-;_-* "-"??_-;_-@</c:formatCode>
                <c:ptCount val="36"/>
                <c:pt idx="0">
                  <c:v>0</c:v>
                </c:pt>
                <c:pt idx="1">
                  <c:v>-31303.9</c:v>
                </c:pt>
                <c:pt idx="2">
                  <c:v>-8469.8199999999779</c:v>
                </c:pt>
                <c:pt idx="3">
                  <c:v>12491.563999999955</c:v>
                </c:pt>
                <c:pt idx="4">
                  <c:v>34501.017200000002</c:v>
                </c:pt>
                <c:pt idx="5">
                  <c:v>57610.943059999918</c:v>
                </c:pt>
                <c:pt idx="6">
                  <c:v>81876.365213000041</c:v>
                </c:pt>
                <c:pt idx="7">
                  <c:v>107355.05847365005</c:v>
                </c:pt>
                <c:pt idx="8">
                  <c:v>134107.68639733258</c:v>
                </c:pt>
                <c:pt idx="9">
                  <c:v>162197.94571719915</c:v>
                </c:pt>
                <c:pt idx="10">
                  <c:v>191692.7180030593</c:v>
                </c:pt>
                <c:pt idx="11">
                  <c:v>222662.22890321241</c:v>
                </c:pt>
                <c:pt idx="12">
                  <c:v>230010.4871739675</c:v>
                </c:pt>
                <c:pt idx="13">
                  <c:v>237473.97883062714</c:v>
                </c:pt>
                <c:pt idx="14">
                  <c:v>245054.8155110323</c:v>
                </c:pt>
                <c:pt idx="15">
                  <c:v>252755.149776921</c:v>
                </c:pt>
                <c:pt idx="16">
                  <c:v>260577.17592242605</c:v>
                </c:pt>
                <c:pt idx="17">
                  <c:v>268523.13079865638</c:v>
                </c:pt>
                <c:pt idx="18">
                  <c:v>276595.29465468635</c:v>
                </c:pt>
                <c:pt idx="19">
                  <c:v>284795.99199527799</c:v>
                </c:pt>
                <c:pt idx="20">
                  <c:v>293127.59245567257</c:v>
                </c:pt>
                <c:pt idx="21">
                  <c:v>301592.51169378823</c:v>
                </c:pt>
                <c:pt idx="22">
                  <c:v>310193.21230017627</c:v>
                </c:pt>
                <c:pt idx="23">
                  <c:v>316841.46179494594</c:v>
                </c:pt>
                <c:pt idx="24">
                  <c:v>323614.56671485986</c:v>
                </c:pt>
                <c:pt idx="25">
                  <c:v>330515.01605885592</c:v>
                </c:pt>
                <c:pt idx="26">
                  <c:v>337545.34859774169</c:v>
                </c:pt>
                <c:pt idx="27">
                  <c:v>344708.15386962297</c:v>
                </c:pt>
                <c:pt idx="28">
                  <c:v>352006.07319524174</c:v>
                </c:pt>
                <c:pt idx="29">
                  <c:v>359441.80071362108</c:v>
                </c:pt>
                <c:pt idx="30">
                  <c:v>367018.08443842258</c:v>
                </c:pt>
                <c:pt idx="31">
                  <c:v>374737.72733543033</c:v>
                </c:pt>
                <c:pt idx="32">
                  <c:v>382603.5884215869</c:v>
                </c:pt>
                <c:pt idx="33">
                  <c:v>390618.58388600592</c:v>
                </c:pt>
                <c:pt idx="34">
                  <c:v>398785.68823340919</c:v>
                </c:pt>
                <c:pt idx="35">
                  <c:v>407107.93545043003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61-B348-8BF4-D28EAB85C2DE}"/>
            </c:ext>
          </c:extLst>
        </c:ser>
        <c:ser>
          <c:idx val="1"/>
          <c:order val="1"/>
          <c:tx>
            <c:v> Остаток ДС на конец </c:v>
          </c:tx>
          <c:spPr>
            <a:ln w="28575" cmpd="sng">
              <a:solidFill>
                <a:srgbClr val="FFD71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'BREAKFAST — финмодель'!$G$5:$AP$5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'BREAKFAST — финмодель'!$G$68:$AP$68</c:f>
              <c:numCache>
                <c:formatCode>_-* #\ ##0_-;\-* #\ ##0_-;_-* "-"??_-;_-@</c:formatCode>
                <c:ptCount val="36"/>
                <c:pt idx="0">
                  <c:v>509298.30541875027</c:v>
                </c:pt>
                <c:pt idx="1">
                  <c:v>477994.40541875025</c:v>
                </c:pt>
                <c:pt idx="2">
                  <c:v>475785.36541875033</c:v>
                </c:pt>
                <c:pt idx="3">
                  <c:v>489970.89341875026</c:v>
                </c:pt>
                <c:pt idx="4">
                  <c:v>521973.59781875025</c:v>
                </c:pt>
                <c:pt idx="5">
                  <c:v>572684.3374387502</c:v>
                </c:pt>
                <c:pt idx="6">
                  <c:v>643038.51403975033</c:v>
                </c:pt>
                <c:pt idx="7">
                  <c:v>734018.29947080032</c:v>
                </c:pt>
                <c:pt idx="8">
                  <c:v>846654.97417340288</c:v>
                </c:pt>
                <c:pt idx="9">
                  <c:v>982031.38261113549</c:v>
                </c:pt>
                <c:pt idx="10">
                  <c:v>1141284.5114707549</c:v>
                </c:pt>
                <c:pt idx="11">
                  <c:v>1325608.1967733554</c:v>
                </c:pt>
                <c:pt idx="12">
                  <c:v>1511086.2381666803</c:v>
                </c:pt>
                <c:pt idx="13">
                  <c:v>1702558.1195625139</c:v>
                </c:pt>
                <c:pt idx="14">
                  <c:v>1900118.1393074207</c:v>
                </c:pt>
                <c:pt idx="15">
                  <c:v>2103862.3259821353</c:v>
                </c:pt>
                <c:pt idx="16">
                  <c:v>2313888.4719491769</c:v>
                </c:pt>
                <c:pt idx="17">
                  <c:v>2530296.1675633481</c:v>
                </c:pt>
                <c:pt idx="18">
                  <c:v>2753186.8360583032</c:v>
                </c:pt>
                <c:pt idx="19">
                  <c:v>2982663.7691226439</c:v>
                </c:pt>
                <c:pt idx="20">
                  <c:v>3218832.1631792607</c:v>
                </c:pt>
                <c:pt idx="21">
                  <c:v>3461799.1563819144</c:v>
                </c:pt>
                <c:pt idx="22">
                  <c:v>3711673.8663433329</c:v>
                </c:pt>
                <c:pt idx="23">
                  <c:v>3966476.6856782436</c:v>
                </c:pt>
                <c:pt idx="24">
                  <c:v>4226722.9600341143</c:v>
                </c:pt>
                <c:pt idx="25">
                  <c:v>4492515.0627499977</c:v>
                </c:pt>
                <c:pt idx="26">
                  <c:v>4763957.4081359683</c:v>
                </c:pt>
                <c:pt idx="27">
                  <c:v>5041156.4922860432</c:v>
                </c:pt>
                <c:pt idx="28">
                  <c:v>5324220.9347073603</c:v>
                </c:pt>
                <c:pt idx="29">
                  <c:v>5613261.5207819333</c:v>
                </c:pt>
                <c:pt idx="30">
                  <c:v>5908391.2450776314</c:v>
                </c:pt>
                <c:pt idx="31">
                  <c:v>6209725.3555253772</c:v>
                </c:pt>
                <c:pt idx="32">
                  <c:v>6517381.398479878</c:v>
                </c:pt>
                <c:pt idx="33">
                  <c:v>6831479.2646815665</c:v>
                </c:pt>
                <c:pt idx="34">
                  <c:v>7152141.2361377748</c:v>
                </c:pt>
                <c:pt idx="35">
                  <c:v>7479492.0339415232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61-B348-8BF4-D28EAB85C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642475"/>
        <c:axId val="1724530197"/>
      </c:lineChart>
      <c:catAx>
        <c:axId val="124642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RU"/>
          </a:p>
        </c:txPr>
        <c:crossAx val="1724530197"/>
        <c:crosses val="autoZero"/>
        <c:auto val="1"/>
        <c:lblAlgn val="ctr"/>
        <c:lblOffset val="100"/>
        <c:noMultiLvlLbl val="1"/>
      </c:catAx>
      <c:valAx>
        <c:axId val="172453019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RU"/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RU"/>
          </a:p>
        </c:txPr>
        <c:crossAx val="12464247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1"/>
        <c:ser>
          <c:idx val="0"/>
          <c:order val="0"/>
          <c:tx>
            <c:v>Баланс инвестора</c:v>
          </c:tx>
          <c:spPr>
            <a:solidFill>
              <a:srgbClr val="FFD710">
                <a:alpha val="30000"/>
              </a:srgbClr>
            </a:solidFill>
            <a:ln cmpd="sng">
              <a:solidFill>
                <a:srgbClr val="FFD710"/>
              </a:solidFill>
            </a:ln>
          </c:spPr>
          <c:val>
            <c:numRef>
              <c:f>'BREAKFAST — финмодель'!$G$74:$AP$74</c:f>
              <c:numCache>
                <c:formatCode>_-* #\ ##0_-;\-* #\ ##0_-;_-* "-"??_-;_-@</c:formatCode>
                <c:ptCount val="36"/>
                <c:pt idx="0">
                  <c:v>-7000000</c:v>
                </c:pt>
                <c:pt idx="1">
                  <c:v>-7000000</c:v>
                </c:pt>
                <c:pt idx="2">
                  <c:v>-7006260.7800000003</c:v>
                </c:pt>
                <c:pt idx="3">
                  <c:v>-7007954.7439999999</c:v>
                </c:pt>
                <c:pt idx="4">
                  <c:v>-7005456.4311999995</c:v>
                </c:pt>
                <c:pt idx="5">
                  <c:v>-6998556.2277599992</c:v>
                </c:pt>
                <c:pt idx="6">
                  <c:v>-6987034.0391479991</c:v>
                </c:pt>
                <c:pt idx="7">
                  <c:v>-6970658.7661053995</c:v>
                </c:pt>
                <c:pt idx="8">
                  <c:v>-6949187.7544106692</c:v>
                </c:pt>
                <c:pt idx="9">
                  <c:v>-6922366.217131203</c:v>
                </c:pt>
                <c:pt idx="10">
                  <c:v>-6889926.6279877629</c:v>
                </c:pt>
                <c:pt idx="11">
                  <c:v>-6851588.0843871506</c:v>
                </c:pt>
                <c:pt idx="12">
                  <c:v>-6807055.6386065083</c:v>
                </c:pt>
                <c:pt idx="13">
                  <c:v>-6761053.5411717147</c:v>
                </c:pt>
                <c:pt idx="14">
                  <c:v>-6713558.7454055892</c:v>
                </c:pt>
                <c:pt idx="15">
                  <c:v>-6664547.7823033826</c:v>
                </c:pt>
                <c:pt idx="16">
                  <c:v>-6613996.7523479983</c:v>
                </c:pt>
                <c:pt idx="17">
                  <c:v>-6561881.317163513</c:v>
                </c:pt>
                <c:pt idx="18">
                  <c:v>-6508176.6910037817</c:v>
                </c:pt>
                <c:pt idx="19">
                  <c:v>-6452857.6320728445</c:v>
                </c:pt>
                <c:pt idx="20">
                  <c:v>-6395898.4336737888</c:v>
                </c:pt>
                <c:pt idx="21">
                  <c:v>-6337272.9151826538</c:v>
                </c:pt>
                <c:pt idx="22">
                  <c:v>-6276954.4128438961</c:v>
                </c:pt>
                <c:pt idx="23">
                  <c:v>-6214915.7703838609</c:v>
                </c:pt>
                <c:pt idx="24">
                  <c:v>-6151547.478024872</c:v>
                </c:pt>
                <c:pt idx="25">
                  <c:v>-6086824.5646818997</c:v>
                </c:pt>
                <c:pt idx="26">
                  <c:v>-6020721.5614701286</c:v>
                </c:pt>
                <c:pt idx="27">
                  <c:v>-5953212.4917505803</c:v>
                </c:pt>
                <c:pt idx="28">
                  <c:v>-5884270.860976656</c:v>
                </c:pt>
                <c:pt idx="29">
                  <c:v>-5813869.6463376079</c:v>
                </c:pt>
                <c:pt idx="30">
                  <c:v>-5741981.2861948833</c:v>
                </c:pt>
                <c:pt idx="31">
                  <c:v>-5668577.6693071984</c:v>
                </c:pt>
                <c:pt idx="32">
                  <c:v>-5593630.1238401122</c:v>
                </c:pt>
                <c:pt idx="33">
                  <c:v>-5517109.4061557949</c:v>
                </c:pt>
                <c:pt idx="34">
                  <c:v>-5438985.689378594</c:v>
                </c:pt>
                <c:pt idx="35">
                  <c:v>-5359228.5517319124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8-7148-9AC5-6269C2142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3231745"/>
        <c:axId val="1537265536"/>
      </c:areaChart>
      <c:catAx>
        <c:axId val="1993231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RU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RU"/>
          </a:p>
        </c:txPr>
        <c:crossAx val="1537265536"/>
        <c:crosses val="autoZero"/>
        <c:auto val="1"/>
        <c:lblAlgn val="ctr"/>
        <c:lblOffset val="100"/>
        <c:noMultiLvlLbl val="1"/>
      </c:catAx>
      <c:valAx>
        <c:axId val="1537265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RU"/>
              </a:p>
            </c:rich>
          </c:tx>
          <c:overlay val="0"/>
        </c:title>
        <c:numFmt formatCode="_-* #\ ##0_-;\-* #\ ##0_-;_-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RU"/>
          </a:p>
        </c:txPr>
        <c:crossAx val="1993231745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Прибыль после налогов</c:v>
          </c:tx>
          <c:spPr>
            <a:ln w="28575" cmpd="sng">
              <a:solidFill>
                <a:srgbClr val="EF5A26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'исправленная финмодель'!$G$5:$AP$5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'исправленная финмодель'!$G$59:$AP$59</c:f>
              <c:numCache>
                <c:formatCode>_-* #\ ##0_-;\-* #\ ##0_-;_-* "-"??_-;_-@</c:formatCode>
                <c:ptCount val="36"/>
                <c:pt idx="0">
                  <c:v>0</c:v>
                </c:pt>
                <c:pt idx="1">
                  <c:v>-31303.9</c:v>
                </c:pt>
                <c:pt idx="2">
                  <c:v>-8469.8199999999779</c:v>
                </c:pt>
                <c:pt idx="3">
                  <c:v>12491.563999999955</c:v>
                </c:pt>
                <c:pt idx="4">
                  <c:v>34501.017200000002</c:v>
                </c:pt>
                <c:pt idx="5">
                  <c:v>57610.943059999918</c:v>
                </c:pt>
                <c:pt idx="6">
                  <c:v>81876.365213000041</c:v>
                </c:pt>
                <c:pt idx="7">
                  <c:v>107355.05847365005</c:v>
                </c:pt>
                <c:pt idx="8">
                  <c:v>134107.68639733258</c:v>
                </c:pt>
                <c:pt idx="9">
                  <c:v>162197.94571719915</c:v>
                </c:pt>
                <c:pt idx="10">
                  <c:v>191692.7180030593</c:v>
                </c:pt>
                <c:pt idx="11">
                  <c:v>222662.22890321241</c:v>
                </c:pt>
                <c:pt idx="12">
                  <c:v>230010.4871739675</c:v>
                </c:pt>
                <c:pt idx="13">
                  <c:v>237473.97883062714</c:v>
                </c:pt>
                <c:pt idx="14">
                  <c:v>245054.8155110323</c:v>
                </c:pt>
                <c:pt idx="15">
                  <c:v>252755.149776921</c:v>
                </c:pt>
                <c:pt idx="16">
                  <c:v>260577.17592242605</c:v>
                </c:pt>
                <c:pt idx="17">
                  <c:v>268523.13079865638</c:v>
                </c:pt>
                <c:pt idx="18">
                  <c:v>276595.29465468635</c:v>
                </c:pt>
                <c:pt idx="19">
                  <c:v>284795.99199527799</c:v>
                </c:pt>
                <c:pt idx="20">
                  <c:v>293127.59245567257</c:v>
                </c:pt>
                <c:pt idx="21">
                  <c:v>301592.51169378823</c:v>
                </c:pt>
                <c:pt idx="22">
                  <c:v>310193.21230017627</c:v>
                </c:pt>
                <c:pt idx="23">
                  <c:v>316841.46179494594</c:v>
                </c:pt>
                <c:pt idx="24">
                  <c:v>323614.56671485986</c:v>
                </c:pt>
                <c:pt idx="25">
                  <c:v>330515.01605885592</c:v>
                </c:pt>
                <c:pt idx="26">
                  <c:v>337545.34859774169</c:v>
                </c:pt>
                <c:pt idx="27">
                  <c:v>344708.15386962297</c:v>
                </c:pt>
                <c:pt idx="28">
                  <c:v>352006.07319524174</c:v>
                </c:pt>
                <c:pt idx="29">
                  <c:v>359441.80071362108</c:v>
                </c:pt>
                <c:pt idx="30">
                  <c:v>367018.08443842258</c:v>
                </c:pt>
                <c:pt idx="31">
                  <c:v>374737.72733543033</c:v>
                </c:pt>
                <c:pt idx="32">
                  <c:v>382603.5884215869</c:v>
                </c:pt>
                <c:pt idx="33">
                  <c:v>390618.58388600592</c:v>
                </c:pt>
                <c:pt idx="34">
                  <c:v>398785.68823340919</c:v>
                </c:pt>
                <c:pt idx="35">
                  <c:v>407107.93545043003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BD-024A-80C4-C9C81BA938BB}"/>
            </c:ext>
          </c:extLst>
        </c:ser>
        <c:ser>
          <c:idx val="1"/>
          <c:order val="1"/>
          <c:tx>
            <c:v> Остаток ДС на конец </c:v>
          </c:tx>
          <c:spPr>
            <a:ln w="28575" cmpd="sng">
              <a:solidFill>
                <a:srgbClr val="FFD71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'исправленная финмодель'!$G$5:$AP$5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'исправленная финмодель'!$G$68:$AP$68</c:f>
              <c:numCache>
                <c:formatCode>_-* #\ ##0_-;\-* #\ ##0_-;_-* "-"??_-;_-@</c:formatCode>
                <c:ptCount val="36"/>
                <c:pt idx="0">
                  <c:v>509298.30541875027</c:v>
                </c:pt>
                <c:pt idx="1">
                  <c:v>477994.40541875025</c:v>
                </c:pt>
                <c:pt idx="2">
                  <c:v>469524.5854187503</c:v>
                </c:pt>
                <c:pt idx="3">
                  <c:v>482016.14941875025</c:v>
                </c:pt>
                <c:pt idx="4">
                  <c:v>514018.85381875024</c:v>
                </c:pt>
                <c:pt idx="5">
                  <c:v>564729.59343875025</c:v>
                </c:pt>
                <c:pt idx="6">
                  <c:v>635083.77003975038</c:v>
                </c:pt>
                <c:pt idx="7">
                  <c:v>726063.55547080038</c:v>
                </c:pt>
                <c:pt idx="8">
                  <c:v>838700.23017340293</c:v>
                </c:pt>
                <c:pt idx="9">
                  <c:v>974076.63861113554</c:v>
                </c:pt>
                <c:pt idx="10">
                  <c:v>1133329.7674707549</c:v>
                </c:pt>
                <c:pt idx="11">
                  <c:v>1317653.4527733554</c:v>
                </c:pt>
                <c:pt idx="12">
                  <c:v>1503131.4941666804</c:v>
                </c:pt>
                <c:pt idx="13">
                  <c:v>1694603.3755625139</c:v>
                </c:pt>
                <c:pt idx="14">
                  <c:v>1892163.3953074208</c:v>
                </c:pt>
                <c:pt idx="15">
                  <c:v>2095907.5819821355</c:v>
                </c:pt>
                <c:pt idx="16">
                  <c:v>2305933.7279491774</c:v>
                </c:pt>
                <c:pt idx="17">
                  <c:v>2522341.4235633486</c:v>
                </c:pt>
                <c:pt idx="18">
                  <c:v>2745232.0920583038</c:v>
                </c:pt>
                <c:pt idx="19">
                  <c:v>2974709.0251226444</c:v>
                </c:pt>
                <c:pt idx="20">
                  <c:v>3210877.4191792612</c:v>
                </c:pt>
                <c:pt idx="21">
                  <c:v>3453844.4123819149</c:v>
                </c:pt>
                <c:pt idx="22">
                  <c:v>3703719.1223433334</c:v>
                </c:pt>
                <c:pt idx="23">
                  <c:v>3958521.9416782442</c:v>
                </c:pt>
                <c:pt idx="24">
                  <c:v>4218768.2160341153</c:v>
                </c:pt>
                <c:pt idx="25">
                  <c:v>4484560.3187499987</c:v>
                </c:pt>
                <c:pt idx="26">
                  <c:v>4756002.6641359692</c:v>
                </c:pt>
                <c:pt idx="27">
                  <c:v>5033201.7482860442</c:v>
                </c:pt>
                <c:pt idx="28">
                  <c:v>5316266.1907073613</c:v>
                </c:pt>
                <c:pt idx="29">
                  <c:v>5605306.7767819343</c:v>
                </c:pt>
                <c:pt idx="30">
                  <c:v>5900436.5010776324</c:v>
                </c:pt>
                <c:pt idx="31">
                  <c:v>6201770.6115253782</c:v>
                </c:pt>
                <c:pt idx="32">
                  <c:v>6509426.654479879</c:v>
                </c:pt>
                <c:pt idx="33">
                  <c:v>6823524.5206815675</c:v>
                </c:pt>
                <c:pt idx="34">
                  <c:v>7144186.4921377758</c:v>
                </c:pt>
                <c:pt idx="35">
                  <c:v>7471537.2899415242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BD-024A-80C4-C9C81BA93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642475"/>
        <c:axId val="1724530197"/>
      </c:lineChart>
      <c:catAx>
        <c:axId val="124642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RU"/>
          </a:p>
        </c:txPr>
        <c:crossAx val="1724530197"/>
        <c:crosses val="autoZero"/>
        <c:auto val="1"/>
        <c:lblAlgn val="ctr"/>
        <c:lblOffset val="100"/>
        <c:noMultiLvlLbl val="1"/>
      </c:catAx>
      <c:valAx>
        <c:axId val="172453019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RU"/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RU"/>
          </a:p>
        </c:txPr>
        <c:crossAx val="12464247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1"/>
        <c:ser>
          <c:idx val="0"/>
          <c:order val="0"/>
          <c:tx>
            <c:v>Баланс инвестора</c:v>
          </c:tx>
          <c:spPr>
            <a:solidFill>
              <a:srgbClr val="FFD710">
                <a:alpha val="30000"/>
              </a:srgbClr>
            </a:solidFill>
            <a:ln cmpd="sng">
              <a:solidFill>
                <a:srgbClr val="FFD710"/>
              </a:solidFill>
            </a:ln>
          </c:spPr>
          <c:val>
            <c:numRef>
              <c:f>'исправленная финмодель'!$G$74:$AP$74</c:f>
              <c:numCache>
                <c:formatCode>_-* #\ ##0_-;\-* #\ ##0_-;_-* "-"??_-;_-@</c:formatCode>
                <c:ptCount val="36"/>
                <c:pt idx="0">
                  <c:v>-7000000</c:v>
                </c:pt>
                <c:pt idx="1">
                  <c:v>-7000000</c:v>
                </c:pt>
                <c:pt idx="2">
                  <c:v>-7000000</c:v>
                </c:pt>
                <c:pt idx="3">
                  <c:v>-7000000</c:v>
                </c:pt>
                <c:pt idx="4">
                  <c:v>-6997501.6871999996</c:v>
                </c:pt>
                <c:pt idx="5">
                  <c:v>-6990601.4837599993</c:v>
                </c:pt>
                <c:pt idx="6">
                  <c:v>-6979079.2951479992</c:v>
                </c:pt>
                <c:pt idx="7">
                  <c:v>-6962704.0221053995</c:v>
                </c:pt>
                <c:pt idx="8">
                  <c:v>-6941233.0104106693</c:v>
                </c:pt>
                <c:pt idx="9">
                  <c:v>-6914411.4731312031</c:v>
                </c:pt>
                <c:pt idx="10">
                  <c:v>-6881971.883987763</c:v>
                </c:pt>
                <c:pt idx="11">
                  <c:v>-6843633.3403871506</c:v>
                </c:pt>
                <c:pt idx="12">
                  <c:v>-6799100.8946065083</c:v>
                </c:pt>
                <c:pt idx="13">
                  <c:v>-6753098.7971717147</c:v>
                </c:pt>
                <c:pt idx="14">
                  <c:v>-6705604.0014055893</c:v>
                </c:pt>
                <c:pt idx="15">
                  <c:v>-6656593.0383033827</c:v>
                </c:pt>
                <c:pt idx="16">
                  <c:v>-6606042.0083479984</c:v>
                </c:pt>
                <c:pt idx="17">
                  <c:v>-6553926.5731635131</c:v>
                </c:pt>
                <c:pt idx="18">
                  <c:v>-6500221.9470037818</c:v>
                </c:pt>
                <c:pt idx="19">
                  <c:v>-6444902.8880728446</c:v>
                </c:pt>
                <c:pt idx="20">
                  <c:v>-6387943.6896737888</c:v>
                </c:pt>
                <c:pt idx="21">
                  <c:v>-6329318.1711826548</c:v>
                </c:pt>
                <c:pt idx="22">
                  <c:v>-6268999.6688438971</c:v>
                </c:pt>
                <c:pt idx="23">
                  <c:v>-6206961.0263838619</c:v>
                </c:pt>
                <c:pt idx="24">
                  <c:v>-6143592.734024873</c:v>
                </c:pt>
                <c:pt idx="25">
                  <c:v>-6078869.8206819007</c:v>
                </c:pt>
                <c:pt idx="26">
                  <c:v>-6012766.8174701296</c:v>
                </c:pt>
                <c:pt idx="27">
                  <c:v>-5945257.7477505812</c:v>
                </c:pt>
                <c:pt idx="28">
                  <c:v>-5876316.116976657</c:v>
                </c:pt>
                <c:pt idx="29">
                  <c:v>-5805914.9023376089</c:v>
                </c:pt>
                <c:pt idx="30">
                  <c:v>-5734026.5421948843</c:v>
                </c:pt>
                <c:pt idx="31">
                  <c:v>-5660622.9253071994</c:v>
                </c:pt>
                <c:pt idx="32">
                  <c:v>-5585675.3798401132</c:v>
                </c:pt>
                <c:pt idx="33">
                  <c:v>-5509154.6621557958</c:v>
                </c:pt>
                <c:pt idx="34">
                  <c:v>-5431030.945378595</c:v>
                </c:pt>
                <c:pt idx="35">
                  <c:v>-5351273.8077319134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1-5D44-873C-07D24D9A9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3231745"/>
        <c:axId val="1537265536"/>
      </c:areaChart>
      <c:catAx>
        <c:axId val="1993231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RU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RU"/>
          </a:p>
        </c:txPr>
        <c:crossAx val="1537265536"/>
        <c:crosses val="autoZero"/>
        <c:auto val="1"/>
        <c:lblAlgn val="ctr"/>
        <c:lblOffset val="100"/>
        <c:noMultiLvlLbl val="1"/>
      </c:catAx>
      <c:valAx>
        <c:axId val="1537265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RU"/>
              </a:p>
            </c:rich>
          </c:tx>
          <c:overlay val="0"/>
        </c:title>
        <c:numFmt formatCode="_-* #\ ##0_-;\-* #\ ##0_-;_-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RU"/>
          </a:p>
        </c:txPr>
        <c:crossAx val="1993231745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Прибыль после налогов</c:v>
          </c:tx>
          <c:spPr>
            <a:ln w="28575" cmpd="sng">
              <a:solidFill>
                <a:srgbClr val="EF5A26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'возможные изменения'!$G$5:$AP$5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'возможные изменения'!$G$59:$AP$59</c:f>
              <c:numCache>
                <c:formatCode>_-* #\ ##0_-;\-* #\ ##0_-;_-* "-"??_-;_-@</c:formatCode>
                <c:ptCount val="36"/>
                <c:pt idx="0">
                  <c:v>0</c:v>
                </c:pt>
                <c:pt idx="1">
                  <c:v>17192.37950000001</c:v>
                </c:pt>
                <c:pt idx="2">
                  <c:v>42820.066475000014</c:v>
                </c:pt>
                <c:pt idx="3">
                  <c:v>66345.94479874993</c:v>
                </c:pt>
                <c:pt idx="4">
                  <c:v>91048.117038687546</c:v>
                </c:pt>
                <c:pt idx="5">
                  <c:v>116985.39789062183</c:v>
                </c:pt>
                <c:pt idx="6">
                  <c:v>144219.54278515303</c:v>
                </c:pt>
                <c:pt idx="7">
                  <c:v>172815.39492441074</c:v>
                </c:pt>
                <c:pt idx="8">
                  <c:v>202841.03967063141</c:v>
                </c:pt>
                <c:pt idx="9">
                  <c:v>234367.96665416277</c:v>
                </c:pt>
                <c:pt idx="10">
                  <c:v>267471.23998687102</c:v>
                </c:pt>
                <c:pt idx="11">
                  <c:v>302229.67698621476</c:v>
                </c:pt>
                <c:pt idx="12">
                  <c:v>310476.94872978271</c:v>
                </c:pt>
                <c:pt idx="13">
                  <c:v>318853.55194381188</c:v>
                </c:pt>
                <c:pt idx="14">
                  <c:v>327361.85661183525</c:v>
                </c:pt>
                <c:pt idx="15">
                  <c:v>336004.27864806633</c:v>
                </c:pt>
                <c:pt idx="16">
                  <c:v>344783.28080481029</c:v>
                </c:pt>
                <c:pt idx="17">
                  <c:v>353701.37359792955</c:v>
                </c:pt>
                <c:pt idx="18">
                  <c:v>362761.11625072057</c:v>
                </c:pt>
                <c:pt idx="19">
                  <c:v>371965.11765657517</c:v>
                </c:pt>
                <c:pt idx="20">
                  <c:v>381316.03736079624</c:v>
                </c:pt>
                <c:pt idx="21">
                  <c:v>390816.5865619501</c:v>
                </c:pt>
                <c:pt idx="22">
                  <c:v>400469.52913315094</c:v>
                </c:pt>
                <c:pt idx="23">
                  <c:v>407931.15040204645</c:v>
                </c:pt>
                <c:pt idx="24">
                  <c:v>415532.90237700613</c:v>
                </c:pt>
                <c:pt idx="25">
                  <c:v>423277.57857043168</c:v>
                </c:pt>
                <c:pt idx="26">
                  <c:v>431168.02835587185</c:v>
                </c:pt>
                <c:pt idx="27">
                  <c:v>439207.1580852347</c:v>
                </c:pt>
                <c:pt idx="28">
                  <c:v>447397.93222834723</c:v>
                </c:pt>
                <c:pt idx="29">
                  <c:v>455743.37453530327</c:v>
                </c:pt>
                <c:pt idx="30">
                  <c:v>464246.56922206085</c:v>
                </c:pt>
                <c:pt idx="31">
                  <c:v>472910.66217974934</c:v>
                </c:pt>
                <c:pt idx="32">
                  <c:v>481738.8622081654</c:v>
                </c:pt>
                <c:pt idx="33">
                  <c:v>490734.44227393449</c:v>
                </c:pt>
                <c:pt idx="34">
                  <c:v>499900.74079384026</c:v>
                </c:pt>
                <c:pt idx="35">
                  <c:v>509241.16294381861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39-9549-A76F-852D0C7946A8}"/>
            </c:ext>
          </c:extLst>
        </c:ser>
        <c:ser>
          <c:idx val="1"/>
          <c:order val="1"/>
          <c:tx>
            <c:v> Остаток ДС на конец </c:v>
          </c:tx>
          <c:spPr>
            <a:ln w="28575" cmpd="sng">
              <a:solidFill>
                <a:srgbClr val="FFD71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'возможные изменения'!$G$5:$AP$5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'возможные изменения'!$G$68:$AP$68</c:f>
              <c:numCache>
                <c:formatCode>_-* #\ ##0_-;\-* #\ ##0_-;_-* "-"??_-;_-@</c:formatCode>
                <c:ptCount val="36"/>
                <c:pt idx="0">
                  <c:v>509298.30541875027</c:v>
                </c:pt>
                <c:pt idx="1">
                  <c:v>526490.68491875031</c:v>
                </c:pt>
                <c:pt idx="2">
                  <c:v>564153.03754375025</c:v>
                </c:pt>
                <c:pt idx="3">
                  <c:v>617652.96240000019</c:v>
                </c:pt>
                <c:pt idx="4">
                  <c:v>688797.29599906283</c:v>
                </c:pt>
                <c:pt idx="5">
                  <c:v>778468.25877807837</c:v>
                </c:pt>
                <c:pt idx="6">
                  <c:v>887592.18219604483</c:v>
                </c:pt>
                <c:pt idx="7">
                  <c:v>1017141.7142849095</c:v>
                </c:pt>
                <c:pt idx="8">
                  <c:v>1168138.1354782176</c:v>
                </c:pt>
                <c:pt idx="9">
                  <c:v>1341653.7902311911</c:v>
                </c:pt>
                <c:pt idx="10">
                  <c:v>1538814.6402218132</c:v>
                </c:pt>
                <c:pt idx="11">
                  <c:v>1760802.9452119665</c:v>
                </c:pt>
                <c:pt idx="12">
                  <c:v>1980610.9908458849</c:v>
                </c:pt>
                <c:pt idx="13">
                  <c:v>2206321.4581707618</c:v>
                </c:pt>
                <c:pt idx="14">
                  <c:v>2438027.2491994537</c:v>
                </c:pt>
                <c:pt idx="15">
                  <c:v>2675822.9708639695</c:v>
                </c:pt>
                <c:pt idx="16">
                  <c:v>2919804.9680743599</c:v>
                </c:pt>
                <c:pt idx="17">
                  <c:v>3170071.3574308464</c:v>
                </c:pt>
                <c:pt idx="18">
                  <c:v>3426722.0616021883</c:v>
                </c:pt>
                <c:pt idx="19">
                  <c:v>3689858.8443835471</c:v>
                </c:pt>
                <c:pt idx="20">
                  <c:v>3959585.3464473709</c:v>
                </c:pt>
                <c:pt idx="21">
                  <c:v>4236007.121801082</c:v>
                </c:pt>
                <c:pt idx="22">
                  <c:v>4519231.674965648</c:v>
                </c:pt>
                <c:pt idx="23">
                  <c:v>4807021.9666277496</c:v>
                </c:pt>
                <c:pt idx="24">
                  <c:v>5100175.5238841418</c:v>
                </c:pt>
                <c:pt idx="25">
                  <c:v>5398793.2317414721</c:v>
                </c:pt>
                <c:pt idx="26">
                  <c:v>5702977.9865262145</c:v>
                </c:pt>
                <c:pt idx="27">
                  <c:v>6012834.7361046877</c:v>
                </c:pt>
                <c:pt idx="28">
                  <c:v>6328470.5209074644</c:v>
                </c:pt>
                <c:pt idx="29">
                  <c:v>6649994.515774264</c:v>
                </c:pt>
                <c:pt idx="30">
                  <c:v>6977518.0726357345</c:v>
                </c:pt>
                <c:pt idx="31">
                  <c:v>7311154.764048866</c:v>
                </c:pt>
                <c:pt idx="32">
                  <c:v>7651020.427603106</c:v>
                </c:pt>
                <c:pt idx="33">
                  <c:v>7997233.2112145908</c:v>
                </c:pt>
                <c:pt idx="34">
                  <c:v>8349913.6193262516</c:v>
                </c:pt>
                <c:pt idx="35">
                  <c:v>8709184.5600319188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39-9549-A76F-852D0C794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642475"/>
        <c:axId val="1724530197"/>
      </c:lineChart>
      <c:catAx>
        <c:axId val="124642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RU"/>
          </a:p>
        </c:txPr>
        <c:crossAx val="1724530197"/>
        <c:crosses val="autoZero"/>
        <c:auto val="1"/>
        <c:lblAlgn val="ctr"/>
        <c:lblOffset val="100"/>
        <c:noMultiLvlLbl val="1"/>
      </c:catAx>
      <c:valAx>
        <c:axId val="172453019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RU"/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RU"/>
          </a:p>
        </c:txPr>
        <c:crossAx val="12464247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v>Баланс инвестора</c:v>
          </c:tx>
          <c:spPr>
            <a:solidFill>
              <a:srgbClr val="FFD710">
                <a:alpha val="30000"/>
              </a:srgbClr>
            </a:solidFill>
            <a:ln cmpd="sng">
              <a:solidFill>
                <a:srgbClr val="FFD710"/>
              </a:solidFill>
            </a:ln>
          </c:spPr>
          <c:val>
            <c:numRef>
              <c:f>'возможные изменения'!$G$74:$AP$74</c:f>
              <c:numCache>
                <c:formatCode>_-* #\ ##0_-;\-* #\ ##0_-;_-* "-"??_-;_-@</c:formatCode>
                <c:ptCount val="36"/>
                <c:pt idx="0">
                  <c:v>-7000000</c:v>
                </c:pt>
                <c:pt idx="1">
                  <c:v>-7000000</c:v>
                </c:pt>
                <c:pt idx="2">
                  <c:v>-6994842.2861500001</c:v>
                </c:pt>
                <c:pt idx="3">
                  <c:v>-6981996.2662075004</c:v>
                </c:pt>
                <c:pt idx="4">
                  <c:v>-6962092.4827678753</c:v>
                </c:pt>
                <c:pt idx="5">
                  <c:v>-6934778.0476562688</c:v>
                </c:pt>
                <c:pt idx="6">
                  <c:v>-6899682.4282890819</c:v>
                </c:pt>
                <c:pt idx="7">
                  <c:v>-6856416.5654535359</c:v>
                </c:pt>
                <c:pt idx="8">
                  <c:v>-6804571.9469762128</c:v>
                </c:pt>
                <c:pt idx="9">
                  <c:v>-6743719.6350750234</c:v>
                </c:pt>
                <c:pt idx="10">
                  <c:v>-6673409.2450787742</c:v>
                </c:pt>
                <c:pt idx="11">
                  <c:v>-6593167.8730827132</c:v>
                </c:pt>
                <c:pt idx="12">
                  <c:v>-6502498.9699868485</c:v>
                </c:pt>
                <c:pt idx="13">
                  <c:v>-6409355.8853679141</c:v>
                </c:pt>
                <c:pt idx="14">
                  <c:v>-6313699.8197847707</c:v>
                </c:pt>
                <c:pt idx="15">
                  <c:v>-6215491.2628012197</c:v>
                </c:pt>
                <c:pt idx="16">
                  <c:v>-6114689.9792067995</c:v>
                </c:pt>
                <c:pt idx="17">
                  <c:v>-6011254.9949653568</c:v>
                </c:pt>
                <c:pt idx="18">
                  <c:v>-5905144.5828859778</c:v>
                </c:pt>
                <c:pt idx="19">
                  <c:v>-5796316.248010762</c:v>
                </c:pt>
                <c:pt idx="20">
                  <c:v>-5684726.7127137892</c:v>
                </c:pt>
                <c:pt idx="21">
                  <c:v>-5570331.9015055504</c:v>
                </c:pt>
                <c:pt idx="22">
                  <c:v>-5453086.925536965</c:v>
                </c:pt>
                <c:pt idx="23">
                  <c:v>-5332946.0667970199</c:v>
                </c:pt>
                <c:pt idx="24">
                  <c:v>-5210566.7216764055</c:v>
                </c:pt>
                <c:pt idx="25">
                  <c:v>-5085906.8509633038</c:v>
                </c:pt>
                <c:pt idx="26">
                  <c:v>-4958923.5773921739</c:v>
                </c:pt>
                <c:pt idx="27">
                  <c:v>-4829573.1688854126</c:v>
                </c:pt>
                <c:pt idx="28">
                  <c:v>-4697811.0214598421</c:v>
                </c:pt>
                <c:pt idx="29">
                  <c:v>-4563591.6417913381</c:v>
                </c:pt>
                <c:pt idx="30">
                  <c:v>-4426868.6294307467</c:v>
                </c:pt>
                <c:pt idx="31">
                  <c:v>-4287594.6586641287</c:v>
                </c:pt>
                <c:pt idx="32">
                  <c:v>-4145721.460010204</c:v>
                </c:pt>
                <c:pt idx="33">
                  <c:v>-4001199.8013477544</c:v>
                </c:pt>
                <c:pt idx="34">
                  <c:v>-3853979.4686655742</c:v>
                </c:pt>
                <c:pt idx="35">
                  <c:v>-3704009.2464274219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5-8F4C-BC35-2D3CFAC41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3231745"/>
        <c:axId val="1537265536"/>
      </c:areaChart>
      <c:catAx>
        <c:axId val="1993231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RU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RU"/>
          </a:p>
        </c:txPr>
        <c:crossAx val="1537265536"/>
        <c:crosses val="autoZero"/>
        <c:auto val="1"/>
        <c:lblAlgn val="ctr"/>
        <c:lblOffset val="100"/>
        <c:noMultiLvlLbl val="1"/>
      </c:catAx>
      <c:valAx>
        <c:axId val="1537265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RU"/>
              </a:p>
            </c:rich>
          </c:tx>
          <c:overlay val="0"/>
        </c:title>
        <c:numFmt formatCode="_-* #\ ##0_-;\-* #\ ##0_-;_-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RU"/>
          </a:p>
        </c:txPr>
        <c:crossAx val="1993231745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57</xdr:row>
      <xdr:rowOff>28575</xdr:rowOff>
    </xdr:from>
    <xdr:ext cx="3181350" cy="2114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0AFB3-5D2F-0B4A-B6AB-CB206C563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95250</xdr:colOff>
      <xdr:row>71</xdr:row>
      <xdr:rowOff>0</xdr:rowOff>
    </xdr:from>
    <xdr:ext cx="3209925" cy="24288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07FD9A-A82D-FC4D-BBE7-645F7EC3B4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180975</xdr:colOff>
      <xdr:row>1</xdr:row>
      <xdr:rowOff>9525</xdr:rowOff>
    </xdr:from>
    <xdr:ext cx="4038600" cy="3333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9BD700D8-1547-BE41-A827-3A40048A4E0E}"/>
            </a:ext>
          </a:extLst>
        </xdr:cNvPr>
        <xdr:cNvSpPr txBox="1"/>
      </xdr:nvSpPr>
      <xdr:spPr>
        <a:xfrm>
          <a:off x="384175" y="98425"/>
          <a:ext cx="403860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50800" tIns="50800" rIns="50800" bIns="508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DC2121"/>
            </a:buClr>
            <a:buSzPts val="1400"/>
            <a:buFont typeface="Century Gothic"/>
            <a:buNone/>
          </a:pPr>
          <a:r>
            <a:rPr lang="en-US" sz="1400" b="1" i="0" u="none" strike="noStrike" cap="none">
              <a:solidFill>
                <a:srgbClr val="DC2121"/>
              </a:solidFill>
              <a:latin typeface="Century Gothic"/>
              <a:ea typeface="Century Gothic"/>
              <a:cs typeface="Century Gothic"/>
              <a:sym typeface="Century Gothic"/>
            </a:rPr>
            <a:t>ФИНАНСОВАЯ МОДЕЛЬ КАФЕ BREAKFAST</a:t>
          </a:r>
          <a:endParaRPr sz="1400" b="1" i="0" u="none" strike="noStrike" cap="none">
            <a:solidFill>
              <a:srgbClr val="DC212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57</xdr:row>
      <xdr:rowOff>28575</xdr:rowOff>
    </xdr:from>
    <xdr:ext cx="3181350" cy="2114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40D5BA-95ED-2A4B-BC3C-7B5A43AF9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95250</xdr:colOff>
      <xdr:row>71</xdr:row>
      <xdr:rowOff>0</xdr:rowOff>
    </xdr:from>
    <xdr:ext cx="3209925" cy="24288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49812E-E7A8-4845-91D5-AB46E95A0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180975</xdr:colOff>
      <xdr:row>1</xdr:row>
      <xdr:rowOff>9525</xdr:rowOff>
    </xdr:from>
    <xdr:ext cx="4038600" cy="3333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A19DE44-CB33-5D43-8048-E904C360DA9E}"/>
            </a:ext>
          </a:extLst>
        </xdr:cNvPr>
        <xdr:cNvSpPr txBox="1"/>
      </xdr:nvSpPr>
      <xdr:spPr>
        <a:xfrm>
          <a:off x="384175" y="98425"/>
          <a:ext cx="403860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50800" tIns="50800" rIns="50800" bIns="508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DC2121"/>
            </a:buClr>
            <a:buSzPts val="1400"/>
            <a:buFont typeface="Century Gothic"/>
            <a:buNone/>
          </a:pPr>
          <a:r>
            <a:rPr lang="en-US" sz="1400" b="1" i="0" u="none" strike="noStrike" cap="none">
              <a:solidFill>
                <a:srgbClr val="DC2121"/>
              </a:solidFill>
              <a:latin typeface="Century Gothic"/>
              <a:ea typeface="Century Gothic"/>
              <a:cs typeface="Century Gothic"/>
              <a:sym typeface="Century Gothic"/>
            </a:rPr>
            <a:t>ФИНАНСОВАЯ МОДЕЛЬ КАФЕ BREAKFAST</a:t>
          </a:r>
          <a:endParaRPr sz="1400" b="1" i="0" u="none" strike="noStrike" cap="none">
            <a:solidFill>
              <a:srgbClr val="DC212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57</xdr:row>
      <xdr:rowOff>28575</xdr:rowOff>
    </xdr:from>
    <xdr:ext cx="3181350" cy="2114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95250</xdr:colOff>
      <xdr:row>71</xdr:row>
      <xdr:rowOff>0</xdr:rowOff>
    </xdr:from>
    <xdr:ext cx="3209925" cy="24288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180975</xdr:colOff>
      <xdr:row>1</xdr:row>
      <xdr:rowOff>9525</xdr:rowOff>
    </xdr:from>
    <xdr:ext cx="4038600" cy="3333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336109" y="3618642"/>
          <a:ext cx="4019700" cy="318000"/>
        </a:xfrm>
        <a:prstGeom prst="rect">
          <a:avLst/>
        </a:prstGeom>
        <a:noFill/>
        <a:ln>
          <a:noFill/>
        </a:ln>
      </xdr:spPr>
      <xdr:txBody>
        <a:bodyPr spcFirstLastPara="1" wrap="square" lIns="50800" tIns="50800" rIns="50800" bIns="508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DC2121"/>
            </a:buClr>
            <a:buSzPts val="1400"/>
            <a:buFont typeface="Century Gothic"/>
            <a:buNone/>
          </a:pPr>
          <a:r>
            <a:rPr lang="en-US" sz="1400" b="1" i="0" u="none" strike="noStrike" cap="none">
              <a:solidFill>
                <a:srgbClr val="DC2121"/>
              </a:solidFill>
              <a:latin typeface="Century Gothic"/>
              <a:ea typeface="Century Gothic"/>
              <a:cs typeface="Century Gothic"/>
              <a:sym typeface="Century Gothic"/>
            </a:rPr>
            <a:t>ФИНАНСОВАЯ МОДЕЛЬ КАФЕ BREAKFAST</a:t>
          </a:r>
          <a:endParaRPr sz="1400" b="1" i="0" u="none" strike="noStrike" cap="none">
            <a:solidFill>
              <a:srgbClr val="DC212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180975</xdr:colOff>
      <xdr:row>1</xdr:row>
      <xdr:rowOff>9525</xdr:rowOff>
    </xdr:from>
    <xdr:ext cx="4038600" cy="3333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DB55342-F364-924D-BE4A-98277B9C49C7}"/>
            </a:ext>
          </a:extLst>
        </xdr:cNvPr>
        <xdr:cNvSpPr txBox="1"/>
      </xdr:nvSpPr>
      <xdr:spPr>
        <a:xfrm>
          <a:off x="384175" y="98425"/>
          <a:ext cx="403860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50800" tIns="50800" rIns="50800" bIns="508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DC2121"/>
            </a:buClr>
            <a:buSzPts val="1400"/>
            <a:buFont typeface="Century Gothic"/>
            <a:buNone/>
          </a:pPr>
          <a:r>
            <a:rPr lang="en-US" sz="1400" b="1" i="0" u="none" strike="noStrike" cap="none">
              <a:solidFill>
                <a:srgbClr val="DC2121"/>
              </a:solidFill>
              <a:latin typeface="Century Gothic"/>
              <a:ea typeface="Century Gothic"/>
              <a:cs typeface="Century Gothic"/>
              <a:sym typeface="Century Gothic"/>
            </a:rPr>
            <a:t>ФИНАНСОВАЯ МОДЕЛЬ КАФЕ BREAKFAST</a:t>
          </a:r>
          <a:endParaRPr sz="1400" b="1" i="0" u="none" strike="noStrike" cap="none">
            <a:solidFill>
              <a:srgbClr val="DC212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F1E7-64FE-0949-B3A1-1FBE29D390F0}">
  <sheetPr>
    <tabColor theme="6" tint="0.39997558519241921"/>
  </sheetPr>
  <dimension ref="A1:AP1000"/>
  <sheetViews>
    <sheetView showGridLines="0" topLeftCell="A12" workbookViewId="0">
      <selection activeCell="C21" sqref="C21"/>
    </sheetView>
  </sheetViews>
  <sheetFormatPr baseColWidth="10" defaultColWidth="14.5" defaultRowHeight="15.75" customHeight="1" x14ac:dyDescent="0.15"/>
  <cols>
    <col min="1" max="1" width="2.6640625" customWidth="1"/>
    <col min="2" max="2" width="46.83203125" customWidth="1"/>
    <col min="3" max="3" width="13.33203125" customWidth="1"/>
    <col min="4" max="4" width="5.83203125" customWidth="1"/>
    <col min="5" max="5" width="13.1640625" customWidth="1"/>
    <col min="6" max="6" width="32.5" customWidth="1"/>
    <col min="7" max="42" width="10.6640625" customWidth="1"/>
  </cols>
  <sheetData>
    <row r="1" spans="1:42" ht="7.5" customHeight="1" x14ac:dyDescent="0.1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2.75" customHeight="1" x14ac:dyDescent="0.15">
      <c r="A2" s="1"/>
      <c r="B2" s="1"/>
      <c r="C2" s="3"/>
      <c r="D2" s="1"/>
      <c r="E2" s="1"/>
      <c r="F2" s="1"/>
      <c r="G2" s="4"/>
      <c r="H2" s="5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7.5" customHeight="1" x14ac:dyDescent="0.15">
      <c r="A3" s="1"/>
      <c r="B3" s="3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" customHeight="1" x14ac:dyDescent="0.15">
      <c r="A4" s="6"/>
      <c r="B4" s="6"/>
      <c r="C4" s="7"/>
      <c r="D4" s="6"/>
      <c r="E4" s="6"/>
      <c r="F4" s="8"/>
      <c r="G4" s="9">
        <v>1</v>
      </c>
      <c r="H4" s="9">
        <v>2</v>
      </c>
      <c r="I4" s="9">
        <v>3</v>
      </c>
      <c r="J4" s="9">
        <v>4</v>
      </c>
      <c r="K4" s="9">
        <v>5</v>
      </c>
      <c r="L4" s="9">
        <v>6</v>
      </c>
      <c r="M4" s="9">
        <v>7</v>
      </c>
      <c r="N4" s="9">
        <v>8</v>
      </c>
      <c r="O4" s="9">
        <v>9</v>
      </c>
      <c r="P4" s="9">
        <v>10</v>
      </c>
      <c r="Q4" s="9">
        <v>11</v>
      </c>
      <c r="R4" s="9">
        <v>12</v>
      </c>
      <c r="S4" s="9">
        <v>13</v>
      </c>
      <c r="T4" s="9">
        <v>14</v>
      </c>
      <c r="U4" s="9">
        <v>15</v>
      </c>
      <c r="V4" s="9">
        <v>16</v>
      </c>
      <c r="W4" s="9">
        <v>17</v>
      </c>
      <c r="X4" s="9">
        <v>18</v>
      </c>
      <c r="Y4" s="9">
        <v>19</v>
      </c>
      <c r="Z4" s="9">
        <v>20</v>
      </c>
      <c r="AA4" s="9">
        <v>21</v>
      </c>
      <c r="AB4" s="9">
        <v>22</v>
      </c>
      <c r="AC4" s="9">
        <v>23</v>
      </c>
      <c r="AD4" s="9">
        <v>24</v>
      </c>
      <c r="AE4" s="9">
        <v>25</v>
      </c>
      <c r="AF4" s="9">
        <v>26</v>
      </c>
      <c r="AG4" s="9">
        <v>27</v>
      </c>
      <c r="AH4" s="9">
        <v>28</v>
      </c>
      <c r="AI4" s="9">
        <v>29</v>
      </c>
      <c r="AJ4" s="9">
        <v>30</v>
      </c>
      <c r="AK4" s="9">
        <v>31</v>
      </c>
      <c r="AL4" s="9">
        <v>32</v>
      </c>
      <c r="AM4" s="9">
        <v>33</v>
      </c>
      <c r="AN4" s="9">
        <v>34</v>
      </c>
      <c r="AO4" s="9">
        <v>35</v>
      </c>
      <c r="AP4" s="9">
        <v>36</v>
      </c>
    </row>
    <row r="5" spans="1:42" ht="12.75" customHeight="1" x14ac:dyDescent="0.15">
      <c r="A5" s="1"/>
      <c r="B5" s="1"/>
      <c r="C5" s="2"/>
      <c r="D5" s="1"/>
      <c r="E5" s="1"/>
      <c r="F5" s="1"/>
      <c r="G5" s="10">
        <v>1</v>
      </c>
      <c r="H5" s="10">
        <v>2</v>
      </c>
      <c r="I5" s="10">
        <v>3</v>
      </c>
      <c r="J5" s="10">
        <v>4</v>
      </c>
      <c r="K5" s="10">
        <v>5</v>
      </c>
      <c r="L5" s="10">
        <v>6</v>
      </c>
      <c r="M5" s="10">
        <v>7</v>
      </c>
      <c r="N5" s="10">
        <v>8</v>
      </c>
      <c r="O5" s="10">
        <v>9</v>
      </c>
      <c r="P5" s="10">
        <v>10</v>
      </c>
      <c r="Q5" s="10">
        <v>11</v>
      </c>
      <c r="R5" s="10">
        <v>12</v>
      </c>
      <c r="S5" s="10">
        <v>13</v>
      </c>
      <c r="T5" s="10">
        <v>14</v>
      </c>
      <c r="U5" s="10">
        <v>15</v>
      </c>
      <c r="V5" s="10">
        <v>16</v>
      </c>
      <c r="W5" s="10">
        <v>17</v>
      </c>
      <c r="X5" s="10">
        <v>18</v>
      </c>
      <c r="Y5" s="10">
        <v>19</v>
      </c>
      <c r="Z5" s="10">
        <v>20</v>
      </c>
      <c r="AA5" s="10">
        <v>21</v>
      </c>
      <c r="AB5" s="10">
        <v>22</v>
      </c>
      <c r="AC5" s="10">
        <v>23</v>
      </c>
      <c r="AD5" s="10">
        <f t="shared" ref="AD5:AP5" si="0">AD4</f>
        <v>24</v>
      </c>
      <c r="AE5" s="10">
        <f t="shared" si="0"/>
        <v>25</v>
      </c>
      <c r="AF5" s="10">
        <f t="shared" si="0"/>
        <v>26</v>
      </c>
      <c r="AG5" s="10">
        <f t="shared" si="0"/>
        <v>27</v>
      </c>
      <c r="AH5" s="10">
        <f t="shared" si="0"/>
        <v>28</v>
      </c>
      <c r="AI5" s="10">
        <f t="shared" si="0"/>
        <v>29</v>
      </c>
      <c r="AJ5" s="10">
        <f t="shared" si="0"/>
        <v>30</v>
      </c>
      <c r="AK5" s="10">
        <f t="shared" si="0"/>
        <v>31</v>
      </c>
      <c r="AL5" s="10">
        <f t="shared" si="0"/>
        <v>32</v>
      </c>
      <c r="AM5" s="10">
        <f t="shared" si="0"/>
        <v>33</v>
      </c>
      <c r="AN5" s="10">
        <f t="shared" si="0"/>
        <v>34</v>
      </c>
      <c r="AO5" s="10">
        <f t="shared" si="0"/>
        <v>35</v>
      </c>
      <c r="AP5" s="10">
        <f t="shared" si="0"/>
        <v>36</v>
      </c>
    </row>
    <row r="6" spans="1:42" ht="12.75" customHeight="1" x14ac:dyDescent="0.15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12.75" customHeight="1" x14ac:dyDescent="0.15">
      <c r="A7" s="1"/>
      <c r="B7" s="1"/>
      <c r="C7" s="2"/>
      <c r="D7" s="1"/>
      <c r="E7" s="1"/>
      <c r="F7" s="11" t="s">
        <v>1</v>
      </c>
      <c r="G7" s="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</row>
    <row r="8" spans="1:42" ht="12.75" customHeight="1" x14ac:dyDescent="0.15">
      <c r="A8" s="1"/>
      <c r="B8" s="1"/>
      <c r="C8" s="2"/>
      <c r="D8" s="1"/>
      <c r="E8" s="1"/>
      <c r="F8" s="13" t="s">
        <v>2</v>
      </c>
      <c r="G8" s="14"/>
      <c r="H8" s="14">
        <v>10000</v>
      </c>
      <c r="I8" s="14">
        <f>H8*107%</f>
        <v>10700</v>
      </c>
      <c r="J8" s="14">
        <f t="shared" ref="J8:R8" si="1">I8*105%</f>
        <v>11235</v>
      </c>
      <c r="K8" s="14">
        <f t="shared" si="1"/>
        <v>11796.75</v>
      </c>
      <c r="L8" s="14">
        <f t="shared" si="1"/>
        <v>12386.5875</v>
      </c>
      <c r="M8" s="14">
        <f t="shared" si="1"/>
        <v>13005.916875000001</v>
      </c>
      <c r="N8" s="14">
        <f t="shared" si="1"/>
        <v>13656.212718750001</v>
      </c>
      <c r="O8" s="14">
        <f t="shared" si="1"/>
        <v>14339.023354687502</v>
      </c>
      <c r="P8" s="14">
        <f t="shared" si="1"/>
        <v>15055.974522421879</v>
      </c>
      <c r="Q8" s="14">
        <f t="shared" si="1"/>
        <v>15808.773248542973</v>
      </c>
      <c r="R8" s="14">
        <f t="shared" si="1"/>
        <v>16599.211910970123</v>
      </c>
      <c r="S8" s="14">
        <f t="shared" ref="S8:AP8" si="2">R8*102%</f>
        <v>16931.196149189527</v>
      </c>
      <c r="T8" s="14">
        <f t="shared" si="2"/>
        <v>17269.820072173319</v>
      </c>
      <c r="U8" s="14">
        <f t="shared" si="2"/>
        <v>17615.216473616787</v>
      </c>
      <c r="V8" s="14">
        <f t="shared" si="2"/>
        <v>17967.520803089123</v>
      </c>
      <c r="W8" s="14">
        <f t="shared" si="2"/>
        <v>18326.871219150904</v>
      </c>
      <c r="X8" s="14">
        <f t="shared" si="2"/>
        <v>18693.408643533923</v>
      </c>
      <c r="Y8" s="14">
        <f t="shared" si="2"/>
        <v>19067.276816404603</v>
      </c>
      <c r="Z8" s="14">
        <f t="shared" si="2"/>
        <v>19448.622352732695</v>
      </c>
      <c r="AA8" s="14">
        <f t="shared" si="2"/>
        <v>19837.594799787348</v>
      </c>
      <c r="AB8" s="14">
        <f t="shared" si="2"/>
        <v>20234.346695783097</v>
      </c>
      <c r="AC8" s="14">
        <f t="shared" si="2"/>
        <v>20639.033629698759</v>
      </c>
      <c r="AD8" s="14">
        <f t="shared" si="2"/>
        <v>21051.814302292736</v>
      </c>
      <c r="AE8" s="14">
        <f t="shared" si="2"/>
        <v>21472.850588338591</v>
      </c>
      <c r="AF8" s="14">
        <f t="shared" si="2"/>
        <v>21902.307600105363</v>
      </c>
      <c r="AG8" s="14">
        <f t="shared" si="2"/>
        <v>22340.353752107472</v>
      </c>
      <c r="AH8" s="14">
        <f t="shared" si="2"/>
        <v>22787.160827149622</v>
      </c>
      <c r="AI8" s="14">
        <f t="shared" si="2"/>
        <v>23242.904043692615</v>
      </c>
      <c r="AJ8" s="14">
        <f t="shared" si="2"/>
        <v>23707.762124566467</v>
      </c>
      <c r="AK8" s="14">
        <f t="shared" si="2"/>
        <v>24181.917367057795</v>
      </c>
      <c r="AL8" s="14">
        <f t="shared" si="2"/>
        <v>24665.55571439895</v>
      </c>
      <c r="AM8" s="14">
        <f t="shared" si="2"/>
        <v>25158.866828686929</v>
      </c>
      <c r="AN8" s="14">
        <f t="shared" si="2"/>
        <v>25662.044165260668</v>
      </c>
      <c r="AO8" s="14">
        <f t="shared" si="2"/>
        <v>26175.285048565882</v>
      </c>
      <c r="AP8" s="14">
        <f t="shared" si="2"/>
        <v>26698.790749537198</v>
      </c>
    </row>
    <row r="9" spans="1:42" ht="12.75" customHeight="1" x14ac:dyDescent="0.15">
      <c r="A9" s="1"/>
      <c r="B9" s="1"/>
      <c r="C9" s="2"/>
      <c r="D9" s="1"/>
      <c r="E9" s="4">
        <v>0.3</v>
      </c>
      <c r="F9" s="1" t="s">
        <v>3</v>
      </c>
      <c r="G9" s="2"/>
      <c r="H9" s="2">
        <f>H8*$E$9</f>
        <v>3000</v>
      </c>
      <c r="I9" s="2">
        <f>I8*$E$9</f>
        <v>3210</v>
      </c>
      <c r="J9" s="2">
        <f>J8*$E$9</f>
        <v>3370.5</v>
      </c>
      <c r="K9" s="2">
        <f t="shared" ref="K9:AP9" si="3">K8*$E$9</f>
        <v>3539.0250000000001</v>
      </c>
      <c r="L9" s="2">
        <f t="shared" si="3"/>
        <v>3715.9762499999997</v>
      </c>
      <c r="M9" s="2">
        <f t="shared" si="3"/>
        <v>3901.7750624999999</v>
      </c>
      <c r="N9" s="2">
        <f t="shared" si="3"/>
        <v>4096.8638156249999</v>
      </c>
      <c r="O9" s="2">
        <f t="shared" si="3"/>
        <v>4301.7070064062509</v>
      </c>
      <c r="P9" s="2">
        <f t="shared" si="3"/>
        <v>4516.7923567265634</v>
      </c>
      <c r="Q9" s="2">
        <f t="shared" si="3"/>
        <v>4742.6319745628916</v>
      </c>
      <c r="R9" s="2">
        <f t="shared" si="3"/>
        <v>4979.7635732910367</v>
      </c>
      <c r="S9" s="2">
        <f t="shared" si="3"/>
        <v>5079.3588447568582</v>
      </c>
      <c r="T9" s="2">
        <f t="shared" si="3"/>
        <v>5180.9460216519956</v>
      </c>
      <c r="U9" s="2">
        <f t="shared" si="3"/>
        <v>5284.5649420850359</v>
      </c>
      <c r="V9" s="2">
        <f t="shared" si="3"/>
        <v>5390.2562409267366</v>
      </c>
      <c r="W9" s="2">
        <f t="shared" si="3"/>
        <v>5498.0613657452714</v>
      </c>
      <c r="X9" s="2">
        <f t="shared" si="3"/>
        <v>5608.0225930601764</v>
      </c>
      <c r="Y9" s="2">
        <f t="shared" si="3"/>
        <v>5720.1830449213803</v>
      </c>
      <c r="Z9" s="2">
        <f t="shared" si="3"/>
        <v>5834.5867058198082</v>
      </c>
      <c r="AA9" s="2">
        <f t="shared" si="3"/>
        <v>5951.2784399362044</v>
      </c>
      <c r="AB9" s="2">
        <f t="shared" si="3"/>
        <v>6070.3040087349291</v>
      </c>
      <c r="AC9" s="2">
        <f t="shared" si="3"/>
        <v>6191.7100889096273</v>
      </c>
      <c r="AD9" s="2">
        <f t="shared" si="3"/>
        <v>6315.5442906878206</v>
      </c>
      <c r="AE9" s="2">
        <f t="shared" si="3"/>
        <v>6441.8551765015773</v>
      </c>
      <c r="AF9" s="2">
        <f t="shared" si="3"/>
        <v>6570.6922800316088</v>
      </c>
      <c r="AG9" s="2">
        <f t="shared" si="3"/>
        <v>6702.1061256322419</v>
      </c>
      <c r="AH9" s="2">
        <f t="shared" si="3"/>
        <v>6836.1482481448866</v>
      </c>
      <c r="AI9" s="2">
        <f t="shared" si="3"/>
        <v>6972.8712131077846</v>
      </c>
      <c r="AJ9" s="2">
        <f t="shared" si="3"/>
        <v>7112.3286373699402</v>
      </c>
      <c r="AK9" s="2">
        <f t="shared" si="3"/>
        <v>7254.5752101173384</v>
      </c>
      <c r="AL9" s="2">
        <f t="shared" si="3"/>
        <v>7399.6667143196846</v>
      </c>
      <c r="AM9" s="2">
        <f t="shared" si="3"/>
        <v>7547.6600486060779</v>
      </c>
      <c r="AN9" s="2">
        <f t="shared" si="3"/>
        <v>7698.6132495782003</v>
      </c>
      <c r="AO9" s="2">
        <f t="shared" si="3"/>
        <v>7852.5855145697642</v>
      </c>
      <c r="AP9" s="2">
        <f t="shared" si="3"/>
        <v>8009.6372248611588</v>
      </c>
    </row>
    <row r="10" spans="1:42" ht="12.75" customHeight="1" x14ac:dyDescent="0.15">
      <c r="A10" s="15"/>
      <c r="B10" s="15"/>
      <c r="C10" s="15"/>
      <c r="D10" s="15"/>
      <c r="E10" s="4">
        <v>0.1</v>
      </c>
      <c r="F10" s="13" t="s">
        <v>4</v>
      </c>
      <c r="G10" s="2"/>
      <c r="H10" s="2">
        <f t="shared" ref="H10:AP10" si="4">H9*$E$10</f>
        <v>300</v>
      </c>
      <c r="I10" s="2">
        <f t="shared" si="4"/>
        <v>321</v>
      </c>
      <c r="J10" s="2">
        <f t="shared" si="4"/>
        <v>337.05</v>
      </c>
      <c r="K10" s="2">
        <f t="shared" si="4"/>
        <v>353.90250000000003</v>
      </c>
      <c r="L10" s="2">
        <f t="shared" si="4"/>
        <v>371.59762499999999</v>
      </c>
      <c r="M10" s="2">
        <f t="shared" si="4"/>
        <v>390.17750625000002</v>
      </c>
      <c r="N10" s="2">
        <f t="shared" si="4"/>
        <v>409.6863815625</v>
      </c>
      <c r="O10" s="2">
        <f t="shared" si="4"/>
        <v>430.17070064062511</v>
      </c>
      <c r="P10" s="2">
        <f t="shared" si="4"/>
        <v>451.67923567265638</v>
      </c>
      <c r="Q10" s="2">
        <f t="shared" si="4"/>
        <v>474.26319745628916</v>
      </c>
      <c r="R10" s="2">
        <f t="shared" si="4"/>
        <v>497.97635732910368</v>
      </c>
      <c r="S10" s="2">
        <f t="shared" si="4"/>
        <v>507.93588447568584</v>
      </c>
      <c r="T10" s="2">
        <f t="shared" si="4"/>
        <v>518.0946021651996</v>
      </c>
      <c r="U10" s="2">
        <f t="shared" si="4"/>
        <v>528.45649420850361</v>
      </c>
      <c r="V10" s="2">
        <f t="shared" si="4"/>
        <v>539.02562409267364</v>
      </c>
      <c r="W10" s="2">
        <f t="shared" si="4"/>
        <v>549.80613657452716</v>
      </c>
      <c r="X10" s="2">
        <f t="shared" si="4"/>
        <v>560.80225930601762</v>
      </c>
      <c r="Y10" s="2">
        <f t="shared" si="4"/>
        <v>572.0183044921381</v>
      </c>
      <c r="Z10" s="2">
        <f t="shared" si="4"/>
        <v>583.45867058198087</v>
      </c>
      <c r="AA10" s="2">
        <f t="shared" si="4"/>
        <v>595.12784399362044</v>
      </c>
      <c r="AB10" s="2">
        <f t="shared" si="4"/>
        <v>607.03040087349291</v>
      </c>
      <c r="AC10" s="2">
        <f t="shared" si="4"/>
        <v>619.17100889096275</v>
      </c>
      <c r="AD10" s="2">
        <f t="shared" si="4"/>
        <v>631.55442906878216</v>
      </c>
      <c r="AE10" s="2">
        <f t="shared" si="4"/>
        <v>644.18551765015775</v>
      </c>
      <c r="AF10" s="2">
        <f t="shared" si="4"/>
        <v>657.0692280031609</v>
      </c>
      <c r="AG10" s="2">
        <f t="shared" si="4"/>
        <v>670.21061256322423</v>
      </c>
      <c r="AH10" s="2">
        <f t="shared" si="4"/>
        <v>683.61482481448866</v>
      </c>
      <c r="AI10" s="2">
        <f t="shared" si="4"/>
        <v>697.2871213107785</v>
      </c>
      <c r="AJ10" s="2">
        <f t="shared" si="4"/>
        <v>711.23286373699409</v>
      </c>
      <c r="AK10" s="2">
        <f t="shared" si="4"/>
        <v>725.45752101173389</v>
      </c>
      <c r="AL10" s="2">
        <f t="shared" si="4"/>
        <v>739.96667143196851</v>
      </c>
      <c r="AM10" s="2">
        <f t="shared" si="4"/>
        <v>754.76600486060784</v>
      </c>
      <c r="AN10" s="2">
        <f t="shared" si="4"/>
        <v>769.8613249578201</v>
      </c>
      <c r="AO10" s="2">
        <f t="shared" si="4"/>
        <v>785.25855145697642</v>
      </c>
      <c r="AP10" s="2">
        <f t="shared" si="4"/>
        <v>800.9637224861159</v>
      </c>
    </row>
    <row r="11" spans="1:42" ht="12.75" customHeight="1" x14ac:dyDescent="0.15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2.75" customHeight="1" x14ac:dyDescent="0.15">
      <c r="A12" s="1"/>
      <c r="B12" s="16"/>
      <c r="C12" s="17"/>
      <c r="D12" s="1"/>
      <c r="E12" s="1"/>
      <c r="F12" s="11" t="s">
        <v>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2.75" customHeight="1" x14ac:dyDescent="0.15">
      <c r="A13" s="1"/>
      <c r="B13" s="16"/>
      <c r="C13" s="17"/>
      <c r="D13" s="1"/>
      <c r="E13" s="1"/>
      <c r="F13" s="13" t="s">
        <v>6</v>
      </c>
      <c r="G13" s="14"/>
      <c r="H13" s="14">
        <v>1500</v>
      </c>
      <c r="I13" s="14">
        <f t="shared" ref="I13:R13" si="5">H13*105%</f>
        <v>1575</v>
      </c>
      <c r="J13" s="14">
        <f t="shared" si="5"/>
        <v>1653.75</v>
      </c>
      <c r="K13" s="14">
        <f t="shared" si="5"/>
        <v>1736.4375</v>
      </c>
      <c r="L13" s="14">
        <f t="shared" si="5"/>
        <v>1823.2593750000001</v>
      </c>
      <c r="M13" s="14">
        <f t="shared" si="5"/>
        <v>1914.4223437500002</v>
      </c>
      <c r="N13" s="14">
        <f t="shared" si="5"/>
        <v>2010.1434609375003</v>
      </c>
      <c r="O13" s="14">
        <f t="shared" si="5"/>
        <v>2110.6506339843754</v>
      </c>
      <c r="P13" s="14">
        <f t="shared" si="5"/>
        <v>2216.1831656835943</v>
      </c>
      <c r="Q13" s="14">
        <f t="shared" si="5"/>
        <v>2326.9923239677742</v>
      </c>
      <c r="R13" s="14">
        <f t="shared" si="5"/>
        <v>2443.3419401661631</v>
      </c>
      <c r="S13" s="14">
        <f t="shared" ref="S13:AC13" si="6">R13*100.5%</f>
        <v>2455.5586498669936</v>
      </c>
      <c r="T13" s="14">
        <f t="shared" si="6"/>
        <v>2467.8364431163282</v>
      </c>
      <c r="U13" s="14">
        <f t="shared" si="6"/>
        <v>2480.1756253319095</v>
      </c>
      <c r="V13" s="14">
        <f t="shared" si="6"/>
        <v>2492.5765034585688</v>
      </c>
      <c r="W13" s="14">
        <f t="shared" si="6"/>
        <v>2505.0393859758615</v>
      </c>
      <c r="X13" s="14">
        <f t="shared" si="6"/>
        <v>2517.5645829057407</v>
      </c>
      <c r="Y13" s="14">
        <f t="shared" si="6"/>
        <v>2530.152405820269</v>
      </c>
      <c r="Z13" s="14">
        <f t="shared" si="6"/>
        <v>2542.8031678493699</v>
      </c>
      <c r="AA13" s="14">
        <f t="shared" si="6"/>
        <v>2555.5171836886166</v>
      </c>
      <c r="AB13" s="14">
        <f t="shared" si="6"/>
        <v>2568.2947696070596</v>
      </c>
      <c r="AC13" s="14">
        <f t="shared" si="6"/>
        <v>2581.1362434550947</v>
      </c>
      <c r="AD13" s="14">
        <f t="shared" ref="AD13:AP13" si="7">AC13*100.1%</f>
        <v>2583.7173796985494</v>
      </c>
      <c r="AE13" s="14">
        <f t="shared" si="7"/>
        <v>2586.3010970782475</v>
      </c>
      <c r="AF13" s="14">
        <f t="shared" si="7"/>
        <v>2588.8873981753254</v>
      </c>
      <c r="AG13" s="14">
        <f t="shared" si="7"/>
        <v>2591.4762855735003</v>
      </c>
      <c r="AH13" s="14">
        <f t="shared" si="7"/>
        <v>2594.0677618590735</v>
      </c>
      <c r="AI13" s="14">
        <f t="shared" si="7"/>
        <v>2596.6618296209322</v>
      </c>
      <c r="AJ13" s="14">
        <f t="shared" si="7"/>
        <v>2599.2584914505528</v>
      </c>
      <c r="AK13" s="14">
        <f t="shared" si="7"/>
        <v>2601.857749942003</v>
      </c>
      <c r="AL13" s="14">
        <f t="shared" si="7"/>
        <v>2604.4596076919447</v>
      </c>
      <c r="AM13" s="14">
        <f t="shared" si="7"/>
        <v>2607.0640672996365</v>
      </c>
      <c r="AN13" s="14">
        <f t="shared" si="7"/>
        <v>2609.6711313669357</v>
      </c>
      <c r="AO13" s="14">
        <f t="shared" si="7"/>
        <v>2612.2808024983024</v>
      </c>
      <c r="AP13" s="14">
        <f t="shared" si="7"/>
        <v>2614.8930833008003</v>
      </c>
    </row>
    <row r="14" spans="1:42" ht="12.75" customHeight="1" x14ac:dyDescent="0.15">
      <c r="A14" s="1"/>
      <c r="B14" s="16"/>
      <c r="C14" s="17"/>
      <c r="D14" s="1"/>
      <c r="E14" s="4">
        <v>0.9</v>
      </c>
      <c r="F14" s="1" t="s">
        <v>3</v>
      </c>
      <c r="G14" s="2"/>
      <c r="H14" s="2">
        <f t="shared" ref="H14:AP14" si="8">H13*$E$14</f>
        <v>1350</v>
      </c>
      <c r="I14" s="2">
        <f t="shared" si="8"/>
        <v>1417.5</v>
      </c>
      <c r="J14" s="2">
        <f t="shared" si="8"/>
        <v>1488.375</v>
      </c>
      <c r="K14" s="2">
        <f t="shared" si="8"/>
        <v>1562.79375</v>
      </c>
      <c r="L14" s="2">
        <f t="shared" si="8"/>
        <v>1640.9334375000001</v>
      </c>
      <c r="M14" s="2">
        <f t="shared" si="8"/>
        <v>1722.9801093750002</v>
      </c>
      <c r="N14" s="2">
        <f t="shared" si="8"/>
        <v>1809.1291148437504</v>
      </c>
      <c r="O14" s="2">
        <f t="shared" si="8"/>
        <v>1899.5855705859378</v>
      </c>
      <c r="P14" s="2">
        <f t="shared" si="8"/>
        <v>1994.5648491152349</v>
      </c>
      <c r="Q14" s="2">
        <f t="shared" si="8"/>
        <v>2094.2930915709967</v>
      </c>
      <c r="R14" s="2">
        <f t="shared" si="8"/>
        <v>2199.0077461495471</v>
      </c>
      <c r="S14" s="2">
        <f t="shared" si="8"/>
        <v>2210.0027848802943</v>
      </c>
      <c r="T14" s="2">
        <f t="shared" si="8"/>
        <v>2221.0527988046956</v>
      </c>
      <c r="U14" s="2">
        <f t="shared" si="8"/>
        <v>2232.1580627987187</v>
      </c>
      <c r="V14" s="2">
        <f t="shared" si="8"/>
        <v>2243.3188531127121</v>
      </c>
      <c r="W14" s="2">
        <f t="shared" si="8"/>
        <v>2254.5354473782754</v>
      </c>
      <c r="X14" s="2">
        <f t="shared" si="8"/>
        <v>2265.8081246151669</v>
      </c>
      <c r="Y14" s="2">
        <f t="shared" si="8"/>
        <v>2277.1371652382422</v>
      </c>
      <c r="Z14" s="2">
        <f t="shared" si="8"/>
        <v>2288.5228510644329</v>
      </c>
      <c r="AA14" s="2">
        <f t="shared" si="8"/>
        <v>2299.9654653197549</v>
      </c>
      <c r="AB14" s="2">
        <f t="shared" si="8"/>
        <v>2311.4652926463536</v>
      </c>
      <c r="AC14" s="2">
        <f t="shared" si="8"/>
        <v>2323.0226191095853</v>
      </c>
      <c r="AD14" s="2">
        <f t="shared" si="8"/>
        <v>2325.3456417286943</v>
      </c>
      <c r="AE14" s="2">
        <f t="shared" si="8"/>
        <v>2327.6709873704226</v>
      </c>
      <c r="AF14" s="2">
        <f t="shared" si="8"/>
        <v>2329.9986583577929</v>
      </c>
      <c r="AG14" s="2">
        <f t="shared" si="8"/>
        <v>2332.3286570161504</v>
      </c>
      <c r="AH14" s="2">
        <f t="shared" si="8"/>
        <v>2334.6609856731661</v>
      </c>
      <c r="AI14" s="2">
        <f t="shared" si="8"/>
        <v>2336.9956466588392</v>
      </c>
      <c r="AJ14" s="2">
        <f t="shared" si="8"/>
        <v>2339.3326423054978</v>
      </c>
      <c r="AK14" s="2">
        <f t="shared" si="8"/>
        <v>2341.6719749478029</v>
      </c>
      <c r="AL14" s="2">
        <f t="shared" si="8"/>
        <v>2344.0136469227505</v>
      </c>
      <c r="AM14" s="2">
        <f t="shared" si="8"/>
        <v>2346.357660569673</v>
      </c>
      <c r="AN14" s="2">
        <f t="shared" si="8"/>
        <v>2348.7040182302421</v>
      </c>
      <c r="AO14" s="2">
        <f t="shared" si="8"/>
        <v>2351.052722248472</v>
      </c>
      <c r="AP14" s="2">
        <f t="shared" si="8"/>
        <v>2353.4037749707204</v>
      </c>
    </row>
    <row r="15" spans="1:42" ht="12.75" customHeight="1" x14ac:dyDescent="0.15">
      <c r="A15" s="1"/>
      <c r="B15" s="16"/>
      <c r="C15" s="17"/>
      <c r="D15" s="1"/>
      <c r="E15" s="4">
        <v>0.3</v>
      </c>
      <c r="F15" s="13" t="s">
        <v>4</v>
      </c>
      <c r="G15" s="2"/>
      <c r="H15" s="2">
        <f t="shared" ref="H15:AP15" si="9">H14*$E$15</f>
        <v>405</v>
      </c>
      <c r="I15" s="2">
        <f t="shared" si="9"/>
        <v>425.25</v>
      </c>
      <c r="J15" s="2">
        <f t="shared" si="9"/>
        <v>446.51249999999999</v>
      </c>
      <c r="K15" s="2">
        <f t="shared" si="9"/>
        <v>468.83812499999999</v>
      </c>
      <c r="L15" s="2">
        <f t="shared" si="9"/>
        <v>492.28003124999998</v>
      </c>
      <c r="M15" s="2">
        <f t="shared" si="9"/>
        <v>516.89403281250009</v>
      </c>
      <c r="N15" s="2">
        <f t="shared" si="9"/>
        <v>542.73873445312506</v>
      </c>
      <c r="O15" s="2">
        <f t="shared" si="9"/>
        <v>569.87567117578135</v>
      </c>
      <c r="P15" s="2">
        <f t="shared" si="9"/>
        <v>598.36945473457047</v>
      </c>
      <c r="Q15" s="2">
        <f t="shared" si="9"/>
        <v>628.28792747129899</v>
      </c>
      <c r="R15" s="2">
        <f t="shared" si="9"/>
        <v>659.70232384486405</v>
      </c>
      <c r="S15" s="2">
        <f t="shared" si="9"/>
        <v>663.00083546408825</v>
      </c>
      <c r="T15" s="2">
        <f t="shared" si="9"/>
        <v>666.31583964140862</v>
      </c>
      <c r="U15" s="2">
        <f t="shared" si="9"/>
        <v>669.64741883961563</v>
      </c>
      <c r="V15" s="2">
        <f t="shared" si="9"/>
        <v>672.99565593381362</v>
      </c>
      <c r="W15" s="2">
        <f t="shared" si="9"/>
        <v>676.36063421348263</v>
      </c>
      <c r="X15" s="2">
        <f t="shared" si="9"/>
        <v>679.74243738455004</v>
      </c>
      <c r="Y15" s="2">
        <f t="shared" si="9"/>
        <v>683.14114957147262</v>
      </c>
      <c r="Z15" s="2">
        <f t="shared" si="9"/>
        <v>686.55685531932988</v>
      </c>
      <c r="AA15" s="2">
        <f t="shared" si="9"/>
        <v>689.98963959592641</v>
      </c>
      <c r="AB15" s="2">
        <f t="shared" si="9"/>
        <v>693.43958779390607</v>
      </c>
      <c r="AC15" s="2">
        <f t="shared" si="9"/>
        <v>696.90678573287562</v>
      </c>
      <c r="AD15" s="2">
        <f t="shared" si="9"/>
        <v>697.60369251860823</v>
      </c>
      <c r="AE15" s="2">
        <f t="shared" si="9"/>
        <v>698.30129621112678</v>
      </c>
      <c r="AF15" s="2">
        <f t="shared" si="9"/>
        <v>698.99959750733785</v>
      </c>
      <c r="AG15" s="2">
        <f t="shared" si="9"/>
        <v>699.69859710484513</v>
      </c>
      <c r="AH15" s="2">
        <f t="shared" si="9"/>
        <v>700.39829570194979</v>
      </c>
      <c r="AI15" s="2">
        <f t="shared" si="9"/>
        <v>701.09869399765171</v>
      </c>
      <c r="AJ15" s="2">
        <f t="shared" si="9"/>
        <v>701.79979269164926</v>
      </c>
      <c r="AK15" s="2">
        <f t="shared" si="9"/>
        <v>702.5015924843409</v>
      </c>
      <c r="AL15" s="2">
        <f t="shared" si="9"/>
        <v>703.20409407682507</v>
      </c>
      <c r="AM15" s="2">
        <f t="shared" si="9"/>
        <v>703.90729817090187</v>
      </c>
      <c r="AN15" s="2">
        <f t="shared" si="9"/>
        <v>704.61120546907262</v>
      </c>
      <c r="AO15" s="2">
        <f t="shared" si="9"/>
        <v>705.31581667454157</v>
      </c>
      <c r="AP15" s="2">
        <f t="shared" si="9"/>
        <v>706.02113249121612</v>
      </c>
    </row>
    <row r="16" spans="1:42" ht="12.75" customHeight="1" x14ac:dyDescent="0.15">
      <c r="A16" s="1"/>
      <c r="B16" s="16"/>
      <c r="C16" s="1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2.75" customHeight="1" x14ac:dyDescent="0.15">
      <c r="A17" s="1"/>
      <c r="B17" s="16"/>
      <c r="C17" s="17"/>
      <c r="D17" s="1"/>
      <c r="E17" s="1"/>
      <c r="F17" s="11" t="s">
        <v>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2.75" customHeight="1" x14ac:dyDescent="0.15">
      <c r="A18" s="1"/>
      <c r="B18" s="16"/>
      <c r="C18" s="17"/>
      <c r="D18" s="1"/>
      <c r="E18" s="1"/>
      <c r="F18" s="13" t="s">
        <v>8</v>
      </c>
      <c r="G18" s="14"/>
      <c r="H18" s="14">
        <v>3000</v>
      </c>
      <c r="I18" s="14">
        <f t="shared" ref="I18:R18" si="10">H18*105%</f>
        <v>3150</v>
      </c>
      <c r="J18" s="14">
        <f t="shared" si="10"/>
        <v>3307.5</v>
      </c>
      <c r="K18" s="14">
        <f t="shared" si="10"/>
        <v>3472.875</v>
      </c>
      <c r="L18" s="14">
        <f t="shared" si="10"/>
        <v>3646.5187500000002</v>
      </c>
      <c r="M18" s="14">
        <f t="shared" si="10"/>
        <v>3828.8446875000004</v>
      </c>
      <c r="N18" s="14">
        <f t="shared" si="10"/>
        <v>4020.2869218750006</v>
      </c>
      <c r="O18" s="14">
        <f t="shared" si="10"/>
        <v>4221.3012679687508</v>
      </c>
      <c r="P18" s="14">
        <f t="shared" si="10"/>
        <v>4432.3663313671886</v>
      </c>
      <c r="Q18" s="14">
        <f t="shared" si="10"/>
        <v>4653.9846479355483</v>
      </c>
      <c r="R18" s="14">
        <f t="shared" si="10"/>
        <v>4886.6838803323262</v>
      </c>
      <c r="S18" s="14">
        <f t="shared" ref="S18:AC18" si="11">R18*101%</f>
        <v>4935.5507191356492</v>
      </c>
      <c r="T18" s="14">
        <f t="shared" si="11"/>
        <v>4984.9062263270052</v>
      </c>
      <c r="U18" s="14">
        <f t="shared" si="11"/>
        <v>5034.7552885902751</v>
      </c>
      <c r="V18" s="14">
        <f t="shared" si="11"/>
        <v>5085.1028414761777</v>
      </c>
      <c r="W18" s="14">
        <f t="shared" si="11"/>
        <v>5135.9538698909391</v>
      </c>
      <c r="X18" s="14">
        <f t="shared" si="11"/>
        <v>5187.3134085898482</v>
      </c>
      <c r="Y18" s="14">
        <f t="shared" si="11"/>
        <v>5239.1865426757468</v>
      </c>
      <c r="Z18" s="14">
        <f t="shared" si="11"/>
        <v>5291.578408102504</v>
      </c>
      <c r="AA18" s="14">
        <f t="shared" si="11"/>
        <v>5344.4941921835289</v>
      </c>
      <c r="AB18" s="14">
        <f t="shared" si="11"/>
        <v>5397.9391341053642</v>
      </c>
      <c r="AC18" s="14">
        <f t="shared" si="11"/>
        <v>5451.9185254464182</v>
      </c>
      <c r="AD18" s="14">
        <f t="shared" ref="AD18:AP18" si="12">AC18*100.1%</f>
        <v>5457.370443971864</v>
      </c>
      <c r="AE18" s="14">
        <f t="shared" si="12"/>
        <v>5462.8278144158348</v>
      </c>
      <c r="AF18" s="14">
        <f t="shared" si="12"/>
        <v>5468.2906422302503</v>
      </c>
      <c r="AG18" s="14">
        <f t="shared" si="12"/>
        <v>5473.7589328724798</v>
      </c>
      <c r="AH18" s="14">
        <f t="shared" si="12"/>
        <v>5479.2326918053514</v>
      </c>
      <c r="AI18" s="14">
        <f t="shared" si="12"/>
        <v>5484.7119244971564</v>
      </c>
      <c r="AJ18" s="14">
        <f t="shared" si="12"/>
        <v>5490.1966364216532</v>
      </c>
      <c r="AK18" s="14">
        <f t="shared" si="12"/>
        <v>5495.6868330580746</v>
      </c>
      <c r="AL18" s="14">
        <f t="shared" si="12"/>
        <v>5501.182519891132</v>
      </c>
      <c r="AM18" s="14">
        <f t="shared" si="12"/>
        <v>5506.6837024110228</v>
      </c>
      <c r="AN18" s="14">
        <f t="shared" si="12"/>
        <v>5512.1903861134333</v>
      </c>
      <c r="AO18" s="14">
        <f t="shared" si="12"/>
        <v>5517.702576499546</v>
      </c>
      <c r="AP18" s="14">
        <f t="shared" si="12"/>
        <v>5523.2202790760448</v>
      </c>
    </row>
    <row r="19" spans="1:42" ht="12.75" customHeight="1" x14ac:dyDescent="0.15">
      <c r="A19" s="1"/>
      <c r="B19" s="16"/>
      <c r="C19" s="17"/>
      <c r="D19" s="1"/>
      <c r="E19" s="4">
        <v>0.4</v>
      </c>
      <c r="F19" s="1" t="s">
        <v>9</v>
      </c>
      <c r="G19" s="2"/>
      <c r="H19" s="2">
        <f t="shared" ref="H19:AP19" si="13">H18*$E$19</f>
        <v>1200</v>
      </c>
      <c r="I19" s="2">
        <f t="shared" si="13"/>
        <v>1260</v>
      </c>
      <c r="J19" s="2">
        <f t="shared" si="13"/>
        <v>1323</v>
      </c>
      <c r="K19" s="2">
        <f t="shared" si="13"/>
        <v>1389.15</v>
      </c>
      <c r="L19" s="2">
        <f t="shared" si="13"/>
        <v>1458.6075000000001</v>
      </c>
      <c r="M19" s="2">
        <f t="shared" si="13"/>
        <v>1531.5378750000002</v>
      </c>
      <c r="N19" s="2">
        <f t="shared" si="13"/>
        <v>1608.1147687500004</v>
      </c>
      <c r="O19" s="2">
        <f t="shared" si="13"/>
        <v>1688.5205071875005</v>
      </c>
      <c r="P19" s="2">
        <f t="shared" si="13"/>
        <v>1772.9465325468755</v>
      </c>
      <c r="Q19" s="2">
        <f t="shared" si="13"/>
        <v>1861.5938591742195</v>
      </c>
      <c r="R19" s="2">
        <f t="shared" si="13"/>
        <v>1954.6735521329306</v>
      </c>
      <c r="S19" s="2">
        <f t="shared" si="13"/>
        <v>1974.2202876542597</v>
      </c>
      <c r="T19" s="2">
        <f t="shared" si="13"/>
        <v>1993.9624905308021</v>
      </c>
      <c r="U19" s="2">
        <f t="shared" si="13"/>
        <v>2013.9021154361101</v>
      </c>
      <c r="V19" s="2">
        <f t="shared" si="13"/>
        <v>2034.0411365904711</v>
      </c>
      <c r="W19" s="2">
        <f t="shared" si="13"/>
        <v>2054.3815479563759</v>
      </c>
      <c r="X19" s="2">
        <f t="shared" si="13"/>
        <v>2074.9253634359393</v>
      </c>
      <c r="Y19" s="2">
        <f t="shared" si="13"/>
        <v>2095.6746170702986</v>
      </c>
      <c r="Z19" s="2">
        <f t="shared" si="13"/>
        <v>2116.6313632410015</v>
      </c>
      <c r="AA19" s="2">
        <f t="shared" si="13"/>
        <v>2137.7976768734115</v>
      </c>
      <c r="AB19" s="2">
        <f t="shared" si="13"/>
        <v>2159.1756536421458</v>
      </c>
      <c r="AC19" s="2">
        <f t="shared" si="13"/>
        <v>2180.7674101785674</v>
      </c>
      <c r="AD19" s="2">
        <f t="shared" si="13"/>
        <v>2182.9481775887457</v>
      </c>
      <c r="AE19" s="2">
        <f t="shared" si="13"/>
        <v>2185.1311257663342</v>
      </c>
      <c r="AF19" s="2">
        <f t="shared" si="13"/>
        <v>2187.3162568921002</v>
      </c>
      <c r="AG19" s="2">
        <f t="shared" si="13"/>
        <v>2189.503573148992</v>
      </c>
      <c r="AH19" s="2">
        <f t="shared" si="13"/>
        <v>2191.6930767221406</v>
      </c>
      <c r="AI19" s="2">
        <f t="shared" si="13"/>
        <v>2193.8847697988626</v>
      </c>
      <c r="AJ19" s="2">
        <f t="shared" si="13"/>
        <v>2196.0786545686615</v>
      </c>
      <c r="AK19" s="2">
        <f t="shared" si="13"/>
        <v>2198.2747332232298</v>
      </c>
      <c r="AL19" s="2">
        <f t="shared" si="13"/>
        <v>2200.4730079564529</v>
      </c>
      <c r="AM19" s="2">
        <f t="shared" si="13"/>
        <v>2202.673480964409</v>
      </c>
      <c r="AN19" s="2">
        <f t="shared" si="13"/>
        <v>2204.8761544453732</v>
      </c>
      <c r="AO19" s="2">
        <f t="shared" si="13"/>
        <v>2207.0810305998184</v>
      </c>
      <c r="AP19" s="2">
        <f t="shared" si="13"/>
        <v>2209.2881116304179</v>
      </c>
    </row>
    <row r="20" spans="1:42" ht="12.75" customHeight="1" x14ac:dyDescent="0.15">
      <c r="A20" s="1"/>
      <c r="B20" s="16"/>
      <c r="C20" s="17"/>
      <c r="D20" s="1"/>
      <c r="E20" s="4">
        <v>7.0000000000000007E-2</v>
      </c>
      <c r="F20" s="13" t="s">
        <v>10</v>
      </c>
      <c r="G20" s="2"/>
      <c r="H20" s="2">
        <f t="shared" ref="H20:AP20" si="14">H19*$E$20</f>
        <v>84.000000000000014</v>
      </c>
      <c r="I20" s="2">
        <f t="shared" si="14"/>
        <v>88.2</v>
      </c>
      <c r="J20" s="2">
        <f t="shared" si="14"/>
        <v>92.610000000000014</v>
      </c>
      <c r="K20" s="2">
        <f t="shared" si="14"/>
        <v>97.240500000000011</v>
      </c>
      <c r="L20" s="2">
        <f t="shared" si="14"/>
        <v>102.10252500000001</v>
      </c>
      <c r="M20" s="2">
        <f t="shared" si="14"/>
        <v>107.20765125000003</v>
      </c>
      <c r="N20" s="2">
        <f t="shared" si="14"/>
        <v>112.56803381250003</v>
      </c>
      <c r="O20" s="2">
        <f t="shared" si="14"/>
        <v>118.19643550312504</v>
      </c>
      <c r="P20" s="2">
        <f t="shared" si="14"/>
        <v>124.10625727828129</v>
      </c>
      <c r="Q20" s="2">
        <f t="shared" si="14"/>
        <v>130.31157014219536</v>
      </c>
      <c r="R20" s="2">
        <f t="shared" si="14"/>
        <v>136.82714864930514</v>
      </c>
      <c r="S20" s="2">
        <f t="shared" si="14"/>
        <v>138.1954201357982</v>
      </c>
      <c r="T20" s="2">
        <f t="shared" si="14"/>
        <v>139.57737433715616</v>
      </c>
      <c r="U20" s="2">
        <f t="shared" si="14"/>
        <v>140.97314808052772</v>
      </c>
      <c r="V20" s="2">
        <f t="shared" si="14"/>
        <v>142.382879561333</v>
      </c>
      <c r="W20" s="2">
        <f t="shared" si="14"/>
        <v>143.80670835694633</v>
      </c>
      <c r="X20" s="2">
        <f t="shared" si="14"/>
        <v>145.24477544051575</v>
      </c>
      <c r="Y20" s="2">
        <f t="shared" si="14"/>
        <v>146.69722319492092</v>
      </c>
      <c r="Z20" s="2">
        <f t="shared" si="14"/>
        <v>148.16419542687012</v>
      </c>
      <c r="AA20" s="2">
        <f t="shared" si="14"/>
        <v>149.64583738113882</v>
      </c>
      <c r="AB20" s="2">
        <f t="shared" si="14"/>
        <v>151.14229575495023</v>
      </c>
      <c r="AC20" s="2">
        <f t="shared" si="14"/>
        <v>152.65371871249974</v>
      </c>
      <c r="AD20" s="2">
        <f t="shared" si="14"/>
        <v>152.80637243121222</v>
      </c>
      <c r="AE20" s="2">
        <f t="shared" si="14"/>
        <v>152.9591788036434</v>
      </c>
      <c r="AF20" s="2">
        <f t="shared" si="14"/>
        <v>153.11213798244702</v>
      </c>
      <c r="AG20" s="2">
        <f t="shared" si="14"/>
        <v>153.26525012042944</v>
      </c>
      <c r="AH20" s="2">
        <f t="shared" si="14"/>
        <v>153.41851537054987</v>
      </c>
      <c r="AI20" s="2">
        <f t="shared" si="14"/>
        <v>153.5719338859204</v>
      </c>
      <c r="AJ20" s="2">
        <f t="shared" si="14"/>
        <v>153.72550581980633</v>
      </c>
      <c r="AK20" s="2">
        <f t="shared" si="14"/>
        <v>153.87923132562611</v>
      </c>
      <c r="AL20" s="2">
        <f t="shared" si="14"/>
        <v>154.03311055695173</v>
      </c>
      <c r="AM20" s="2">
        <f t="shared" si="14"/>
        <v>154.18714366750865</v>
      </c>
      <c r="AN20" s="2">
        <f t="shared" si="14"/>
        <v>154.34133081117614</v>
      </c>
      <c r="AO20" s="2">
        <f t="shared" si="14"/>
        <v>154.49567214198731</v>
      </c>
      <c r="AP20" s="2">
        <f t="shared" si="14"/>
        <v>154.65016781412928</v>
      </c>
    </row>
    <row r="21" spans="1:42" ht="12.75" customHeight="1" x14ac:dyDescent="0.15">
      <c r="A21" s="1"/>
      <c r="B21" s="16"/>
      <c r="C21" s="17"/>
      <c r="D21" s="1"/>
      <c r="E21" s="13"/>
      <c r="F21" s="1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spans="1:42" ht="12.75" customHeight="1" x14ac:dyDescent="0.15">
      <c r="A22" s="1"/>
      <c r="B22" s="16"/>
      <c r="C22" s="17"/>
      <c r="D22" s="1"/>
      <c r="E22" s="13"/>
      <c r="F22" s="18" t="s">
        <v>11</v>
      </c>
      <c r="G22" s="19">
        <f t="shared" ref="G22:AP22" si="15">G10+G15+G20</f>
        <v>0</v>
      </c>
      <c r="H22" s="19">
        <f t="shared" si="15"/>
        <v>789</v>
      </c>
      <c r="I22" s="19">
        <f t="shared" si="15"/>
        <v>834.45</v>
      </c>
      <c r="J22" s="19">
        <f t="shared" si="15"/>
        <v>876.17250000000001</v>
      </c>
      <c r="K22" s="19">
        <f t="shared" si="15"/>
        <v>919.98112500000002</v>
      </c>
      <c r="L22" s="19">
        <f t="shared" si="15"/>
        <v>965.98018124999999</v>
      </c>
      <c r="M22" s="19">
        <f t="shared" si="15"/>
        <v>1014.2791903125001</v>
      </c>
      <c r="N22" s="19">
        <f t="shared" si="15"/>
        <v>1064.9931498281251</v>
      </c>
      <c r="O22" s="19">
        <f t="shared" si="15"/>
        <v>1118.2428073195315</v>
      </c>
      <c r="P22" s="19">
        <f t="shared" si="15"/>
        <v>1174.154947685508</v>
      </c>
      <c r="Q22" s="19">
        <f t="shared" si="15"/>
        <v>1232.8626950697835</v>
      </c>
      <c r="R22" s="19">
        <f t="shared" si="15"/>
        <v>1294.505829823273</v>
      </c>
      <c r="S22" s="19">
        <f t="shared" si="15"/>
        <v>1309.1321400755724</v>
      </c>
      <c r="T22" s="19">
        <f t="shared" si="15"/>
        <v>1323.9878161437643</v>
      </c>
      <c r="U22" s="19">
        <f t="shared" si="15"/>
        <v>1339.0770611286471</v>
      </c>
      <c r="V22" s="19">
        <f t="shared" si="15"/>
        <v>1354.4041595878202</v>
      </c>
      <c r="W22" s="19">
        <f t="shared" si="15"/>
        <v>1369.9734791449559</v>
      </c>
      <c r="X22" s="19">
        <f t="shared" si="15"/>
        <v>1385.7894721310834</v>
      </c>
      <c r="Y22" s="19">
        <f t="shared" si="15"/>
        <v>1401.8566772585316</v>
      </c>
      <c r="Z22" s="19">
        <f t="shared" si="15"/>
        <v>1418.1797213281809</v>
      </c>
      <c r="AA22" s="19">
        <f t="shared" si="15"/>
        <v>1434.7633209706855</v>
      </c>
      <c r="AB22" s="19">
        <f t="shared" si="15"/>
        <v>1451.6122844223491</v>
      </c>
      <c r="AC22" s="19">
        <f t="shared" si="15"/>
        <v>1468.7315133363381</v>
      </c>
      <c r="AD22" s="19">
        <f t="shared" si="15"/>
        <v>1481.9644940186024</v>
      </c>
      <c r="AE22" s="19">
        <f t="shared" si="15"/>
        <v>1495.4459926649281</v>
      </c>
      <c r="AF22" s="19">
        <f t="shared" si="15"/>
        <v>1509.1809634929457</v>
      </c>
      <c r="AG22" s="19">
        <f t="shared" si="15"/>
        <v>1523.1744597884988</v>
      </c>
      <c r="AH22" s="19">
        <f t="shared" si="15"/>
        <v>1537.4316358869883</v>
      </c>
      <c r="AI22" s="19">
        <f t="shared" si="15"/>
        <v>1551.9577491943505</v>
      </c>
      <c r="AJ22" s="19">
        <f t="shared" si="15"/>
        <v>1566.7581622484497</v>
      </c>
      <c r="AK22" s="19">
        <f t="shared" si="15"/>
        <v>1581.8383448217007</v>
      </c>
      <c r="AL22" s="19">
        <f t="shared" si="15"/>
        <v>1597.2038760657451</v>
      </c>
      <c r="AM22" s="19">
        <f t="shared" si="15"/>
        <v>1612.8604466990184</v>
      </c>
      <c r="AN22" s="19">
        <f t="shared" si="15"/>
        <v>1628.813861238069</v>
      </c>
      <c r="AO22" s="19">
        <f t="shared" si="15"/>
        <v>1645.0700402735054</v>
      </c>
      <c r="AP22" s="19">
        <f t="shared" si="15"/>
        <v>1661.6350227914611</v>
      </c>
    </row>
    <row r="23" spans="1:42" ht="12.75" customHeight="1" x14ac:dyDescent="0.15">
      <c r="A23" s="1"/>
      <c r="B23" s="16"/>
      <c r="C23" s="17"/>
      <c r="D23" s="1"/>
      <c r="E23" s="4">
        <v>0.75</v>
      </c>
      <c r="F23" s="1" t="s">
        <v>12</v>
      </c>
      <c r="G23" s="2">
        <f t="shared" ref="G23:AP23" si="16">G22*$E23</f>
        <v>0</v>
      </c>
      <c r="H23" s="2">
        <f t="shared" si="16"/>
        <v>591.75</v>
      </c>
      <c r="I23" s="2">
        <f t="shared" si="16"/>
        <v>625.83750000000009</v>
      </c>
      <c r="J23" s="2">
        <f t="shared" si="16"/>
        <v>657.12937499999998</v>
      </c>
      <c r="K23" s="2">
        <f t="shared" si="16"/>
        <v>689.98584374999996</v>
      </c>
      <c r="L23" s="2">
        <f t="shared" si="16"/>
        <v>724.48513593749999</v>
      </c>
      <c r="M23" s="2">
        <f t="shared" si="16"/>
        <v>760.70939273437511</v>
      </c>
      <c r="N23" s="2">
        <f t="shared" si="16"/>
        <v>798.74486237109386</v>
      </c>
      <c r="O23" s="2">
        <f t="shared" si="16"/>
        <v>838.68210548964862</v>
      </c>
      <c r="P23" s="2">
        <f t="shared" si="16"/>
        <v>880.61621076413098</v>
      </c>
      <c r="Q23" s="2">
        <f t="shared" si="16"/>
        <v>924.64702130233763</v>
      </c>
      <c r="R23" s="2">
        <f t="shared" si="16"/>
        <v>970.87937236745472</v>
      </c>
      <c r="S23" s="2">
        <f t="shared" si="16"/>
        <v>981.84910505667926</v>
      </c>
      <c r="T23" s="2">
        <f t="shared" si="16"/>
        <v>992.9908621078232</v>
      </c>
      <c r="U23" s="2">
        <f t="shared" si="16"/>
        <v>1004.3077958464853</v>
      </c>
      <c r="V23" s="2">
        <f t="shared" si="16"/>
        <v>1015.8031196908652</v>
      </c>
      <c r="W23" s="2">
        <f t="shared" si="16"/>
        <v>1027.4801093587171</v>
      </c>
      <c r="X23" s="2">
        <f t="shared" si="16"/>
        <v>1039.3421040983126</v>
      </c>
      <c r="Y23" s="2">
        <f t="shared" si="16"/>
        <v>1051.3925079438986</v>
      </c>
      <c r="Z23" s="2">
        <f t="shared" si="16"/>
        <v>1063.6347909961357</v>
      </c>
      <c r="AA23" s="2">
        <f t="shared" si="16"/>
        <v>1076.0724907280141</v>
      </c>
      <c r="AB23" s="2">
        <f t="shared" si="16"/>
        <v>1088.7092133167619</v>
      </c>
      <c r="AC23" s="2">
        <f t="shared" si="16"/>
        <v>1101.5486350022536</v>
      </c>
      <c r="AD23" s="2">
        <f t="shared" si="16"/>
        <v>1111.4733705139517</v>
      </c>
      <c r="AE23" s="2">
        <f t="shared" si="16"/>
        <v>1121.5844944986961</v>
      </c>
      <c r="AF23" s="2">
        <f t="shared" si="16"/>
        <v>1131.8857226197092</v>
      </c>
      <c r="AG23" s="2">
        <f t="shared" si="16"/>
        <v>1142.380844841374</v>
      </c>
      <c r="AH23" s="2">
        <f t="shared" si="16"/>
        <v>1153.0737269152412</v>
      </c>
      <c r="AI23" s="2">
        <f t="shared" si="16"/>
        <v>1163.9683118957628</v>
      </c>
      <c r="AJ23" s="2">
        <f t="shared" si="16"/>
        <v>1175.0686216863373</v>
      </c>
      <c r="AK23" s="2">
        <f t="shared" si="16"/>
        <v>1186.3787586162755</v>
      </c>
      <c r="AL23" s="2">
        <f t="shared" si="16"/>
        <v>1197.9029070493089</v>
      </c>
      <c r="AM23" s="2">
        <f t="shared" si="16"/>
        <v>1209.6453350242639</v>
      </c>
      <c r="AN23" s="2">
        <f t="shared" si="16"/>
        <v>1221.6103959285517</v>
      </c>
      <c r="AO23" s="2">
        <f t="shared" si="16"/>
        <v>1233.802530205129</v>
      </c>
      <c r="AP23" s="2">
        <f t="shared" si="16"/>
        <v>1246.2262670935959</v>
      </c>
    </row>
    <row r="24" spans="1:42" ht="12.75" customHeight="1" x14ac:dyDescent="0.15">
      <c r="A24" s="1"/>
      <c r="B24" s="16"/>
      <c r="C24" s="17"/>
      <c r="D24" s="1"/>
      <c r="E24" s="20">
        <f>100%-E23</f>
        <v>0.25</v>
      </c>
      <c r="F24" s="1" t="s">
        <v>13</v>
      </c>
      <c r="G24" s="2">
        <f t="shared" ref="G24:AP24" si="17">G22*$E24</f>
        <v>0</v>
      </c>
      <c r="H24" s="2">
        <f t="shared" si="17"/>
        <v>197.25</v>
      </c>
      <c r="I24" s="2">
        <f t="shared" si="17"/>
        <v>208.61250000000001</v>
      </c>
      <c r="J24" s="2">
        <f t="shared" si="17"/>
        <v>219.043125</v>
      </c>
      <c r="K24" s="2">
        <f t="shared" si="17"/>
        <v>229.99528125000001</v>
      </c>
      <c r="L24" s="2">
        <f t="shared" si="17"/>
        <v>241.4950453125</v>
      </c>
      <c r="M24" s="2">
        <f t="shared" si="17"/>
        <v>253.56979757812502</v>
      </c>
      <c r="N24" s="2">
        <f t="shared" si="17"/>
        <v>266.24828745703127</v>
      </c>
      <c r="O24" s="2">
        <f t="shared" si="17"/>
        <v>279.56070182988287</v>
      </c>
      <c r="P24" s="2">
        <f t="shared" si="17"/>
        <v>293.53873692137699</v>
      </c>
      <c r="Q24" s="2">
        <f t="shared" si="17"/>
        <v>308.21567376744588</v>
      </c>
      <c r="R24" s="2">
        <f t="shared" si="17"/>
        <v>323.62645745581824</v>
      </c>
      <c r="S24" s="2">
        <f t="shared" si="17"/>
        <v>327.28303501889309</v>
      </c>
      <c r="T24" s="2">
        <f t="shared" si="17"/>
        <v>330.99695403594109</v>
      </c>
      <c r="U24" s="2">
        <f t="shared" si="17"/>
        <v>334.76926528216177</v>
      </c>
      <c r="V24" s="2">
        <f t="shared" si="17"/>
        <v>338.60103989695506</v>
      </c>
      <c r="W24" s="2">
        <f t="shared" si="17"/>
        <v>342.49336978623899</v>
      </c>
      <c r="X24" s="2">
        <f t="shared" si="17"/>
        <v>346.44736803277084</v>
      </c>
      <c r="Y24" s="2">
        <f t="shared" si="17"/>
        <v>350.4641693146329</v>
      </c>
      <c r="Z24" s="2">
        <f t="shared" si="17"/>
        <v>354.54493033204523</v>
      </c>
      <c r="AA24" s="2">
        <f t="shared" si="17"/>
        <v>358.69083024267138</v>
      </c>
      <c r="AB24" s="2">
        <f t="shared" si="17"/>
        <v>362.90307110558729</v>
      </c>
      <c r="AC24" s="2">
        <f t="shared" si="17"/>
        <v>367.18287833408453</v>
      </c>
      <c r="AD24" s="2">
        <f t="shared" si="17"/>
        <v>370.4911235046506</v>
      </c>
      <c r="AE24" s="2">
        <f t="shared" si="17"/>
        <v>373.86149816623202</v>
      </c>
      <c r="AF24" s="2">
        <f t="shared" si="17"/>
        <v>377.29524087323642</v>
      </c>
      <c r="AG24" s="2">
        <f t="shared" si="17"/>
        <v>380.79361494712469</v>
      </c>
      <c r="AH24" s="2">
        <f t="shared" si="17"/>
        <v>384.35790897174707</v>
      </c>
      <c r="AI24" s="2">
        <f t="shared" si="17"/>
        <v>387.98943729858763</v>
      </c>
      <c r="AJ24" s="2">
        <f t="shared" si="17"/>
        <v>391.68954056211243</v>
      </c>
      <c r="AK24" s="2">
        <f t="shared" si="17"/>
        <v>395.45958620542518</v>
      </c>
      <c r="AL24" s="2">
        <f t="shared" si="17"/>
        <v>399.30096901643628</v>
      </c>
      <c r="AM24" s="2">
        <f t="shared" si="17"/>
        <v>403.21511167475461</v>
      </c>
      <c r="AN24" s="2">
        <f t="shared" si="17"/>
        <v>407.20346530951724</v>
      </c>
      <c r="AO24" s="2">
        <f t="shared" si="17"/>
        <v>411.26751006837634</v>
      </c>
      <c r="AP24" s="2">
        <f t="shared" si="17"/>
        <v>415.40875569786527</v>
      </c>
    </row>
    <row r="25" spans="1:42" ht="12.75" customHeight="1" x14ac:dyDescent="0.1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2.75" customHeight="1" x14ac:dyDescent="0.15">
      <c r="A26" s="1"/>
      <c r="B26" s="21" t="s">
        <v>14</v>
      </c>
      <c r="C26" s="22"/>
      <c r="D26" s="1"/>
      <c r="E26" s="23" t="s">
        <v>15</v>
      </c>
      <c r="F26" s="24" t="s">
        <v>16</v>
      </c>
      <c r="G26" s="24">
        <f t="shared" ref="G26:AP26" si="18">G27+G28</f>
        <v>0</v>
      </c>
      <c r="H26" s="24">
        <f t="shared" si="18"/>
        <v>619365</v>
      </c>
      <c r="I26" s="24">
        <f t="shared" si="18"/>
        <v>655043.25</v>
      </c>
      <c r="J26" s="24">
        <f t="shared" si="18"/>
        <v>687795.41249999998</v>
      </c>
      <c r="K26" s="24">
        <f t="shared" si="18"/>
        <v>722185.18312499998</v>
      </c>
      <c r="L26" s="24">
        <f t="shared" si="18"/>
        <v>758294.44228124991</v>
      </c>
      <c r="M26" s="24">
        <f t="shared" si="18"/>
        <v>796209.16439531255</v>
      </c>
      <c r="N26" s="24">
        <f t="shared" si="18"/>
        <v>836019.62261507823</v>
      </c>
      <c r="O26" s="24">
        <f t="shared" si="18"/>
        <v>877820.60374583222</v>
      </c>
      <c r="P26" s="24">
        <f t="shared" si="18"/>
        <v>921711.63393312367</v>
      </c>
      <c r="Q26" s="24">
        <f t="shared" si="18"/>
        <v>967797.21562978008</v>
      </c>
      <c r="R26" s="24">
        <f t="shared" si="18"/>
        <v>1016187.0764112693</v>
      </c>
      <c r="S26" s="24">
        <f t="shared" si="18"/>
        <v>1027668.7299593242</v>
      </c>
      <c r="T26" s="24">
        <f t="shared" si="18"/>
        <v>1039330.435672855</v>
      </c>
      <c r="U26" s="24">
        <f t="shared" si="18"/>
        <v>1051175.492985988</v>
      </c>
      <c r="V26" s="24">
        <f t="shared" si="18"/>
        <v>1063207.265276439</v>
      </c>
      <c r="W26" s="24">
        <f t="shared" si="18"/>
        <v>1075429.1811287906</v>
      </c>
      <c r="X26" s="24">
        <f t="shared" si="18"/>
        <v>1087844.7356229005</v>
      </c>
      <c r="Y26" s="24">
        <f t="shared" si="18"/>
        <v>1100457.4916479473</v>
      </c>
      <c r="Z26" s="24">
        <f t="shared" si="18"/>
        <v>1113271.0812426219</v>
      </c>
      <c r="AA26" s="24">
        <f t="shared" si="18"/>
        <v>1126289.2069619882</v>
      </c>
      <c r="AB26" s="24">
        <f t="shared" si="18"/>
        <v>1139515.643271544</v>
      </c>
      <c r="AC26" s="24">
        <f t="shared" si="18"/>
        <v>1152954.2379690255</v>
      </c>
      <c r="AD26" s="24">
        <f t="shared" si="18"/>
        <v>1163342.127804603</v>
      </c>
      <c r="AE26" s="24">
        <f t="shared" si="18"/>
        <v>1173925.1042419686</v>
      </c>
      <c r="AF26" s="24">
        <f t="shared" si="18"/>
        <v>1184707.0563419624</v>
      </c>
      <c r="AG26" s="24">
        <f t="shared" si="18"/>
        <v>1195691.9509339714</v>
      </c>
      <c r="AH26" s="24">
        <f t="shared" si="18"/>
        <v>1206883.8341712859</v>
      </c>
      <c r="AI26" s="24">
        <f t="shared" si="18"/>
        <v>1218286.8331175651</v>
      </c>
      <c r="AJ26" s="24">
        <f t="shared" si="18"/>
        <v>1229905.1573650329</v>
      </c>
      <c r="AK26" s="24">
        <f t="shared" si="18"/>
        <v>1241743.1006850351</v>
      </c>
      <c r="AL26" s="24">
        <f t="shared" si="18"/>
        <v>1253805.04271161</v>
      </c>
      <c r="AM26" s="24">
        <f t="shared" si="18"/>
        <v>1266095.4506587295</v>
      </c>
      <c r="AN26" s="24">
        <f t="shared" si="18"/>
        <v>1278618.8810718842</v>
      </c>
      <c r="AO26" s="24">
        <f t="shared" si="18"/>
        <v>1291379.9816147017</v>
      </c>
      <c r="AP26" s="24">
        <f t="shared" si="18"/>
        <v>1304383.492891297</v>
      </c>
    </row>
    <row r="27" spans="1:42" ht="12.75" customHeight="1" x14ac:dyDescent="0.15">
      <c r="A27" s="1"/>
      <c r="B27" s="1" t="s">
        <v>17</v>
      </c>
      <c r="C27" s="2">
        <f>G64</f>
        <v>7000000</v>
      </c>
      <c r="D27" s="1"/>
      <c r="E27" s="14">
        <v>730</v>
      </c>
      <c r="F27" s="25" t="s">
        <v>18</v>
      </c>
      <c r="G27" s="2">
        <f t="shared" ref="G27:AP27" si="19">$E$27*G23</f>
        <v>0</v>
      </c>
      <c r="H27" s="2">
        <f t="shared" si="19"/>
        <v>431977.5</v>
      </c>
      <c r="I27" s="2">
        <f t="shared" si="19"/>
        <v>456861.37500000006</v>
      </c>
      <c r="J27" s="2">
        <f t="shared" si="19"/>
        <v>479704.44374999998</v>
      </c>
      <c r="K27" s="2">
        <f t="shared" si="19"/>
        <v>503689.66593749996</v>
      </c>
      <c r="L27" s="2">
        <f t="shared" si="19"/>
        <v>528874.14923437499</v>
      </c>
      <c r="M27" s="2">
        <f t="shared" si="19"/>
        <v>555317.8566960938</v>
      </c>
      <c r="N27" s="2">
        <f t="shared" si="19"/>
        <v>583083.74953089852</v>
      </c>
      <c r="O27" s="2">
        <f t="shared" si="19"/>
        <v>612237.93700744351</v>
      </c>
      <c r="P27" s="2">
        <f t="shared" si="19"/>
        <v>642849.8338578156</v>
      </c>
      <c r="Q27" s="2">
        <f t="shared" si="19"/>
        <v>674992.32555070648</v>
      </c>
      <c r="R27" s="2">
        <f t="shared" si="19"/>
        <v>708741.94182824192</v>
      </c>
      <c r="S27" s="2">
        <f t="shared" si="19"/>
        <v>716749.84669137583</v>
      </c>
      <c r="T27" s="2">
        <f t="shared" si="19"/>
        <v>724883.32933871099</v>
      </c>
      <c r="U27" s="2">
        <f t="shared" si="19"/>
        <v>733144.69096793432</v>
      </c>
      <c r="V27" s="2">
        <f t="shared" si="19"/>
        <v>741536.27737433161</v>
      </c>
      <c r="W27" s="2">
        <f t="shared" si="19"/>
        <v>750060.47983186343</v>
      </c>
      <c r="X27" s="2">
        <f t="shared" si="19"/>
        <v>758719.73599176819</v>
      </c>
      <c r="Y27" s="2">
        <f t="shared" si="19"/>
        <v>767516.53079904604</v>
      </c>
      <c r="Z27" s="2">
        <f t="shared" si="19"/>
        <v>776453.39742717904</v>
      </c>
      <c r="AA27" s="2">
        <f t="shared" si="19"/>
        <v>785532.91823145037</v>
      </c>
      <c r="AB27" s="2">
        <f t="shared" si="19"/>
        <v>794757.7257212362</v>
      </c>
      <c r="AC27" s="2">
        <f t="shared" si="19"/>
        <v>804130.50355164509</v>
      </c>
      <c r="AD27" s="2">
        <f t="shared" si="19"/>
        <v>811375.56047518482</v>
      </c>
      <c r="AE27" s="2">
        <f t="shared" si="19"/>
        <v>818756.68098404817</v>
      </c>
      <c r="AF27" s="2">
        <f t="shared" si="19"/>
        <v>826276.57751238777</v>
      </c>
      <c r="AG27" s="2">
        <f t="shared" si="19"/>
        <v>833938.01673420309</v>
      </c>
      <c r="AH27" s="2">
        <f t="shared" si="19"/>
        <v>841743.82064812607</v>
      </c>
      <c r="AI27" s="2">
        <f t="shared" si="19"/>
        <v>849696.86768390681</v>
      </c>
      <c r="AJ27" s="2">
        <f t="shared" si="19"/>
        <v>857800.09383102623</v>
      </c>
      <c r="AK27" s="2">
        <f t="shared" si="19"/>
        <v>866056.49378988112</v>
      </c>
      <c r="AL27" s="2">
        <f t="shared" si="19"/>
        <v>874469.1221459955</v>
      </c>
      <c r="AM27" s="2">
        <f t="shared" si="19"/>
        <v>883041.09456771263</v>
      </c>
      <c r="AN27" s="2">
        <f t="shared" si="19"/>
        <v>891775.58902784274</v>
      </c>
      <c r="AO27" s="2">
        <f t="shared" si="19"/>
        <v>900675.8470497441</v>
      </c>
      <c r="AP27" s="2">
        <f t="shared" si="19"/>
        <v>909745.17497832503</v>
      </c>
    </row>
    <row r="28" spans="1:42" ht="15" customHeight="1" x14ac:dyDescent="0.15">
      <c r="A28" s="1"/>
      <c r="B28" s="1" t="s">
        <v>19</v>
      </c>
      <c r="C28" s="2">
        <f>AP68</f>
        <v>7479492.0339415232</v>
      </c>
      <c r="D28" s="1"/>
      <c r="E28" s="14">
        <v>950</v>
      </c>
      <c r="F28" s="25" t="s">
        <v>5</v>
      </c>
      <c r="G28" s="2">
        <f t="shared" ref="G28:AP28" si="20">$E$28*G24</f>
        <v>0</v>
      </c>
      <c r="H28" s="2">
        <f t="shared" si="20"/>
        <v>187387.5</v>
      </c>
      <c r="I28" s="2">
        <f t="shared" si="20"/>
        <v>198181.875</v>
      </c>
      <c r="J28" s="2">
        <f t="shared" si="20"/>
        <v>208090.96875</v>
      </c>
      <c r="K28" s="2">
        <f t="shared" si="20"/>
        <v>218495.51718749999</v>
      </c>
      <c r="L28" s="2">
        <f t="shared" si="20"/>
        <v>229420.29304687498</v>
      </c>
      <c r="M28" s="2">
        <f t="shared" si="20"/>
        <v>240891.30769921877</v>
      </c>
      <c r="N28" s="2">
        <f t="shared" si="20"/>
        <v>252935.87308417971</v>
      </c>
      <c r="O28" s="2">
        <f t="shared" si="20"/>
        <v>265582.66673838871</v>
      </c>
      <c r="P28" s="2">
        <f t="shared" si="20"/>
        <v>278861.80007530813</v>
      </c>
      <c r="Q28" s="2">
        <f t="shared" si="20"/>
        <v>292804.89007907361</v>
      </c>
      <c r="R28" s="2">
        <f t="shared" si="20"/>
        <v>307445.13458302733</v>
      </c>
      <c r="S28" s="2">
        <f t="shared" si="20"/>
        <v>310918.88326794846</v>
      </c>
      <c r="T28" s="2">
        <f t="shared" si="20"/>
        <v>314447.10633414402</v>
      </c>
      <c r="U28" s="2">
        <f t="shared" si="20"/>
        <v>318030.80201805366</v>
      </c>
      <c r="V28" s="2">
        <f t="shared" si="20"/>
        <v>321670.9879021073</v>
      </c>
      <c r="W28" s="2">
        <f t="shared" si="20"/>
        <v>325368.70129692706</v>
      </c>
      <c r="X28" s="2">
        <f t="shared" si="20"/>
        <v>329124.99963113229</v>
      </c>
      <c r="Y28" s="2">
        <f t="shared" si="20"/>
        <v>332940.96084890125</v>
      </c>
      <c r="Z28" s="2">
        <f t="shared" si="20"/>
        <v>336817.68381544296</v>
      </c>
      <c r="AA28" s="2">
        <f t="shared" si="20"/>
        <v>340756.28873053781</v>
      </c>
      <c r="AB28" s="2">
        <f t="shared" si="20"/>
        <v>344757.91755030793</v>
      </c>
      <c r="AC28" s="2">
        <f t="shared" si="20"/>
        <v>348823.7344173803</v>
      </c>
      <c r="AD28" s="2">
        <f t="shared" si="20"/>
        <v>351966.56732941809</v>
      </c>
      <c r="AE28" s="2">
        <f t="shared" si="20"/>
        <v>355168.42325792043</v>
      </c>
      <c r="AF28" s="2">
        <f t="shared" si="20"/>
        <v>358430.4788295746</v>
      </c>
      <c r="AG28" s="2">
        <f t="shared" si="20"/>
        <v>361753.93419976847</v>
      </c>
      <c r="AH28" s="2">
        <f t="shared" si="20"/>
        <v>365140.01352315972</v>
      </c>
      <c r="AI28" s="2">
        <f t="shared" si="20"/>
        <v>368589.96543365828</v>
      </c>
      <c r="AJ28" s="2">
        <f t="shared" si="20"/>
        <v>372105.06353400683</v>
      </c>
      <c r="AK28" s="2">
        <f t="shared" si="20"/>
        <v>375686.60689515393</v>
      </c>
      <c r="AL28" s="2">
        <f t="shared" si="20"/>
        <v>379335.92056561448</v>
      </c>
      <c r="AM28" s="2">
        <f t="shared" si="20"/>
        <v>383054.3560910169</v>
      </c>
      <c r="AN28" s="2">
        <f t="shared" si="20"/>
        <v>386843.29204404139</v>
      </c>
      <c r="AO28" s="2">
        <f t="shared" si="20"/>
        <v>390704.13456495752</v>
      </c>
      <c r="AP28" s="2">
        <f t="shared" si="20"/>
        <v>394638.31791297201</v>
      </c>
    </row>
    <row r="29" spans="1:42" ht="12.75" customHeight="1" x14ac:dyDescent="0.15">
      <c r="A29" s="1"/>
      <c r="B29" s="1"/>
      <c r="C29" s="2"/>
      <c r="D29" s="1"/>
      <c r="E29" s="1"/>
      <c r="F29" s="1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spans="1:42" ht="12.75" customHeight="1" x14ac:dyDescent="0.15">
      <c r="A30" s="1"/>
      <c r="B30" s="1" t="s">
        <v>20</v>
      </c>
      <c r="C30" s="2">
        <f>AVERAGE(H26:AP26)</f>
        <v>1052695.4319995921</v>
      </c>
      <c r="D30" s="1"/>
      <c r="E30" s="23" t="s">
        <v>21</v>
      </c>
      <c r="F30" s="15" t="s">
        <v>22</v>
      </c>
      <c r="G30" s="26">
        <f t="shared" ref="G30:AP30" si="21">SUM(G31:G39)</f>
        <v>0</v>
      </c>
      <c r="H30" s="26">
        <f t="shared" si="21"/>
        <v>185809.49999999997</v>
      </c>
      <c r="I30" s="26">
        <f t="shared" si="21"/>
        <v>196512.97500000001</v>
      </c>
      <c r="J30" s="26">
        <f t="shared" si="21"/>
        <v>206338.62375000003</v>
      </c>
      <c r="K30" s="26">
        <f t="shared" si="21"/>
        <v>216655.55493749998</v>
      </c>
      <c r="L30" s="26">
        <f t="shared" si="21"/>
        <v>227488.332684375</v>
      </c>
      <c r="M30" s="26">
        <f t="shared" si="21"/>
        <v>238862.74931859376</v>
      </c>
      <c r="N30" s="26">
        <f t="shared" si="21"/>
        <v>250805.88678452349</v>
      </c>
      <c r="O30" s="26">
        <f t="shared" si="21"/>
        <v>263346.18112374964</v>
      </c>
      <c r="P30" s="26">
        <f t="shared" si="21"/>
        <v>276513.4901799371</v>
      </c>
      <c r="Q30" s="26">
        <f t="shared" si="21"/>
        <v>290339.16468893399</v>
      </c>
      <c r="R30" s="26">
        <f t="shared" si="21"/>
        <v>304856.1229233807</v>
      </c>
      <c r="S30" s="26">
        <f t="shared" si="21"/>
        <v>308300.61898779724</v>
      </c>
      <c r="T30" s="26">
        <f t="shared" si="21"/>
        <v>311799.13070185657</v>
      </c>
      <c r="U30" s="26">
        <f t="shared" si="21"/>
        <v>315352.6478957964</v>
      </c>
      <c r="V30" s="26">
        <f t="shared" si="21"/>
        <v>318962.17958293168</v>
      </c>
      <c r="W30" s="26">
        <f t="shared" si="21"/>
        <v>322628.75433863711</v>
      </c>
      <c r="X30" s="26">
        <f t="shared" si="21"/>
        <v>326353.42068687017</v>
      </c>
      <c r="Y30" s="26">
        <f t="shared" si="21"/>
        <v>330137.24749438412</v>
      </c>
      <c r="Z30" s="26">
        <f t="shared" si="21"/>
        <v>333981.32437278662</v>
      </c>
      <c r="AA30" s="26">
        <f t="shared" si="21"/>
        <v>337886.76208859641</v>
      </c>
      <c r="AB30" s="26">
        <f t="shared" si="21"/>
        <v>341854.69298146322</v>
      </c>
      <c r="AC30" s="26">
        <f t="shared" si="21"/>
        <v>345886.27139070764</v>
      </c>
      <c r="AD30" s="26">
        <f t="shared" si="21"/>
        <v>349002.63834138087</v>
      </c>
      <c r="AE30" s="26">
        <f t="shared" si="21"/>
        <v>352177.53127259057</v>
      </c>
      <c r="AF30" s="26">
        <f t="shared" si="21"/>
        <v>355412.11690258875</v>
      </c>
      <c r="AG30" s="26">
        <f t="shared" si="21"/>
        <v>358707.5852801915</v>
      </c>
      <c r="AH30" s="26">
        <f t="shared" si="21"/>
        <v>362065.15025138576</v>
      </c>
      <c r="AI30" s="26">
        <f t="shared" si="21"/>
        <v>365486.04993526952</v>
      </c>
      <c r="AJ30" s="26">
        <f t="shared" si="21"/>
        <v>368971.54720950988</v>
      </c>
      <c r="AK30" s="26">
        <f t="shared" si="21"/>
        <v>372522.93020551052</v>
      </c>
      <c r="AL30" s="26">
        <f t="shared" si="21"/>
        <v>376141.51281348302</v>
      </c>
      <c r="AM30" s="26">
        <f t="shared" si="21"/>
        <v>379828.63519761886</v>
      </c>
      <c r="AN30" s="26">
        <f t="shared" si="21"/>
        <v>383585.66432156519</v>
      </c>
      <c r="AO30" s="26">
        <f t="shared" si="21"/>
        <v>387413.99448441045</v>
      </c>
      <c r="AP30" s="26">
        <f t="shared" si="21"/>
        <v>391315.04786738916</v>
      </c>
    </row>
    <row r="31" spans="1:42" ht="12.75" customHeight="1" x14ac:dyDescent="0.15">
      <c r="A31" s="1"/>
      <c r="B31" s="1" t="s">
        <v>23</v>
      </c>
      <c r="C31" s="2">
        <f>AVERAGE(H59:AP59)</f>
        <v>246027.57647973884</v>
      </c>
      <c r="D31" s="1"/>
      <c r="E31" s="4">
        <v>0.14299999999999999</v>
      </c>
      <c r="F31" s="27" t="s">
        <v>24</v>
      </c>
      <c r="G31" s="28">
        <f t="shared" ref="G31:AP31" si="22">G27*$E$31</f>
        <v>0</v>
      </c>
      <c r="H31" s="28">
        <f t="shared" si="22"/>
        <v>61772.782499999994</v>
      </c>
      <c r="I31" s="28">
        <f t="shared" si="22"/>
        <v>65331.176625</v>
      </c>
      <c r="J31" s="28">
        <f t="shared" si="22"/>
        <v>68597.735456249997</v>
      </c>
      <c r="K31" s="28">
        <f t="shared" si="22"/>
        <v>72027.622229062486</v>
      </c>
      <c r="L31" s="28">
        <f t="shared" si="22"/>
        <v>75629.003340515614</v>
      </c>
      <c r="M31" s="28">
        <f t="shared" si="22"/>
        <v>79410.453507541402</v>
      </c>
      <c r="N31" s="28">
        <f t="shared" si="22"/>
        <v>83380.976182918486</v>
      </c>
      <c r="O31" s="28">
        <f t="shared" si="22"/>
        <v>87550.024992064413</v>
      </c>
      <c r="P31" s="28">
        <f t="shared" si="22"/>
        <v>91927.526241667627</v>
      </c>
      <c r="Q31" s="28">
        <f t="shared" si="22"/>
        <v>96523.902553751017</v>
      </c>
      <c r="R31" s="28">
        <f t="shared" si="22"/>
        <v>101350.09768143858</v>
      </c>
      <c r="S31" s="28">
        <f t="shared" si="22"/>
        <v>102495.22807686674</v>
      </c>
      <c r="T31" s="28">
        <f t="shared" si="22"/>
        <v>103658.31609543566</v>
      </c>
      <c r="U31" s="28">
        <f t="shared" si="22"/>
        <v>104839.6908084146</v>
      </c>
      <c r="V31" s="28">
        <f t="shared" si="22"/>
        <v>106039.68766452941</v>
      </c>
      <c r="W31" s="28">
        <f t="shared" si="22"/>
        <v>107258.64861595647</v>
      </c>
      <c r="X31" s="28">
        <f t="shared" si="22"/>
        <v>108496.92224682284</v>
      </c>
      <c r="Y31" s="28">
        <f t="shared" si="22"/>
        <v>109754.86390426358</v>
      </c>
      <c r="Z31" s="28">
        <f t="shared" si="22"/>
        <v>111032.8358320866</v>
      </c>
      <c r="AA31" s="28">
        <f t="shared" si="22"/>
        <v>112331.2073070974</v>
      </c>
      <c r="AB31" s="28">
        <f t="shared" si="22"/>
        <v>113650.35477813677</v>
      </c>
      <c r="AC31" s="28">
        <f t="shared" si="22"/>
        <v>114990.66200788524</v>
      </c>
      <c r="AD31" s="28">
        <f t="shared" si="22"/>
        <v>116026.70514795142</v>
      </c>
      <c r="AE31" s="28">
        <f t="shared" si="22"/>
        <v>117082.20538071888</v>
      </c>
      <c r="AF31" s="28">
        <f t="shared" si="22"/>
        <v>118157.55058427145</v>
      </c>
      <c r="AG31" s="28">
        <f t="shared" si="22"/>
        <v>119253.13639299103</v>
      </c>
      <c r="AH31" s="28">
        <f t="shared" si="22"/>
        <v>120369.36635268202</v>
      </c>
      <c r="AI31" s="28">
        <f t="shared" si="22"/>
        <v>121506.65207879867</v>
      </c>
      <c r="AJ31" s="28">
        <f t="shared" si="22"/>
        <v>122665.41341783674</v>
      </c>
      <c r="AK31" s="28">
        <f t="shared" si="22"/>
        <v>123846.07861195299</v>
      </c>
      <c r="AL31" s="28">
        <f t="shared" si="22"/>
        <v>125049.08446687735</v>
      </c>
      <c r="AM31" s="28">
        <f t="shared" si="22"/>
        <v>126274.8765231829</v>
      </c>
      <c r="AN31" s="28">
        <f t="shared" si="22"/>
        <v>127523.9092309815</v>
      </c>
      <c r="AO31" s="28">
        <f t="shared" si="22"/>
        <v>128796.6461281134</v>
      </c>
      <c r="AP31" s="28">
        <f t="shared" si="22"/>
        <v>130093.56002190047</v>
      </c>
    </row>
    <row r="32" spans="1:42" ht="12.75" customHeight="1" x14ac:dyDescent="0.15">
      <c r="A32" s="1"/>
      <c r="B32" s="1"/>
      <c r="C32" s="2"/>
      <c r="D32" s="1"/>
      <c r="E32" s="4">
        <v>0.14299999999999999</v>
      </c>
      <c r="F32" s="27" t="s">
        <v>25</v>
      </c>
      <c r="G32" s="28">
        <f t="shared" ref="G32:AP32" si="23">G28*$E$32</f>
        <v>0</v>
      </c>
      <c r="H32" s="28">
        <f t="shared" si="23"/>
        <v>26796.412499999999</v>
      </c>
      <c r="I32" s="28">
        <f t="shared" si="23"/>
        <v>28340.008124999997</v>
      </c>
      <c r="J32" s="28">
        <f t="shared" si="23"/>
        <v>29757.008531249998</v>
      </c>
      <c r="K32" s="28">
        <f t="shared" si="23"/>
        <v>31244.858957812496</v>
      </c>
      <c r="L32" s="28">
        <f t="shared" si="23"/>
        <v>32807.101905703123</v>
      </c>
      <c r="M32" s="28">
        <f t="shared" si="23"/>
        <v>34447.457000988281</v>
      </c>
      <c r="N32" s="28">
        <f t="shared" si="23"/>
        <v>36169.829851037692</v>
      </c>
      <c r="O32" s="28">
        <f t="shared" si="23"/>
        <v>37978.321343589581</v>
      </c>
      <c r="P32" s="28">
        <f t="shared" si="23"/>
        <v>39877.237410769056</v>
      </c>
      <c r="Q32" s="28">
        <f t="shared" si="23"/>
        <v>41871.099281307521</v>
      </c>
      <c r="R32" s="28">
        <f t="shared" si="23"/>
        <v>43964.654245372905</v>
      </c>
      <c r="S32" s="28">
        <f t="shared" si="23"/>
        <v>44461.400307316624</v>
      </c>
      <c r="T32" s="28">
        <f t="shared" si="23"/>
        <v>44965.936205782593</v>
      </c>
      <c r="U32" s="28">
        <f t="shared" si="23"/>
        <v>45478.404688581672</v>
      </c>
      <c r="V32" s="28">
        <f t="shared" si="23"/>
        <v>45998.951270001337</v>
      </c>
      <c r="W32" s="28">
        <f t="shared" si="23"/>
        <v>46527.724285460565</v>
      </c>
      <c r="X32" s="28">
        <f t="shared" si="23"/>
        <v>47064.874947251912</v>
      </c>
      <c r="Y32" s="28">
        <f t="shared" si="23"/>
        <v>47610.557401392871</v>
      </c>
      <c r="Z32" s="28">
        <f t="shared" si="23"/>
        <v>48164.928785608339</v>
      </c>
      <c r="AA32" s="28">
        <f t="shared" si="23"/>
        <v>48728.149288466906</v>
      </c>
      <c r="AB32" s="28">
        <f t="shared" si="23"/>
        <v>49300.382209694028</v>
      </c>
      <c r="AC32" s="28">
        <f t="shared" si="23"/>
        <v>49881.794021685382</v>
      </c>
      <c r="AD32" s="28">
        <f t="shared" si="23"/>
        <v>50331.219128106779</v>
      </c>
      <c r="AE32" s="28">
        <f t="shared" si="23"/>
        <v>50789.084525882616</v>
      </c>
      <c r="AF32" s="28">
        <f t="shared" si="23"/>
        <v>51255.558472629164</v>
      </c>
      <c r="AG32" s="28">
        <f t="shared" si="23"/>
        <v>51730.812590566886</v>
      </c>
      <c r="AH32" s="28">
        <f t="shared" si="23"/>
        <v>52215.021933811833</v>
      </c>
      <c r="AI32" s="28">
        <f t="shared" si="23"/>
        <v>52708.365057013129</v>
      </c>
      <c r="AJ32" s="28">
        <f t="shared" si="23"/>
        <v>53211.024085362973</v>
      </c>
      <c r="AK32" s="28">
        <f t="shared" si="23"/>
        <v>53723.184786007005</v>
      </c>
      <c r="AL32" s="28">
        <f t="shared" si="23"/>
        <v>54245.036640882863</v>
      </c>
      <c r="AM32" s="28">
        <f t="shared" si="23"/>
        <v>54776.772921015414</v>
      </c>
      <c r="AN32" s="28">
        <f t="shared" si="23"/>
        <v>55318.590762297914</v>
      </c>
      <c r="AO32" s="28">
        <f t="shared" si="23"/>
        <v>55870.691242788918</v>
      </c>
      <c r="AP32" s="28">
        <f t="shared" si="23"/>
        <v>56433.279461554994</v>
      </c>
    </row>
    <row r="33" spans="1:42" ht="12.75" customHeight="1" x14ac:dyDescent="0.15">
      <c r="A33" s="15"/>
      <c r="B33" s="15"/>
      <c r="C33" s="15"/>
      <c r="D33" s="29"/>
      <c r="E33" s="4">
        <v>0.03</v>
      </c>
      <c r="F33" s="27" t="s">
        <v>26</v>
      </c>
      <c r="G33" s="28">
        <f t="shared" ref="G33:AP38" si="24">G$26*$E33</f>
        <v>0</v>
      </c>
      <c r="H33" s="28">
        <f t="shared" si="24"/>
        <v>18580.95</v>
      </c>
      <c r="I33" s="28">
        <f t="shared" si="24"/>
        <v>19651.297500000001</v>
      </c>
      <c r="J33" s="28">
        <f t="shared" si="24"/>
        <v>20633.862374999997</v>
      </c>
      <c r="K33" s="28">
        <f t="shared" si="24"/>
        <v>21665.555493749998</v>
      </c>
      <c r="L33" s="28">
        <f t="shared" si="24"/>
        <v>22748.833268437498</v>
      </c>
      <c r="M33" s="28">
        <f t="shared" si="24"/>
        <v>23886.274931859374</v>
      </c>
      <c r="N33" s="28">
        <f t="shared" si="24"/>
        <v>25080.588678452346</v>
      </c>
      <c r="O33" s="28">
        <f t="shared" si="24"/>
        <v>26334.618112374967</v>
      </c>
      <c r="P33" s="28">
        <f t="shared" si="24"/>
        <v>27651.349017993711</v>
      </c>
      <c r="Q33" s="28">
        <f t="shared" si="24"/>
        <v>29033.9164688934</v>
      </c>
      <c r="R33" s="28">
        <f t="shared" si="24"/>
        <v>30485.612292338075</v>
      </c>
      <c r="S33" s="28">
        <f t="shared" si="24"/>
        <v>30830.061898779724</v>
      </c>
      <c r="T33" s="28">
        <f t="shared" si="24"/>
        <v>31179.913070185648</v>
      </c>
      <c r="U33" s="28">
        <f t="shared" si="24"/>
        <v>31535.26478957964</v>
      </c>
      <c r="V33" s="28">
        <f t="shared" si="24"/>
        <v>31896.217958293171</v>
      </c>
      <c r="W33" s="28">
        <f t="shared" si="24"/>
        <v>32262.875433863715</v>
      </c>
      <c r="X33" s="28">
        <f t="shared" si="24"/>
        <v>32635.342068687016</v>
      </c>
      <c r="Y33" s="28">
        <f t="shared" si="24"/>
        <v>33013.724749438421</v>
      </c>
      <c r="Z33" s="28">
        <f t="shared" si="24"/>
        <v>33398.132437278655</v>
      </c>
      <c r="AA33" s="28">
        <f t="shared" si="24"/>
        <v>33788.676208859644</v>
      </c>
      <c r="AB33" s="28">
        <f t="shared" si="24"/>
        <v>34185.469298146316</v>
      </c>
      <c r="AC33" s="28">
        <f t="shared" si="24"/>
        <v>34588.627139070762</v>
      </c>
      <c r="AD33" s="28">
        <f t="shared" si="24"/>
        <v>34900.263834138088</v>
      </c>
      <c r="AE33" s="28">
        <f t="shared" si="24"/>
        <v>35217.753127259057</v>
      </c>
      <c r="AF33" s="28">
        <f t="shared" si="24"/>
        <v>35541.211690258868</v>
      </c>
      <c r="AG33" s="28">
        <f t="shared" si="24"/>
        <v>35870.758528019142</v>
      </c>
      <c r="AH33" s="28">
        <f t="shared" si="24"/>
        <v>36206.515025138571</v>
      </c>
      <c r="AI33" s="28">
        <f t="shared" si="24"/>
        <v>36548.604993526955</v>
      </c>
      <c r="AJ33" s="28">
        <f t="shared" si="24"/>
        <v>36897.154720950988</v>
      </c>
      <c r="AK33" s="28">
        <f t="shared" si="24"/>
        <v>37252.293020551049</v>
      </c>
      <c r="AL33" s="28">
        <f t="shared" si="24"/>
        <v>37614.151281348299</v>
      </c>
      <c r="AM33" s="28">
        <f t="shared" si="24"/>
        <v>37982.863519761886</v>
      </c>
      <c r="AN33" s="28">
        <f t="shared" si="24"/>
        <v>38358.566432156527</v>
      </c>
      <c r="AO33" s="28">
        <f t="shared" si="24"/>
        <v>38741.39944844105</v>
      </c>
      <c r="AP33" s="28">
        <f t="shared" si="24"/>
        <v>39131.504786738908</v>
      </c>
    </row>
    <row r="34" spans="1:42" ht="12.75" customHeight="1" x14ac:dyDescent="0.15">
      <c r="A34" s="15"/>
      <c r="B34" s="11" t="s">
        <v>27</v>
      </c>
      <c r="C34" s="30">
        <f>(C28-C27)/C27</f>
        <v>6.8498861991646162E-2</v>
      </c>
      <c r="D34" s="29"/>
      <c r="E34" s="4">
        <v>0.02</v>
      </c>
      <c r="F34" s="27" t="s">
        <v>28</v>
      </c>
      <c r="G34" s="28">
        <f t="shared" si="24"/>
        <v>0</v>
      </c>
      <c r="H34" s="28">
        <f t="shared" si="24"/>
        <v>12387.300000000001</v>
      </c>
      <c r="I34" s="28">
        <f t="shared" si="24"/>
        <v>13100.865</v>
      </c>
      <c r="J34" s="28">
        <f t="shared" si="24"/>
        <v>13755.90825</v>
      </c>
      <c r="K34" s="28">
        <f t="shared" si="24"/>
        <v>14443.7036625</v>
      </c>
      <c r="L34" s="28">
        <f t="shared" si="24"/>
        <v>15165.888845624999</v>
      </c>
      <c r="M34" s="28">
        <f t="shared" si="24"/>
        <v>15924.183287906251</v>
      </c>
      <c r="N34" s="28">
        <f t="shared" si="24"/>
        <v>16720.392452301567</v>
      </c>
      <c r="O34" s="28">
        <f t="shared" si="24"/>
        <v>17556.412074916643</v>
      </c>
      <c r="P34" s="28">
        <f t="shared" si="24"/>
        <v>18434.232678662473</v>
      </c>
      <c r="Q34" s="28">
        <f t="shared" si="24"/>
        <v>19355.944312595602</v>
      </c>
      <c r="R34" s="28">
        <f t="shared" si="24"/>
        <v>20323.741528225386</v>
      </c>
      <c r="S34" s="28">
        <f t="shared" si="24"/>
        <v>20553.374599186485</v>
      </c>
      <c r="T34" s="28">
        <f t="shared" si="24"/>
        <v>20786.608713457099</v>
      </c>
      <c r="U34" s="28">
        <f t="shared" si="24"/>
        <v>21023.509859719761</v>
      </c>
      <c r="V34" s="28">
        <f t="shared" si="24"/>
        <v>21264.145305528782</v>
      </c>
      <c r="W34" s="28">
        <f t="shared" si="24"/>
        <v>21508.583622575814</v>
      </c>
      <c r="X34" s="28">
        <f t="shared" si="24"/>
        <v>21756.894712458012</v>
      </c>
      <c r="Y34" s="28">
        <f t="shared" si="24"/>
        <v>22009.149832958949</v>
      </c>
      <c r="Z34" s="28">
        <f t="shared" si="24"/>
        <v>22265.421624852439</v>
      </c>
      <c r="AA34" s="28">
        <f t="shared" si="24"/>
        <v>22525.784139239764</v>
      </c>
      <c r="AB34" s="28">
        <f t="shared" si="24"/>
        <v>22790.312865430882</v>
      </c>
      <c r="AC34" s="28">
        <f t="shared" si="24"/>
        <v>23059.084759380512</v>
      </c>
      <c r="AD34" s="28">
        <f t="shared" si="24"/>
        <v>23266.842556092059</v>
      </c>
      <c r="AE34" s="28">
        <f t="shared" si="24"/>
        <v>23478.502084839372</v>
      </c>
      <c r="AF34" s="28">
        <f t="shared" si="24"/>
        <v>23694.141126839248</v>
      </c>
      <c r="AG34" s="28">
        <f t="shared" si="24"/>
        <v>23913.839018679428</v>
      </c>
      <c r="AH34" s="28">
        <f t="shared" si="24"/>
        <v>24137.676683425718</v>
      </c>
      <c r="AI34" s="28">
        <f t="shared" si="24"/>
        <v>24365.736662351304</v>
      </c>
      <c r="AJ34" s="28">
        <f t="shared" si="24"/>
        <v>24598.103147300659</v>
      </c>
      <c r="AK34" s="28">
        <f t="shared" si="24"/>
        <v>24834.862013700702</v>
      </c>
      <c r="AL34" s="28">
        <f t="shared" si="24"/>
        <v>25076.100854232202</v>
      </c>
      <c r="AM34" s="28">
        <f t="shared" si="24"/>
        <v>25321.909013174591</v>
      </c>
      <c r="AN34" s="28">
        <f t="shared" si="24"/>
        <v>25572.377621437685</v>
      </c>
      <c r="AO34" s="28">
        <f t="shared" si="24"/>
        <v>25827.599632294034</v>
      </c>
      <c r="AP34" s="28">
        <f t="shared" si="24"/>
        <v>26087.669857825938</v>
      </c>
    </row>
    <row r="35" spans="1:42" ht="12.75" customHeight="1" x14ac:dyDescent="0.15">
      <c r="A35" s="15"/>
      <c r="B35" s="11" t="s">
        <v>29</v>
      </c>
      <c r="C35" s="31">
        <f>MIN(G70:AP70)</f>
        <v>35</v>
      </c>
      <c r="D35" s="29"/>
      <c r="E35" s="4">
        <v>1.7000000000000001E-2</v>
      </c>
      <c r="F35" s="27" t="s">
        <v>30</v>
      </c>
      <c r="G35" s="28">
        <f t="shared" si="24"/>
        <v>0</v>
      </c>
      <c r="H35" s="28">
        <f t="shared" si="24"/>
        <v>10529.205</v>
      </c>
      <c r="I35" s="28">
        <f t="shared" si="24"/>
        <v>11135.735250000002</v>
      </c>
      <c r="J35" s="28">
        <f t="shared" si="24"/>
        <v>11692.5220125</v>
      </c>
      <c r="K35" s="28">
        <f t="shared" si="24"/>
        <v>12277.148113125</v>
      </c>
      <c r="L35" s="28">
        <f t="shared" si="24"/>
        <v>12891.005518781249</v>
      </c>
      <c r="M35" s="28">
        <f t="shared" si="24"/>
        <v>13535.555794720314</v>
      </c>
      <c r="N35" s="28">
        <f t="shared" si="24"/>
        <v>14212.333584456332</v>
      </c>
      <c r="O35" s="28">
        <f t="shared" si="24"/>
        <v>14922.950263679149</v>
      </c>
      <c r="P35" s="28">
        <f t="shared" si="24"/>
        <v>15669.097776863104</v>
      </c>
      <c r="Q35" s="28">
        <f t="shared" si="24"/>
        <v>16452.552665706262</v>
      </c>
      <c r="R35" s="28">
        <f t="shared" si="24"/>
        <v>17275.180298991578</v>
      </c>
      <c r="S35" s="28">
        <f t="shared" si="24"/>
        <v>17470.368409308514</v>
      </c>
      <c r="T35" s="28">
        <f t="shared" si="24"/>
        <v>17668.617406438538</v>
      </c>
      <c r="U35" s="28">
        <f t="shared" si="24"/>
        <v>17869.983380761798</v>
      </c>
      <c r="V35" s="28">
        <f t="shared" si="24"/>
        <v>18074.523509699466</v>
      </c>
      <c r="W35" s="28">
        <f t="shared" si="24"/>
        <v>18282.29607918944</v>
      </c>
      <c r="X35" s="28">
        <f t="shared" si="24"/>
        <v>18493.360505589309</v>
      </c>
      <c r="Y35" s="28">
        <f t="shared" si="24"/>
        <v>18707.777358015108</v>
      </c>
      <c r="Z35" s="28">
        <f t="shared" si="24"/>
        <v>18925.608381124573</v>
      </c>
      <c r="AA35" s="28">
        <f t="shared" si="24"/>
        <v>19146.916518353803</v>
      </c>
      <c r="AB35" s="28">
        <f t="shared" si="24"/>
        <v>19371.765935616251</v>
      </c>
      <c r="AC35" s="28">
        <f t="shared" si="24"/>
        <v>19600.222045473434</v>
      </c>
      <c r="AD35" s="28">
        <f t="shared" si="24"/>
        <v>19776.816172678253</v>
      </c>
      <c r="AE35" s="28">
        <f t="shared" si="24"/>
        <v>19956.726772113467</v>
      </c>
      <c r="AF35" s="28">
        <f t="shared" si="24"/>
        <v>20140.019957813362</v>
      </c>
      <c r="AG35" s="28">
        <f t="shared" si="24"/>
        <v>20326.763165877517</v>
      </c>
      <c r="AH35" s="28">
        <f t="shared" si="24"/>
        <v>20517.02518091186</v>
      </c>
      <c r="AI35" s="28">
        <f t="shared" si="24"/>
        <v>20710.876162998607</v>
      </c>
      <c r="AJ35" s="28">
        <f t="shared" si="24"/>
        <v>20908.387675205562</v>
      </c>
      <c r="AK35" s="28">
        <f t="shared" si="24"/>
        <v>21109.632711645598</v>
      </c>
      <c r="AL35" s="28">
        <f t="shared" si="24"/>
        <v>21314.68572609737</v>
      </c>
      <c r="AM35" s="28">
        <f t="shared" si="24"/>
        <v>21523.622661198402</v>
      </c>
      <c r="AN35" s="28">
        <f t="shared" si="24"/>
        <v>21736.520978222034</v>
      </c>
      <c r="AO35" s="28">
        <f t="shared" si="24"/>
        <v>21953.459687449929</v>
      </c>
      <c r="AP35" s="28">
        <f t="shared" si="24"/>
        <v>22174.519379152051</v>
      </c>
    </row>
    <row r="36" spans="1:42" ht="12.75" customHeight="1" x14ac:dyDescent="0.15">
      <c r="A36" s="15"/>
      <c r="B36" s="11" t="s">
        <v>31</v>
      </c>
      <c r="C36" s="31">
        <f>MIN(G75:AP75)</f>
        <v>0</v>
      </c>
      <c r="D36" s="29"/>
      <c r="E36" s="4">
        <v>0.05</v>
      </c>
      <c r="F36" s="27" t="s">
        <v>32</v>
      </c>
      <c r="G36" s="28">
        <f t="shared" si="24"/>
        <v>0</v>
      </c>
      <c r="H36" s="28">
        <f t="shared" si="24"/>
        <v>30968.25</v>
      </c>
      <c r="I36" s="28">
        <f t="shared" si="24"/>
        <v>32752.162500000002</v>
      </c>
      <c r="J36" s="28">
        <f t="shared" si="24"/>
        <v>34389.770624999997</v>
      </c>
      <c r="K36" s="28">
        <f t="shared" si="24"/>
        <v>36109.259156250002</v>
      </c>
      <c r="L36" s="28">
        <f t="shared" si="24"/>
        <v>37914.722114062497</v>
      </c>
      <c r="M36" s="28">
        <f t="shared" si="24"/>
        <v>39810.458219765627</v>
      </c>
      <c r="N36" s="28">
        <f t="shared" si="24"/>
        <v>41800.981130753913</v>
      </c>
      <c r="O36" s="28">
        <f t="shared" si="24"/>
        <v>43891.030187291617</v>
      </c>
      <c r="P36" s="28">
        <f t="shared" si="24"/>
        <v>46085.581696656183</v>
      </c>
      <c r="Q36" s="28">
        <f t="shared" si="24"/>
        <v>48389.860781489006</v>
      </c>
      <c r="R36" s="28">
        <f t="shared" si="24"/>
        <v>50809.353820563469</v>
      </c>
      <c r="S36" s="28">
        <f t="shared" si="24"/>
        <v>51383.436497966213</v>
      </c>
      <c r="T36" s="28">
        <f t="shared" si="24"/>
        <v>51966.521783642755</v>
      </c>
      <c r="U36" s="28">
        <f t="shared" si="24"/>
        <v>52558.774649299405</v>
      </c>
      <c r="V36" s="28">
        <f t="shared" si="24"/>
        <v>53160.363263821957</v>
      </c>
      <c r="W36" s="28">
        <f t="shared" si="24"/>
        <v>53771.459056439533</v>
      </c>
      <c r="X36" s="28">
        <f t="shared" si="24"/>
        <v>54392.236781145031</v>
      </c>
      <c r="Y36" s="28">
        <f t="shared" si="24"/>
        <v>55022.874582397373</v>
      </c>
      <c r="Z36" s="28">
        <f t="shared" si="24"/>
        <v>55663.554062131094</v>
      </c>
      <c r="AA36" s="28">
        <f t="shared" si="24"/>
        <v>56314.460348099412</v>
      </c>
      <c r="AB36" s="28">
        <f t="shared" si="24"/>
        <v>56975.782163577205</v>
      </c>
      <c r="AC36" s="28">
        <f t="shared" si="24"/>
        <v>57647.711898451278</v>
      </c>
      <c r="AD36" s="28">
        <f t="shared" si="24"/>
        <v>58167.106390230154</v>
      </c>
      <c r="AE36" s="28">
        <f t="shared" si="24"/>
        <v>58696.255212098433</v>
      </c>
      <c r="AF36" s="28">
        <f t="shared" si="24"/>
        <v>59235.352817098123</v>
      </c>
      <c r="AG36" s="28">
        <f t="shared" si="24"/>
        <v>59784.597546698576</v>
      </c>
      <c r="AH36" s="28">
        <f t="shared" si="24"/>
        <v>60344.191708564293</v>
      </c>
      <c r="AI36" s="28">
        <f t="shared" si="24"/>
        <v>60914.341655878263</v>
      </c>
      <c r="AJ36" s="28">
        <f t="shared" si="24"/>
        <v>61495.257868251647</v>
      </c>
      <c r="AK36" s="28">
        <f t="shared" si="24"/>
        <v>62087.155034251758</v>
      </c>
      <c r="AL36" s="28">
        <f t="shared" si="24"/>
        <v>62690.2521355805</v>
      </c>
      <c r="AM36" s="28">
        <f t="shared" si="24"/>
        <v>63304.772532936477</v>
      </c>
      <c r="AN36" s="28">
        <f t="shared" si="24"/>
        <v>63930.944053594212</v>
      </c>
      <c r="AO36" s="28">
        <f t="shared" si="24"/>
        <v>64568.999080735084</v>
      </c>
      <c r="AP36" s="28">
        <f t="shared" si="24"/>
        <v>65219.174644564853</v>
      </c>
    </row>
    <row r="37" spans="1:42" ht="12.75" customHeight="1" x14ac:dyDescent="0.15">
      <c r="A37" s="15"/>
      <c r="B37" s="29"/>
      <c r="C37" s="32"/>
      <c r="D37" s="29"/>
      <c r="E37" s="4">
        <v>0.02</v>
      </c>
      <c r="F37" s="27" t="s">
        <v>33</v>
      </c>
      <c r="G37" s="28">
        <f t="shared" si="24"/>
        <v>0</v>
      </c>
      <c r="H37" s="28">
        <f t="shared" si="24"/>
        <v>12387.300000000001</v>
      </c>
      <c r="I37" s="28">
        <f t="shared" si="24"/>
        <v>13100.865</v>
      </c>
      <c r="J37" s="28">
        <f t="shared" si="24"/>
        <v>13755.90825</v>
      </c>
      <c r="K37" s="28">
        <f t="shared" si="24"/>
        <v>14443.7036625</v>
      </c>
      <c r="L37" s="28">
        <f t="shared" si="24"/>
        <v>15165.888845624999</v>
      </c>
      <c r="M37" s="28">
        <f t="shared" si="24"/>
        <v>15924.183287906251</v>
      </c>
      <c r="N37" s="28">
        <f t="shared" si="24"/>
        <v>16720.392452301567</v>
      </c>
      <c r="O37" s="28">
        <f t="shared" si="24"/>
        <v>17556.412074916643</v>
      </c>
      <c r="P37" s="28">
        <f t="shared" si="24"/>
        <v>18434.232678662473</v>
      </c>
      <c r="Q37" s="28">
        <f t="shared" si="24"/>
        <v>19355.944312595602</v>
      </c>
      <c r="R37" s="28">
        <f t="shared" si="24"/>
        <v>20323.741528225386</v>
      </c>
      <c r="S37" s="28">
        <f t="shared" si="24"/>
        <v>20553.374599186485</v>
      </c>
      <c r="T37" s="28">
        <f t="shared" si="24"/>
        <v>20786.608713457099</v>
      </c>
      <c r="U37" s="28">
        <f t="shared" si="24"/>
        <v>21023.509859719761</v>
      </c>
      <c r="V37" s="28">
        <f t="shared" si="24"/>
        <v>21264.145305528782</v>
      </c>
      <c r="W37" s="28">
        <f t="shared" si="24"/>
        <v>21508.583622575814</v>
      </c>
      <c r="X37" s="28">
        <f t="shared" si="24"/>
        <v>21756.894712458012</v>
      </c>
      <c r="Y37" s="28">
        <f t="shared" si="24"/>
        <v>22009.149832958949</v>
      </c>
      <c r="Z37" s="28">
        <f t="shared" si="24"/>
        <v>22265.421624852439</v>
      </c>
      <c r="AA37" s="28">
        <f t="shared" si="24"/>
        <v>22525.784139239764</v>
      </c>
      <c r="AB37" s="28">
        <f t="shared" si="24"/>
        <v>22790.312865430882</v>
      </c>
      <c r="AC37" s="28">
        <f t="shared" si="24"/>
        <v>23059.084759380512</v>
      </c>
      <c r="AD37" s="28">
        <f t="shared" si="24"/>
        <v>23266.842556092059</v>
      </c>
      <c r="AE37" s="28">
        <f t="shared" si="24"/>
        <v>23478.502084839372</v>
      </c>
      <c r="AF37" s="28">
        <f t="shared" si="24"/>
        <v>23694.141126839248</v>
      </c>
      <c r="AG37" s="28">
        <f t="shared" si="24"/>
        <v>23913.839018679428</v>
      </c>
      <c r="AH37" s="28">
        <f t="shared" si="24"/>
        <v>24137.676683425718</v>
      </c>
      <c r="AI37" s="28">
        <f t="shared" si="24"/>
        <v>24365.736662351304</v>
      </c>
      <c r="AJ37" s="28">
        <f t="shared" si="24"/>
        <v>24598.103147300659</v>
      </c>
      <c r="AK37" s="28">
        <f t="shared" si="24"/>
        <v>24834.862013700702</v>
      </c>
      <c r="AL37" s="28">
        <f t="shared" si="24"/>
        <v>25076.100854232202</v>
      </c>
      <c r="AM37" s="28">
        <f t="shared" si="24"/>
        <v>25321.909013174591</v>
      </c>
      <c r="AN37" s="28">
        <f t="shared" si="24"/>
        <v>25572.377621437685</v>
      </c>
      <c r="AO37" s="28">
        <f t="shared" si="24"/>
        <v>25827.599632294034</v>
      </c>
      <c r="AP37" s="28">
        <f t="shared" si="24"/>
        <v>26087.669857825938</v>
      </c>
    </row>
    <row r="38" spans="1:42" ht="12.75" customHeight="1" x14ac:dyDescent="0.15">
      <c r="A38" s="15"/>
      <c r="B38" s="29"/>
      <c r="C38" s="32"/>
      <c r="D38" s="29"/>
      <c r="E38" s="4">
        <v>0.02</v>
      </c>
      <c r="F38" s="27" t="s">
        <v>34</v>
      </c>
      <c r="G38" s="28">
        <f t="shared" si="24"/>
        <v>0</v>
      </c>
      <c r="H38" s="28">
        <f t="shared" si="24"/>
        <v>12387.300000000001</v>
      </c>
      <c r="I38" s="28">
        <f t="shared" si="24"/>
        <v>13100.865</v>
      </c>
      <c r="J38" s="28">
        <f t="shared" si="24"/>
        <v>13755.90825</v>
      </c>
      <c r="K38" s="28">
        <f t="shared" si="24"/>
        <v>14443.7036625</v>
      </c>
      <c r="L38" s="28">
        <f t="shared" si="24"/>
        <v>15165.888845624999</v>
      </c>
      <c r="M38" s="28">
        <f t="shared" si="24"/>
        <v>15924.183287906251</v>
      </c>
      <c r="N38" s="28">
        <f t="shared" si="24"/>
        <v>16720.392452301567</v>
      </c>
      <c r="O38" s="28">
        <f t="shared" si="24"/>
        <v>17556.412074916643</v>
      </c>
      <c r="P38" s="28">
        <f t="shared" si="24"/>
        <v>18434.232678662473</v>
      </c>
      <c r="Q38" s="28">
        <f t="shared" si="24"/>
        <v>19355.944312595602</v>
      </c>
      <c r="R38" s="28">
        <f t="shared" si="24"/>
        <v>20323.741528225386</v>
      </c>
      <c r="S38" s="28">
        <f t="shared" si="24"/>
        <v>20553.374599186485</v>
      </c>
      <c r="T38" s="28">
        <f t="shared" si="24"/>
        <v>20786.608713457099</v>
      </c>
      <c r="U38" s="28">
        <f t="shared" si="24"/>
        <v>21023.509859719761</v>
      </c>
      <c r="V38" s="28">
        <f t="shared" si="24"/>
        <v>21264.145305528782</v>
      </c>
      <c r="W38" s="28">
        <f t="shared" si="24"/>
        <v>21508.583622575814</v>
      </c>
      <c r="X38" s="28">
        <f t="shared" si="24"/>
        <v>21756.894712458012</v>
      </c>
      <c r="Y38" s="28">
        <f t="shared" si="24"/>
        <v>22009.149832958949</v>
      </c>
      <c r="Z38" s="28">
        <f t="shared" si="24"/>
        <v>22265.421624852439</v>
      </c>
      <c r="AA38" s="28">
        <f t="shared" si="24"/>
        <v>22525.784139239764</v>
      </c>
      <c r="AB38" s="28">
        <f t="shared" si="24"/>
        <v>22790.312865430882</v>
      </c>
      <c r="AC38" s="28">
        <f t="shared" si="24"/>
        <v>23059.084759380512</v>
      </c>
      <c r="AD38" s="28">
        <f t="shared" si="24"/>
        <v>23266.842556092059</v>
      </c>
      <c r="AE38" s="28">
        <f t="shared" si="24"/>
        <v>23478.502084839372</v>
      </c>
      <c r="AF38" s="28">
        <f t="shared" si="24"/>
        <v>23694.141126839248</v>
      </c>
      <c r="AG38" s="28">
        <f t="shared" si="24"/>
        <v>23913.839018679428</v>
      </c>
      <c r="AH38" s="28">
        <f t="shared" si="24"/>
        <v>24137.676683425718</v>
      </c>
      <c r="AI38" s="28">
        <f t="shared" si="24"/>
        <v>24365.736662351304</v>
      </c>
      <c r="AJ38" s="28">
        <f t="shared" si="24"/>
        <v>24598.103147300659</v>
      </c>
      <c r="AK38" s="28">
        <f t="shared" si="24"/>
        <v>24834.862013700702</v>
      </c>
      <c r="AL38" s="28">
        <f t="shared" si="24"/>
        <v>25076.100854232202</v>
      </c>
      <c r="AM38" s="28">
        <f t="shared" si="24"/>
        <v>25321.909013174591</v>
      </c>
      <c r="AN38" s="28">
        <f t="shared" si="24"/>
        <v>25572.377621437685</v>
      </c>
      <c r="AO38" s="28">
        <f t="shared" si="24"/>
        <v>25827.599632294034</v>
      </c>
      <c r="AP38" s="28">
        <f t="shared" si="24"/>
        <v>26087.669857825938</v>
      </c>
    </row>
    <row r="39" spans="1:42" ht="12.75" customHeight="1" x14ac:dyDescent="0.15">
      <c r="A39" s="1"/>
      <c r="B39" s="1"/>
      <c r="C39" s="2"/>
      <c r="D39" s="33"/>
      <c r="E39" s="6"/>
      <c r="F39" s="6"/>
      <c r="G39" s="28"/>
      <c r="H39" s="28"/>
      <c r="I39" s="34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</row>
    <row r="40" spans="1:42" ht="12.75" customHeight="1" x14ac:dyDescent="0.15">
      <c r="A40" s="1"/>
      <c r="B40" s="21" t="s">
        <v>35</v>
      </c>
      <c r="C40" s="22"/>
      <c r="D40" s="1"/>
      <c r="E40" s="15"/>
      <c r="F40" s="24" t="s">
        <v>36</v>
      </c>
      <c r="G40" s="24">
        <f t="shared" ref="G40:AP40" si="25">G26-G30</f>
        <v>0</v>
      </c>
      <c r="H40" s="24">
        <f t="shared" si="25"/>
        <v>433555.5</v>
      </c>
      <c r="I40" s="24">
        <f t="shared" si="25"/>
        <v>458530.27500000002</v>
      </c>
      <c r="J40" s="24">
        <f t="shared" si="25"/>
        <v>481456.78874999995</v>
      </c>
      <c r="K40" s="24">
        <f t="shared" si="25"/>
        <v>505529.6281875</v>
      </c>
      <c r="L40" s="24">
        <f t="shared" si="25"/>
        <v>530806.10959687491</v>
      </c>
      <c r="M40" s="24">
        <f t="shared" si="25"/>
        <v>557346.41507671878</v>
      </c>
      <c r="N40" s="24">
        <f t="shared" si="25"/>
        <v>585213.73583055474</v>
      </c>
      <c r="O40" s="24">
        <f t="shared" si="25"/>
        <v>614474.42262208252</v>
      </c>
      <c r="P40" s="24">
        <f t="shared" si="25"/>
        <v>645198.14375318657</v>
      </c>
      <c r="Q40" s="24">
        <f t="shared" si="25"/>
        <v>677458.05094084609</v>
      </c>
      <c r="R40" s="24">
        <f t="shared" si="25"/>
        <v>711330.95348788856</v>
      </c>
      <c r="S40" s="24">
        <f t="shared" si="25"/>
        <v>719368.11097152694</v>
      </c>
      <c r="T40" s="24">
        <f t="shared" si="25"/>
        <v>727531.30497099843</v>
      </c>
      <c r="U40" s="24">
        <f t="shared" si="25"/>
        <v>735822.84509019158</v>
      </c>
      <c r="V40" s="24">
        <f t="shared" si="25"/>
        <v>744245.08569350734</v>
      </c>
      <c r="W40" s="24">
        <f t="shared" si="25"/>
        <v>752800.42679015349</v>
      </c>
      <c r="X40" s="24">
        <f t="shared" si="25"/>
        <v>761491.31493603042</v>
      </c>
      <c r="Y40" s="24">
        <f t="shared" si="25"/>
        <v>770320.24415356317</v>
      </c>
      <c r="Z40" s="24">
        <f t="shared" si="25"/>
        <v>779289.75686983531</v>
      </c>
      <c r="AA40" s="24">
        <f t="shared" si="25"/>
        <v>788402.44487339188</v>
      </c>
      <c r="AB40" s="24">
        <f t="shared" si="25"/>
        <v>797660.95029008086</v>
      </c>
      <c r="AC40" s="24">
        <f t="shared" si="25"/>
        <v>807067.96657831781</v>
      </c>
      <c r="AD40" s="24">
        <f t="shared" si="25"/>
        <v>814339.4894632221</v>
      </c>
      <c r="AE40" s="24">
        <f t="shared" si="25"/>
        <v>821747.57296937797</v>
      </c>
      <c r="AF40" s="24">
        <f t="shared" si="25"/>
        <v>829294.93943937367</v>
      </c>
      <c r="AG40" s="24">
        <f t="shared" si="25"/>
        <v>836984.36565377994</v>
      </c>
      <c r="AH40" s="24">
        <f t="shared" si="25"/>
        <v>844818.6839199001</v>
      </c>
      <c r="AI40" s="24">
        <f t="shared" si="25"/>
        <v>852800.78318229562</v>
      </c>
      <c r="AJ40" s="24">
        <f t="shared" si="25"/>
        <v>860933.61015552306</v>
      </c>
      <c r="AK40" s="24">
        <f t="shared" si="25"/>
        <v>869220.17047952465</v>
      </c>
      <c r="AL40" s="24">
        <f t="shared" si="25"/>
        <v>877663.52989812696</v>
      </c>
      <c r="AM40" s="24">
        <f t="shared" si="25"/>
        <v>886266.81546111067</v>
      </c>
      <c r="AN40" s="24">
        <f t="shared" si="25"/>
        <v>895033.216750319</v>
      </c>
      <c r="AO40" s="24">
        <f t="shared" si="25"/>
        <v>903965.98713029129</v>
      </c>
      <c r="AP40" s="24">
        <f t="shared" si="25"/>
        <v>913068.44502390781</v>
      </c>
    </row>
    <row r="41" spans="1:42" ht="12.75" customHeight="1" x14ac:dyDescent="0.15">
      <c r="A41" s="35"/>
      <c r="B41" s="36"/>
      <c r="C41" s="37"/>
      <c r="D41" s="35"/>
      <c r="E41" s="36"/>
      <c r="F41" s="38" t="s">
        <v>37</v>
      </c>
      <c r="G41" s="38"/>
      <c r="H41" s="38">
        <f t="shared" ref="H41:AP41" si="26">H40/H26</f>
        <v>0.7</v>
      </c>
      <c r="I41" s="38">
        <f t="shared" si="26"/>
        <v>0.70000000000000007</v>
      </c>
      <c r="J41" s="38">
        <f t="shared" si="26"/>
        <v>0.7</v>
      </c>
      <c r="K41" s="38">
        <f t="shared" si="26"/>
        <v>0.70000000000000007</v>
      </c>
      <c r="L41" s="38">
        <f t="shared" si="26"/>
        <v>0.7</v>
      </c>
      <c r="M41" s="38">
        <f t="shared" si="26"/>
        <v>0.7</v>
      </c>
      <c r="N41" s="38">
        <f t="shared" si="26"/>
        <v>0.7</v>
      </c>
      <c r="O41" s="38">
        <f t="shared" si="26"/>
        <v>0.7</v>
      </c>
      <c r="P41" s="38">
        <f t="shared" si="26"/>
        <v>0.7</v>
      </c>
      <c r="Q41" s="38">
        <f t="shared" si="26"/>
        <v>0.70000000000000007</v>
      </c>
      <c r="R41" s="38">
        <f t="shared" si="26"/>
        <v>0.70000000000000007</v>
      </c>
      <c r="S41" s="38">
        <f t="shared" si="26"/>
        <v>0.7</v>
      </c>
      <c r="T41" s="38">
        <f t="shared" si="26"/>
        <v>0.7</v>
      </c>
      <c r="U41" s="38">
        <f t="shared" si="26"/>
        <v>0.7</v>
      </c>
      <c r="V41" s="38">
        <f t="shared" si="26"/>
        <v>0.70000000000000007</v>
      </c>
      <c r="W41" s="38">
        <f t="shared" si="26"/>
        <v>0.70000000000000007</v>
      </c>
      <c r="X41" s="38">
        <f t="shared" si="26"/>
        <v>0.70000000000000007</v>
      </c>
      <c r="Y41" s="38">
        <f t="shared" si="26"/>
        <v>0.70000000000000007</v>
      </c>
      <c r="Z41" s="38">
        <f t="shared" si="26"/>
        <v>0.7</v>
      </c>
      <c r="AA41" s="38">
        <f t="shared" si="26"/>
        <v>0.70000000000000007</v>
      </c>
      <c r="AB41" s="38">
        <f t="shared" si="26"/>
        <v>0.70000000000000007</v>
      </c>
      <c r="AC41" s="38">
        <f t="shared" si="26"/>
        <v>0.7</v>
      </c>
      <c r="AD41" s="38">
        <f t="shared" si="26"/>
        <v>0.70000000000000007</v>
      </c>
      <c r="AE41" s="38">
        <f t="shared" si="26"/>
        <v>0.7</v>
      </c>
      <c r="AF41" s="38">
        <f t="shared" si="26"/>
        <v>0.7</v>
      </c>
      <c r="AG41" s="38">
        <f t="shared" si="26"/>
        <v>0.7</v>
      </c>
      <c r="AH41" s="38">
        <f t="shared" si="26"/>
        <v>0.7</v>
      </c>
      <c r="AI41" s="38">
        <f t="shared" si="26"/>
        <v>0.70000000000000007</v>
      </c>
      <c r="AJ41" s="38">
        <f t="shared" si="26"/>
        <v>0.7</v>
      </c>
      <c r="AK41" s="38">
        <f t="shared" si="26"/>
        <v>0.70000000000000007</v>
      </c>
      <c r="AL41" s="38">
        <f t="shared" si="26"/>
        <v>0.7</v>
      </c>
      <c r="AM41" s="38">
        <f t="shared" si="26"/>
        <v>0.7</v>
      </c>
      <c r="AN41" s="38">
        <f t="shared" si="26"/>
        <v>0.70000000000000007</v>
      </c>
      <c r="AO41" s="38">
        <f t="shared" si="26"/>
        <v>0.70000000000000007</v>
      </c>
      <c r="AP41" s="38">
        <f t="shared" si="26"/>
        <v>0.7</v>
      </c>
    </row>
    <row r="42" spans="1:42" ht="12.75" customHeight="1" x14ac:dyDescent="0.15">
      <c r="A42" s="1"/>
      <c r="B42" s="13" t="s">
        <v>38</v>
      </c>
      <c r="C42" s="14">
        <v>50000</v>
      </c>
      <c r="D42" s="1"/>
      <c r="E42" s="1"/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 ht="12.75" customHeight="1" x14ac:dyDescent="0.15">
      <c r="A43" s="1"/>
      <c r="B43" s="13" t="s">
        <v>39</v>
      </c>
      <c r="C43" s="14">
        <v>950000</v>
      </c>
      <c r="D43" s="1"/>
      <c r="E43" s="23" t="s">
        <v>40</v>
      </c>
      <c r="F43" s="15" t="s">
        <v>41</v>
      </c>
      <c r="G43" s="26">
        <f t="shared" ref="G43:AP43" si="27">SUM(G44:G54)</f>
        <v>0</v>
      </c>
      <c r="H43" s="26">
        <f t="shared" si="27"/>
        <v>427697.5</v>
      </c>
      <c r="I43" s="26">
        <f t="shared" si="27"/>
        <v>427697.5</v>
      </c>
      <c r="J43" s="26">
        <f t="shared" si="27"/>
        <v>427697.5</v>
      </c>
      <c r="K43" s="26">
        <f t="shared" si="27"/>
        <v>427697.5</v>
      </c>
      <c r="L43" s="26">
        <f t="shared" si="27"/>
        <v>427697.5</v>
      </c>
      <c r="M43" s="26">
        <f t="shared" si="27"/>
        <v>427697.5</v>
      </c>
      <c r="N43" s="26">
        <f t="shared" si="27"/>
        <v>427697.5</v>
      </c>
      <c r="O43" s="26">
        <f t="shared" si="27"/>
        <v>427697.5</v>
      </c>
      <c r="P43" s="26">
        <f t="shared" si="27"/>
        <v>427697.5</v>
      </c>
      <c r="Q43" s="26">
        <f t="shared" si="27"/>
        <v>427697.5</v>
      </c>
      <c r="R43" s="26">
        <f t="shared" si="27"/>
        <v>427697.5</v>
      </c>
      <c r="S43" s="26">
        <f t="shared" si="27"/>
        <v>427697.5</v>
      </c>
      <c r="T43" s="26">
        <f t="shared" si="27"/>
        <v>427697.5</v>
      </c>
      <c r="U43" s="26">
        <f t="shared" si="27"/>
        <v>427697.5</v>
      </c>
      <c r="V43" s="26">
        <f t="shared" si="27"/>
        <v>427697.5</v>
      </c>
      <c r="W43" s="26">
        <f t="shared" si="27"/>
        <v>427697.5</v>
      </c>
      <c r="X43" s="26">
        <f t="shared" si="27"/>
        <v>427697.5</v>
      </c>
      <c r="Y43" s="26">
        <f t="shared" si="27"/>
        <v>427697.5</v>
      </c>
      <c r="Z43" s="26">
        <f t="shared" si="27"/>
        <v>427697.5</v>
      </c>
      <c r="AA43" s="26">
        <f t="shared" si="27"/>
        <v>427697.5</v>
      </c>
      <c r="AB43" s="26">
        <f t="shared" si="27"/>
        <v>427697.5</v>
      </c>
      <c r="AC43" s="26">
        <f t="shared" si="27"/>
        <v>427697.5</v>
      </c>
      <c r="AD43" s="26">
        <f t="shared" si="27"/>
        <v>427697.5</v>
      </c>
      <c r="AE43" s="26">
        <f t="shared" si="27"/>
        <v>427697.5</v>
      </c>
      <c r="AF43" s="26">
        <f t="shared" si="27"/>
        <v>427697.5</v>
      </c>
      <c r="AG43" s="26">
        <f t="shared" si="27"/>
        <v>427697.5</v>
      </c>
      <c r="AH43" s="26">
        <f t="shared" si="27"/>
        <v>427697.5</v>
      </c>
      <c r="AI43" s="26">
        <f t="shared" si="27"/>
        <v>427697.5</v>
      </c>
      <c r="AJ43" s="26">
        <f t="shared" si="27"/>
        <v>427697.5</v>
      </c>
      <c r="AK43" s="26">
        <f t="shared" si="27"/>
        <v>427697.5</v>
      </c>
      <c r="AL43" s="26">
        <f t="shared" si="27"/>
        <v>427697.5</v>
      </c>
      <c r="AM43" s="26">
        <f t="shared" si="27"/>
        <v>427697.5</v>
      </c>
      <c r="AN43" s="26">
        <f t="shared" si="27"/>
        <v>427697.5</v>
      </c>
      <c r="AO43" s="26">
        <f t="shared" si="27"/>
        <v>427697.5</v>
      </c>
      <c r="AP43" s="26">
        <f t="shared" si="27"/>
        <v>427697.5</v>
      </c>
    </row>
    <row r="44" spans="1:42" ht="12.75" customHeight="1" x14ac:dyDescent="0.15">
      <c r="A44" s="1"/>
      <c r="B44" s="13" t="s">
        <v>42</v>
      </c>
      <c r="C44" s="14">
        <v>900000</v>
      </c>
      <c r="D44" s="1"/>
      <c r="E44" s="14">
        <v>135000</v>
      </c>
      <c r="F44" s="27" t="s">
        <v>43</v>
      </c>
      <c r="G44" s="28"/>
      <c r="H44" s="28">
        <f t="shared" ref="H44:AP51" si="28">$E44</f>
        <v>135000</v>
      </c>
      <c r="I44" s="28">
        <f t="shared" si="28"/>
        <v>135000</v>
      </c>
      <c r="J44" s="28">
        <f t="shared" si="28"/>
        <v>135000</v>
      </c>
      <c r="K44" s="28">
        <f t="shared" si="28"/>
        <v>135000</v>
      </c>
      <c r="L44" s="28">
        <f t="shared" si="28"/>
        <v>135000</v>
      </c>
      <c r="M44" s="28">
        <f t="shared" si="28"/>
        <v>135000</v>
      </c>
      <c r="N44" s="28">
        <f t="shared" si="28"/>
        <v>135000</v>
      </c>
      <c r="O44" s="28">
        <f t="shared" si="28"/>
        <v>135000</v>
      </c>
      <c r="P44" s="28">
        <f t="shared" si="28"/>
        <v>135000</v>
      </c>
      <c r="Q44" s="28">
        <f t="shared" si="28"/>
        <v>135000</v>
      </c>
      <c r="R44" s="28">
        <f t="shared" si="28"/>
        <v>135000</v>
      </c>
      <c r="S44" s="28">
        <f t="shared" si="28"/>
        <v>135000</v>
      </c>
      <c r="T44" s="28">
        <f t="shared" si="28"/>
        <v>135000</v>
      </c>
      <c r="U44" s="28">
        <f t="shared" si="28"/>
        <v>135000</v>
      </c>
      <c r="V44" s="28">
        <f t="shared" si="28"/>
        <v>135000</v>
      </c>
      <c r="W44" s="28">
        <f t="shared" si="28"/>
        <v>135000</v>
      </c>
      <c r="X44" s="28">
        <f t="shared" si="28"/>
        <v>135000</v>
      </c>
      <c r="Y44" s="28">
        <f t="shared" si="28"/>
        <v>135000</v>
      </c>
      <c r="Z44" s="28">
        <f t="shared" si="28"/>
        <v>135000</v>
      </c>
      <c r="AA44" s="28">
        <f t="shared" si="28"/>
        <v>135000</v>
      </c>
      <c r="AB44" s="28">
        <f t="shared" si="28"/>
        <v>135000</v>
      </c>
      <c r="AC44" s="28">
        <f t="shared" si="28"/>
        <v>135000</v>
      </c>
      <c r="AD44" s="28">
        <f t="shared" si="28"/>
        <v>135000</v>
      </c>
      <c r="AE44" s="28">
        <f t="shared" si="28"/>
        <v>135000</v>
      </c>
      <c r="AF44" s="28">
        <f t="shared" si="28"/>
        <v>135000</v>
      </c>
      <c r="AG44" s="28">
        <f t="shared" si="28"/>
        <v>135000</v>
      </c>
      <c r="AH44" s="28">
        <f t="shared" si="28"/>
        <v>135000</v>
      </c>
      <c r="AI44" s="28">
        <f t="shared" si="28"/>
        <v>135000</v>
      </c>
      <c r="AJ44" s="28">
        <f t="shared" si="28"/>
        <v>135000</v>
      </c>
      <c r="AK44" s="28">
        <f t="shared" si="28"/>
        <v>135000</v>
      </c>
      <c r="AL44" s="28">
        <f t="shared" si="28"/>
        <v>135000</v>
      </c>
      <c r="AM44" s="28">
        <f t="shared" si="28"/>
        <v>135000</v>
      </c>
      <c r="AN44" s="28">
        <f t="shared" si="28"/>
        <v>135000</v>
      </c>
      <c r="AO44" s="28">
        <f t="shared" si="28"/>
        <v>135000</v>
      </c>
      <c r="AP44" s="28">
        <f t="shared" si="28"/>
        <v>135000</v>
      </c>
    </row>
    <row r="45" spans="1:42" ht="12.75" customHeight="1" x14ac:dyDescent="0.15">
      <c r="A45" s="1"/>
      <c r="B45" s="13" t="s">
        <v>44</v>
      </c>
      <c r="C45" s="14">
        <v>700000</v>
      </c>
      <c r="D45" s="1"/>
      <c r="E45" s="14">
        <v>10000</v>
      </c>
      <c r="F45" s="27" t="s">
        <v>45</v>
      </c>
      <c r="G45" s="28"/>
      <c r="H45" s="28">
        <f t="shared" si="28"/>
        <v>10000</v>
      </c>
      <c r="I45" s="28">
        <f t="shared" si="28"/>
        <v>10000</v>
      </c>
      <c r="J45" s="28">
        <f t="shared" si="28"/>
        <v>10000</v>
      </c>
      <c r="K45" s="28">
        <f t="shared" si="28"/>
        <v>10000</v>
      </c>
      <c r="L45" s="28">
        <f t="shared" si="28"/>
        <v>10000</v>
      </c>
      <c r="M45" s="28">
        <f t="shared" si="28"/>
        <v>10000</v>
      </c>
      <c r="N45" s="28">
        <f t="shared" si="28"/>
        <v>10000</v>
      </c>
      <c r="O45" s="28">
        <f t="shared" si="28"/>
        <v>10000</v>
      </c>
      <c r="P45" s="28">
        <f t="shared" si="28"/>
        <v>10000</v>
      </c>
      <c r="Q45" s="28">
        <f t="shared" si="28"/>
        <v>10000</v>
      </c>
      <c r="R45" s="28">
        <f t="shared" si="28"/>
        <v>10000</v>
      </c>
      <c r="S45" s="28">
        <f t="shared" si="28"/>
        <v>10000</v>
      </c>
      <c r="T45" s="28">
        <f t="shared" si="28"/>
        <v>10000</v>
      </c>
      <c r="U45" s="28">
        <f t="shared" si="28"/>
        <v>10000</v>
      </c>
      <c r="V45" s="28">
        <f t="shared" si="28"/>
        <v>10000</v>
      </c>
      <c r="W45" s="28">
        <f t="shared" si="28"/>
        <v>10000</v>
      </c>
      <c r="X45" s="28">
        <f t="shared" si="28"/>
        <v>10000</v>
      </c>
      <c r="Y45" s="28">
        <f t="shared" si="28"/>
        <v>10000</v>
      </c>
      <c r="Z45" s="28">
        <f t="shared" si="28"/>
        <v>10000</v>
      </c>
      <c r="AA45" s="28">
        <f t="shared" si="28"/>
        <v>10000</v>
      </c>
      <c r="AB45" s="28">
        <f t="shared" si="28"/>
        <v>10000</v>
      </c>
      <c r="AC45" s="28">
        <f t="shared" si="28"/>
        <v>10000</v>
      </c>
      <c r="AD45" s="28">
        <f t="shared" si="28"/>
        <v>10000</v>
      </c>
      <c r="AE45" s="28">
        <f t="shared" si="28"/>
        <v>10000</v>
      </c>
      <c r="AF45" s="28">
        <f t="shared" si="28"/>
        <v>10000</v>
      </c>
      <c r="AG45" s="28">
        <f t="shared" si="28"/>
        <v>10000</v>
      </c>
      <c r="AH45" s="28">
        <f t="shared" si="28"/>
        <v>10000</v>
      </c>
      <c r="AI45" s="28">
        <f t="shared" si="28"/>
        <v>10000</v>
      </c>
      <c r="AJ45" s="28">
        <f t="shared" si="28"/>
        <v>10000</v>
      </c>
      <c r="AK45" s="28">
        <f t="shared" si="28"/>
        <v>10000</v>
      </c>
      <c r="AL45" s="28">
        <f t="shared" si="28"/>
        <v>10000</v>
      </c>
      <c r="AM45" s="28">
        <f t="shared" si="28"/>
        <v>10000</v>
      </c>
      <c r="AN45" s="28">
        <f t="shared" si="28"/>
        <v>10000</v>
      </c>
      <c r="AO45" s="28">
        <f t="shared" si="28"/>
        <v>10000</v>
      </c>
      <c r="AP45" s="28">
        <f t="shared" si="28"/>
        <v>10000</v>
      </c>
    </row>
    <row r="46" spans="1:42" ht="12.75" customHeight="1" x14ac:dyDescent="0.15">
      <c r="A46" s="1"/>
      <c r="B46" s="13" t="s">
        <v>46</v>
      </c>
      <c r="C46" s="14">
        <v>250000</v>
      </c>
      <c r="D46" s="1"/>
      <c r="E46" s="14">
        <v>15000</v>
      </c>
      <c r="F46" s="27" t="s">
        <v>47</v>
      </c>
      <c r="G46" s="28"/>
      <c r="H46" s="28">
        <f t="shared" si="28"/>
        <v>15000</v>
      </c>
      <c r="I46" s="28">
        <f t="shared" si="28"/>
        <v>15000</v>
      </c>
      <c r="J46" s="28">
        <f t="shared" si="28"/>
        <v>15000</v>
      </c>
      <c r="K46" s="28">
        <f t="shared" si="28"/>
        <v>15000</v>
      </c>
      <c r="L46" s="28">
        <f t="shared" si="28"/>
        <v>15000</v>
      </c>
      <c r="M46" s="28">
        <f t="shared" si="28"/>
        <v>15000</v>
      </c>
      <c r="N46" s="28">
        <f t="shared" si="28"/>
        <v>15000</v>
      </c>
      <c r="O46" s="28">
        <f t="shared" si="28"/>
        <v>15000</v>
      </c>
      <c r="P46" s="28">
        <f t="shared" si="28"/>
        <v>15000</v>
      </c>
      <c r="Q46" s="28">
        <f t="shared" si="28"/>
        <v>15000</v>
      </c>
      <c r="R46" s="28">
        <f t="shared" si="28"/>
        <v>15000</v>
      </c>
      <c r="S46" s="28">
        <f t="shared" si="28"/>
        <v>15000</v>
      </c>
      <c r="T46" s="28">
        <f t="shared" si="28"/>
        <v>15000</v>
      </c>
      <c r="U46" s="28">
        <f t="shared" si="28"/>
        <v>15000</v>
      </c>
      <c r="V46" s="28">
        <f t="shared" si="28"/>
        <v>15000</v>
      </c>
      <c r="W46" s="28">
        <f t="shared" si="28"/>
        <v>15000</v>
      </c>
      <c r="X46" s="28">
        <f t="shared" si="28"/>
        <v>15000</v>
      </c>
      <c r="Y46" s="28">
        <f t="shared" si="28"/>
        <v>15000</v>
      </c>
      <c r="Z46" s="28">
        <f t="shared" si="28"/>
        <v>15000</v>
      </c>
      <c r="AA46" s="28">
        <f t="shared" si="28"/>
        <v>15000</v>
      </c>
      <c r="AB46" s="28">
        <f t="shared" si="28"/>
        <v>15000</v>
      </c>
      <c r="AC46" s="28">
        <f t="shared" si="28"/>
        <v>15000</v>
      </c>
      <c r="AD46" s="28">
        <f t="shared" si="28"/>
        <v>15000</v>
      </c>
      <c r="AE46" s="28">
        <f t="shared" si="28"/>
        <v>15000</v>
      </c>
      <c r="AF46" s="28">
        <f t="shared" si="28"/>
        <v>15000</v>
      </c>
      <c r="AG46" s="28">
        <f t="shared" si="28"/>
        <v>15000</v>
      </c>
      <c r="AH46" s="28">
        <f t="shared" si="28"/>
        <v>15000</v>
      </c>
      <c r="AI46" s="28">
        <f t="shared" si="28"/>
        <v>15000</v>
      </c>
      <c r="AJ46" s="28">
        <f t="shared" si="28"/>
        <v>15000</v>
      </c>
      <c r="AK46" s="28">
        <f t="shared" si="28"/>
        <v>15000</v>
      </c>
      <c r="AL46" s="28">
        <f t="shared" si="28"/>
        <v>15000</v>
      </c>
      <c r="AM46" s="28">
        <f t="shared" si="28"/>
        <v>15000</v>
      </c>
      <c r="AN46" s="28">
        <f t="shared" si="28"/>
        <v>15000</v>
      </c>
      <c r="AO46" s="28">
        <f t="shared" si="28"/>
        <v>15000</v>
      </c>
      <c r="AP46" s="28">
        <f t="shared" si="28"/>
        <v>15000</v>
      </c>
    </row>
    <row r="47" spans="1:42" ht="12.75" customHeight="1" x14ac:dyDescent="0.15">
      <c r="A47" s="1"/>
      <c r="B47" s="13" t="s">
        <v>48</v>
      </c>
      <c r="C47" s="14">
        <v>440000</v>
      </c>
      <c r="D47" s="1"/>
      <c r="E47" s="14">
        <v>148800</v>
      </c>
      <c r="F47" s="27" t="s">
        <v>49</v>
      </c>
      <c r="G47" s="28"/>
      <c r="H47" s="28">
        <f t="shared" si="28"/>
        <v>148800</v>
      </c>
      <c r="I47" s="28">
        <f t="shared" si="28"/>
        <v>148800</v>
      </c>
      <c r="J47" s="28">
        <f t="shared" si="28"/>
        <v>148800</v>
      </c>
      <c r="K47" s="28">
        <f t="shared" si="28"/>
        <v>148800</v>
      </c>
      <c r="L47" s="28">
        <f t="shared" si="28"/>
        <v>148800</v>
      </c>
      <c r="M47" s="28">
        <f t="shared" si="28"/>
        <v>148800</v>
      </c>
      <c r="N47" s="28">
        <f t="shared" si="28"/>
        <v>148800</v>
      </c>
      <c r="O47" s="28">
        <f t="shared" si="28"/>
        <v>148800</v>
      </c>
      <c r="P47" s="28">
        <f t="shared" si="28"/>
        <v>148800</v>
      </c>
      <c r="Q47" s="28">
        <f t="shared" si="28"/>
        <v>148800</v>
      </c>
      <c r="R47" s="28">
        <f t="shared" si="28"/>
        <v>148800</v>
      </c>
      <c r="S47" s="28">
        <f t="shared" si="28"/>
        <v>148800</v>
      </c>
      <c r="T47" s="28">
        <f t="shared" si="28"/>
        <v>148800</v>
      </c>
      <c r="U47" s="28">
        <f t="shared" si="28"/>
        <v>148800</v>
      </c>
      <c r="V47" s="28">
        <f t="shared" si="28"/>
        <v>148800</v>
      </c>
      <c r="W47" s="28">
        <f t="shared" si="28"/>
        <v>148800</v>
      </c>
      <c r="X47" s="28">
        <f t="shared" si="28"/>
        <v>148800</v>
      </c>
      <c r="Y47" s="28">
        <f t="shared" si="28"/>
        <v>148800</v>
      </c>
      <c r="Z47" s="28">
        <f t="shared" si="28"/>
        <v>148800</v>
      </c>
      <c r="AA47" s="28">
        <f t="shared" si="28"/>
        <v>148800</v>
      </c>
      <c r="AB47" s="28">
        <f t="shared" si="28"/>
        <v>148800</v>
      </c>
      <c r="AC47" s="28">
        <f t="shared" si="28"/>
        <v>148800</v>
      </c>
      <c r="AD47" s="28">
        <f t="shared" si="28"/>
        <v>148800</v>
      </c>
      <c r="AE47" s="28">
        <f t="shared" si="28"/>
        <v>148800</v>
      </c>
      <c r="AF47" s="28">
        <f t="shared" si="28"/>
        <v>148800</v>
      </c>
      <c r="AG47" s="28">
        <f t="shared" si="28"/>
        <v>148800</v>
      </c>
      <c r="AH47" s="28">
        <f t="shared" si="28"/>
        <v>148800</v>
      </c>
      <c r="AI47" s="28">
        <f t="shared" si="28"/>
        <v>148800</v>
      </c>
      <c r="AJ47" s="28">
        <f t="shared" si="28"/>
        <v>148800</v>
      </c>
      <c r="AK47" s="28">
        <f t="shared" si="28"/>
        <v>148800</v>
      </c>
      <c r="AL47" s="28">
        <f t="shared" si="28"/>
        <v>148800</v>
      </c>
      <c r="AM47" s="28">
        <f t="shared" si="28"/>
        <v>148800</v>
      </c>
      <c r="AN47" s="28">
        <f t="shared" si="28"/>
        <v>148800</v>
      </c>
      <c r="AO47" s="28">
        <f t="shared" si="28"/>
        <v>148800</v>
      </c>
      <c r="AP47" s="28">
        <f t="shared" si="28"/>
        <v>148800</v>
      </c>
    </row>
    <row r="48" spans="1:42" ht="12.75" customHeight="1" x14ac:dyDescent="0.15">
      <c r="A48" s="1"/>
      <c r="B48" s="13" t="s">
        <v>50</v>
      </c>
      <c r="C48" s="14">
        <v>500000</v>
      </c>
      <c r="D48" s="1"/>
      <c r="E48" s="14">
        <v>66960</v>
      </c>
      <c r="F48" s="27" t="s">
        <v>51</v>
      </c>
      <c r="G48" s="28"/>
      <c r="H48" s="28">
        <f t="shared" si="28"/>
        <v>66960</v>
      </c>
      <c r="I48" s="28">
        <f t="shared" si="28"/>
        <v>66960</v>
      </c>
      <c r="J48" s="28">
        <f t="shared" si="28"/>
        <v>66960</v>
      </c>
      <c r="K48" s="28">
        <f t="shared" si="28"/>
        <v>66960</v>
      </c>
      <c r="L48" s="28">
        <f t="shared" si="28"/>
        <v>66960</v>
      </c>
      <c r="M48" s="28">
        <f t="shared" si="28"/>
        <v>66960</v>
      </c>
      <c r="N48" s="28">
        <f t="shared" si="28"/>
        <v>66960</v>
      </c>
      <c r="O48" s="28">
        <f t="shared" si="28"/>
        <v>66960</v>
      </c>
      <c r="P48" s="28">
        <f t="shared" si="28"/>
        <v>66960</v>
      </c>
      <c r="Q48" s="28">
        <f t="shared" si="28"/>
        <v>66960</v>
      </c>
      <c r="R48" s="28">
        <f t="shared" si="28"/>
        <v>66960</v>
      </c>
      <c r="S48" s="28">
        <f t="shared" si="28"/>
        <v>66960</v>
      </c>
      <c r="T48" s="28">
        <f t="shared" si="28"/>
        <v>66960</v>
      </c>
      <c r="U48" s="28">
        <f t="shared" si="28"/>
        <v>66960</v>
      </c>
      <c r="V48" s="28">
        <f t="shared" si="28"/>
        <v>66960</v>
      </c>
      <c r="W48" s="28">
        <f t="shared" si="28"/>
        <v>66960</v>
      </c>
      <c r="X48" s="28">
        <f t="shared" si="28"/>
        <v>66960</v>
      </c>
      <c r="Y48" s="28">
        <f t="shared" si="28"/>
        <v>66960</v>
      </c>
      <c r="Z48" s="28">
        <f t="shared" si="28"/>
        <v>66960</v>
      </c>
      <c r="AA48" s="28">
        <f t="shared" si="28"/>
        <v>66960</v>
      </c>
      <c r="AB48" s="28">
        <f t="shared" si="28"/>
        <v>66960</v>
      </c>
      <c r="AC48" s="28">
        <f t="shared" si="28"/>
        <v>66960</v>
      </c>
      <c r="AD48" s="28">
        <f t="shared" si="28"/>
        <v>66960</v>
      </c>
      <c r="AE48" s="28">
        <f t="shared" si="28"/>
        <v>66960</v>
      </c>
      <c r="AF48" s="28">
        <f t="shared" si="28"/>
        <v>66960</v>
      </c>
      <c r="AG48" s="28">
        <f t="shared" si="28"/>
        <v>66960</v>
      </c>
      <c r="AH48" s="28">
        <f t="shared" si="28"/>
        <v>66960</v>
      </c>
      <c r="AI48" s="28">
        <f t="shared" si="28"/>
        <v>66960</v>
      </c>
      <c r="AJ48" s="28">
        <f t="shared" si="28"/>
        <v>66960</v>
      </c>
      <c r="AK48" s="28">
        <f t="shared" si="28"/>
        <v>66960</v>
      </c>
      <c r="AL48" s="28">
        <f t="shared" si="28"/>
        <v>66960</v>
      </c>
      <c r="AM48" s="28">
        <f t="shared" si="28"/>
        <v>66960</v>
      </c>
      <c r="AN48" s="28">
        <f t="shared" si="28"/>
        <v>66960</v>
      </c>
      <c r="AO48" s="28">
        <f t="shared" si="28"/>
        <v>66960</v>
      </c>
      <c r="AP48" s="28">
        <f t="shared" si="28"/>
        <v>66960</v>
      </c>
    </row>
    <row r="49" spans="1:42" ht="12.75" customHeight="1" x14ac:dyDescent="0.15">
      <c r="A49" s="1"/>
      <c r="B49" s="13" t="s">
        <v>52</v>
      </c>
      <c r="C49" s="14">
        <v>1000000</v>
      </c>
      <c r="D49" s="1"/>
      <c r="E49" s="14">
        <v>36000</v>
      </c>
      <c r="F49" s="27" t="s">
        <v>53</v>
      </c>
      <c r="G49" s="28"/>
      <c r="H49" s="28">
        <f t="shared" si="28"/>
        <v>36000</v>
      </c>
      <c r="I49" s="28">
        <f t="shared" si="28"/>
        <v>36000</v>
      </c>
      <c r="J49" s="28">
        <f t="shared" si="28"/>
        <v>36000</v>
      </c>
      <c r="K49" s="28">
        <f t="shared" si="28"/>
        <v>36000</v>
      </c>
      <c r="L49" s="28">
        <f t="shared" si="28"/>
        <v>36000</v>
      </c>
      <c r="M49" s="28">
        <f t="shared" si="28"/>
        <v>36000</v>
      </c>
      <c r="N49" s="28">
        <f t="shared" si="28"/>
        <v>36000</v>
      </c>
      <c r="O49" s="28">
        <f t="shared" si="28"/>
        <v>36000</v>
      </c>
      <c r="P49" s="28">
        <f t="shared" si="28"/>
        <v>36000</v>
      </c>
      <c r="Q49" s="28">
        <f t="shared" si="28"/>
        <v>36000</v>
      </c>
      <c r="R49" s="28">
        <f t="shared" si="28"/>
        <v>36000</v>
      </c>
      <c r="S49" s="28">
        <f t="shared" si="28"/>
        <v>36000</v>
      </c>
      <c r="T49" s="28">
        <f t="shared" si="28"/>
        <v>36000</v>
      </c>
      <c r="U49" s="28">
        <f t="shared" si="28"/>
        <v>36000</v>
      </c>
      <c r="V49" s="28">
        <f t="shared" si="28"/>
        <v>36000</v>
      </c>
      <c r="W49" s="28">
        <f t="shared" si="28"/>
        <v>36000</v>
      </c>
      <c r="X49" s="28">
        <f t="shared" si="28"/>
        <v>36000</v>
      </c>
      <c r="Y49" s="28">
        <f t="shared" si="28"/>
        <v>36000</v>
      </c>
      <c r="Z49" s="28">
        <f t="shared" si="28"/>
        <v>36000</v>
      </c>
      <c r="AA49" s="28">
        <f t="shared" si="28"/>
        <v>36000</v>
      </c>
      <c r="AB49" s="28">
        <f t="shared" si="28"/>
        <v>36000</v>
      </c>
      <c r="AC49" s="28">
        <f t="shared" si="28"/>
        <v>36000</v>
      </c>
      <c r="AD49" s="28">
        <f t="shared" si="28"/>
        <v>36000</v>
      </c>
      <c r="AE49" s="28">
        <f t="shared" si="28"/>
        <v>36000</v>
      </c>
      <c r="AF49" s="28">
        <f t="shared" si="28"/>
        <v>36000</v>
      </c>
      <c r="AG49" s="28">
        <f t="shared" si="28"/>
        <v>36000</v>
      </c>
      <c r="AH49" s="28">
        <f t="shared" si="28"/>
        <v>36000</v>
      </c>
      <c r="AI49" s="28">
        <f t="shared" si="28"/>
        <v>36000</v>
      </c>
      <c r="AJ49" s="28">
        <f t="shared" si="28"/>
        <v>36000</v>
      </c>
      <c r="AK49" s="28">
        <f t="shared" si="28"/>
        <v>36000</v>
      </c>
      <c r="AL49" s="28">
        <f t="shared" si="28"/>
        <v>36000</v>
      </c>
      <c r="AM49" s="28">
        <f t="shared" si="28"/>
        <v>36000</v>
      </c>
      <c r="AN49" s="28">
        <f t="shared" si="28"/>
        <v>36000</v>
      </c>
      <c r="AO49" s="28">
        <f t="shared" si="28"/>
        <v>36000</v>
      </c>
      <c r="AP49" s="28">
        <f t="shared" si="28"/>
        <v>36000</v>
      </c>
    </row>
    <row r="50" spans="1:42" ht="12.75" customHeight="1" x14ac:dyDescent="0.15">
      <c r="A50" s="1"/>
      <c r="B50" s="13" t="s">
        <v>54</v>
      </c>
      <c r="C50" s="14">
        <v>300000</v>
      </c>
      <c r="D50" s="1"/>
      <c r="E50" s="14">
        <f>21875/2</f>
        <v>10937.5</v>
      </c>
      <c r="F50" s="39" t="s">
        <v>55</v>
      </c>
      <c r="G50" s="28"/>
      <c r="H50" s="28">
        <f t="shared" si="28"/>
        <v>10937.5</v>
      </c>
      <c r="I50" s="28">
        <f t="shared" si="28"/>
        <v>10937.5</v>
      </c>
      <c r="J50" s="28">
        <f t="shared" si="28"/>
        <v>10937.5</v>
      </c>
      <c r="K50" s="28">
        <f t="shared" si="28"/>
        <v>10937.5</v>
      </c>
      <c r="L50" s="28">
        <f t="shared" si="28"/>
        <v>10937.5</v>
      </c>
      <c r="M50" s="28">
        <f t="shared" si="28"/>
        <v>10937.5</v>
      </c>
      <c r="N50" s="28">
        <f t="shared" si="28"/>
        <v>10937.5</v>
      </c>
      <c r="O50" s="28">
        <f t="shared" si="28"/>
        <v>10937.5</v>
      </c>
      <c r="P50" s="28">
        <f t="shared" si="28"/>
        <v>10937.5</v>
      </c>
      <c r="Q50" s="28">
        <f t="shared" si="28"/>
        <v>10937.5</v>
      </c>
      <c r="R50" s="28">
        <f t="shared" si="28"/>
        <v>10937.5</v>
      </c>
      <c r="S50" s="28">
        <f t="shared" si="28"/>
        <v>10937.5</v>
      </c>
      <c r="T50" s="28">
        <f t="shared" si="28"/>
        <v>10937.5</v>
      </c>
      <c r="U50" s="28">
        <f t="shared" si="28"/>
        <v>10937.5</v>
      </c>
      <c r="V50" s="28">
        <f t="shared" si="28"/>
        <v>10937.5</v>
      </c>
      <c r="W50" s="28">
        <f t="shared" si="28"/>
        <v>10937.5</v>
      </c>
      <c r="X50" s="28">
        <f t="shared" si="28"/>
        <v>10937.5</v>
      </c>
      <c r="Y50" s="28">
        <f t="shared" si="28"/>
        <v>10937.5</v>
      </c>
      <c r="Z50" s="28">
        <f t="shared" si="28"/>
        <v>10937.5</v>
      </c>
      <c r="AA50" s="28">
        <f t="shared" si="28"/>
        <v>10937.5</v>
      </c>
      <c r="AB50" s="28">
        <f t="shared" si="28"/>
        <v>10937.5</v>
      </c>
      <c r="AC50" s="28">
        <f t="shared" si="28"/>
        <v>10937.5</v>
      </c>
      <c r="AD50" s="28">
        <f t="shared" si="28"/>
        <v>10937.5</v>
      </c>
      <c r="AE50" s="28">
        <f t="shared" si="28"/>
        <v>10937.5</v>
      </c>
      <c r="AF50" s="28">
        <f t="shared" si="28"/>
        <v>10937.5</v>
      </c>
      <c r="AG50" s="28">
        <f t="shared" si="28"/>
        <v>10937.5</v>
      </c>
      <c r="AH50" s="28">
        <f t="shared" si="28"/>
        <v>10937.5</v>
      </c>
      <c r="AI50" s="28">
        <f t="shared" si="28"/>
        <v>10937.5</v>
      </c>
      <c r="AJ50" s="28">
        <f t="shared" si="28"/>
        <v>10937.5</v>
      </c>
      <c r="AK50" s="28">
        <f t="shared" si="28"/>
        <v>10937.5</v>
      </c>
      <c r="AL50" s="28">
        <f t="shared" si="28"/>
        <v>10937.5</v>
      </c>
      <c r="AM50" s="28">
        <f t="shared" si="28"/>
        <v>10937.5</v>
      </c>
      <c r="AN50" s="28">
        <f t="shared" si="28"/>
        <v>10937.5</v>
      </c>
      <c r="AO50" s="28">
        <f t="shared" si="28"/>
        <v>10937.5</v>
      </c>
      <c r="AP50" s="28">
        <f t="shared" si="28"/>
        <v>10937.5</v>
      </c>
    </row>
    <row r="51" spans="1:42" ht="12.75" customHeight="1" x14ac:dyDescent="0.15">
      <c r="A51" s="1"/>
      <c r="B51" s="13" t="s">
        <v>56</v>
      </c>
      <c r="C51" s="14">
        <f>SUM(H31:J31)</f>
        <v>195701.69458124999</v>
      </c>
      <c r="D51" s="1"/>
      <c r="E51" s="14">
        <v>2000</v>
      </c>
      <c r="F51" s="39" t="s">
        <v>57</v>
      </c>
      <c r="G51" s="28"/>
      <c r="H51" s="28">
        <f t="shared" si="28"/>
        <v>2000</v>
      </c>
      <c r="I51" s="28">
        <f t="shared" si="28"/>
        <v>2000</v>
      </c>
      <c r="J51" s="28">
        <f t="shared" si="28"/>
        <v>2000</v>
      </c>
      <c r="K51" s="28">
        <f t="shared" si="28"/>
        <v>2000</v>
      </c>
      <c r="L51" s="28">
        <f t="shared" si="28"/>
        <v>2000</v>
      </c>
      <c r="M51" s="28">
        <f t="shared" si="28"/>
        <v>2000</v>
      </c>
      <c r="N51" s="28">
        <f t="shared" si="28"/>
        <v>2000</v>
      </c>
      <c r="O51" s="28">
        <f t="shared" si="28"/>
        <v>2000</v>
      </c>
      <c r="P51" s="28">
        <f t="shared" si="28"/>
        <v>2000</v>
      </c>
      <c r="Q51" s="28">
        <f t="shared" si="28"/>
        <v>2000</v>
      </c>
      <c r="R51" s="28">
        <f t="shared" ref="R51:AP51" si="29">$E51</f>
        <v>2000</v>
      </c>
      <c r="S51" s="28">
        <f t="shared" si="29"/>
        <v>2000</v>
      </c>
      <c r="T51" s="28">
        <f t="shared" si="29"/>
        <v>2000</v>
      </c>
      <c r="U51" s="28">
        <f t="shared" si="29"/>
        <v>2000</v>
      </c>
      <c r="V51" s="28">
        <f t="shared" si="29"/>
        <v>2000</v>
      </c>
      <c r="W51" s="28">
        <f t="shared" si="29"/>
        <v>2000</v>
      </c>
      <c r="X51" s="28">
        <f t="shared" si="29"/>
        <v>2000</v>
      </c>
      <c r="Y51" s="28">
        <f t="shared" si="29"/>
        <v>2000</v>
      </c>
      <c r="Z51" s="28">
        <f t="shared" si="29"/>
        <v>2000</v>
      </c>
      <c r="AA51" s="28">
        <f t="shared" si="29"/>
        <v>2000</v>
      </c>
      <c r="AB51" s="28">
        <f t="shared" si="29"/>
        <v>2000</v>
      </c>
      <c r="AC51" s="28">
        <f t="shared" si="29"/>
        <v>2000</v>
      </c>
      <c r="AD51" s="28">
        <f t="shared" si="29"/>
        <v>2000</v>
      </c>
      <c r="AE51" s="28">
        <f t="shared" si="29"/>
        <v>2000</v>
      </c>
      <c r="AF51" s="28">
        <f t="shared" si="29"/>
        <v>2000</v>
      </c>
      <c r="AG51" s="28">
        <f t="shared" si="29"/>
        <v>2000</v>
      </c>
      <c r="AH51" s="28">
        <f t="shared" si="29"/>
        <v>2000</v>
      </c>
      <c r="AI51" s="28">
        <f t="shared" si="29"/>
        <v>2000</v>
      </c>
      <c r="AJ51" s="28">
        <f t="shared" si="29"/>
        <v>2000</v>
      </c>
      <c r="AK51" s="28">
        <f t="shared" si="29"/>
        <v>2000</v>
      </c>
      <c r="AL51" s="28">
        <f t="shared" si="29"/>
        <v>2000</v>
      </c>
      <c r="AM51" s="28">
        <f t="shared" si="29"/>
        <v>2000</v>
      </c>
      <c r="AN51" s="28">
        <f t="shared" si="29"/>
        <v>2000</v>
      </c>
      <c r="AO51" s="28">
        <f t="shared" si="29"/>
        <v>2000</v>
      </c>
      <c r="AP51" s="28">
        <f t="shared" si="29"/>
        <v>2000</v>
      </c>
    </row>
    <row r="52" spans="1:42" ht="12.75" customHeight="1" x14ac:dyDescent="0.15">
      <c r="A52" s="1"/>
      <c r="B52" s="13" t="s">
        <v>58</v>
      </c>
      <c r="C52" s="14">
        <f>E44*3</f>
        <v>405000</v>
      </c>
      <c r="D52" s="1"/>
      <c r="E52" s="14">
        <v>3000</v>
      </c>
      <c r="F52" s="39" t="s">
        <v>59</v>
      </c>
      <c r="G52" s="28"/>
      <c r="H52" s="28">
        <f t="shared" ref="H52:AP53" si="30">$E52</f>
        <v>3000</v>
      </c>
      <c r="I52" s="28">
        <f t="shared" si="30"/>
        <v>3000</v>
      </c>
      <c r="J52" s="28">
        <f t="shared" si="30"/>
        <v>3000</v>
      </c>
      <c r="K52" s="28">
        <f t="shared" si="30"/>
        <v>3000</v>
      </c>
      <c r="L52" s="28">
        <f t="shared" si="30"/>
        <v>3000</v>
      </c>
      <c r="M52" s="28">
        <f t="shared" si="30"/>
        <v>3000</v>
      </c>
      <c r="N52" s="28">
        <f t="shared" si="30"/>
        <v>3000</v>
      </c>
      <c r="O52" s="28">
        <f t="shared" si="30"/>
        <v>3000</v>
      </c>
      <c r="P52" s="28">
        <f t="shared" si="30"/>
        <v>3000</v>
      </c>
      <c r="Q52" s="28">
        <f t="shared" si="30"/>
        <v>3000</v>
      </c>
      <c r="R52" s="28">
        <f t="shared" si="30"/>
        <v>3000</v>
      </c>
      <c r="S52" s="28">
        <f t="shared" si="30"/>
        <v>3000</v>
      </c>
      <c r="T52" s="28">
        <f t="shared" si="30"/>
        <v>3000</v>
      </c>
      <c r="U52" s="28">
        <f t="shared" si="30"/>
        <v>3000</v>
      </c>
      <c r="V52" s="28">
        <f t="shared" si="30"/>
        <v>3000</v>
      </c>
      <c r="W52" s="28">
        <f t="shared" si="30"/>
        <v>3000</v>
      </c>
      <c r="X52" s="28">
        <f t="shared" si="30"/>
        <v>3000</v>
      </c>
      <c r="Y52" s="28">
        <f t="shared" si="30"/>
        <v>3000</v>
      </c>
      <c r="Z52" s="28">
        <f t="shared" si="30"/>
        <v>3000</v>
      </c>
      <c r="AA52" s="28">
        <f t="shared" si="30"/>
        <v>3000</v>
      </c>
      <c r="AB52" s="28">
        <f t="shared" si="30"/>
        <v>3000</v>
      </c>
      <c r="AC52" s="28">
        <f t="shared" si="30"/>
        <v>3000</v>
      </c>
      <c r="AD52" s="28">
        <f t="shared" si="30"/>
        <v>3000</v>
      </c>
      <c r="AE52" s="28">
        <f t="shared" si="30"/>
        <v>3000</v>
      </c>
      <c r="AF52" s="28">
        <f t="shared" si="30"/>
        <v>3000</v>
      </c>
      <c r="AG52" s="28">
        <f t="shared" si="30"/>
        <v>3000</v>
      </c>
      <c r="AH52" s="28">
        <f t="shared" si="30"/>
        <v>3000</v>
      </c>
      <c r="AI52" s="28">
        <f t="shared" si="30"/>
        <v>3000</v>
      </c>
      <c r="AJ52" s="28">
        <f t="shared" si="30"/>
        <v>3000</v>
      </c>
      <c r="AK52" s="28">
        <f t="shared" si="30"/>
        <v>3000</v>
      </c>
      <c r="AL52" s="28">
        <f t="shared" si="30"/>
        <v>3000</v>
      </c>
      <c r="AM52" s="28">
        <f t="shared" si="30"/>
        <v>3000</v>
      </c>
      <c r="AN52" s="28">
        <f t="shared" si="30"/>
        <v>3000</v>
      </c>
      <c r="AO52" s="28">
        <f t="shared" si="30"/>
        <v>3000</v>
      </c>
      <c r="AP52" s="28">
        <f t="shared" si="30"/>
        <v>3000</v>
      </c>
    </row>
    <row r="53" spans="1:42" ht="12.75" customHeight="1" x14ac:dyDescent="0.15">
      <c r="A53" s="15"/>
      <c r="B53" s="13" t="s">
        <v>60</v>
      </c>
      <c r="C53" s="14">
        <v>500000</v>
      </c>
      <c r="D53" s="15"/>
      <c r="E53" s="14">
        <v>0</v>
      </c>
      <c r="F53" s="27" t="s">
        <v>61</v>
      </c>
      <c r="G53" s="28"/>
      <c r="H53" s="28">
        <f t="shared" si="30"/>
        <v>0</v>
      </c>
      <c r="I53" s="28">
        <f t="shared" si="30"/>
        <v>0</v>
      </c>
      <c r="J53" s="28">
        <f t="shared" si="30"/>
        <v>0</v>
      </c>
      <c r="K53" s="28">
        <f t="shared" si="30"/>
        <v>0</v>
      </c>
      <c r="L53" s="28">
        <f t="shared" si="30"/>
        <v>0</v>
      </c>
      <c r="M53" s="28">
        <f t="shared" si="30"/>
        <v>0</v>
      </c>
      <c r="N53" s="28">
        <f t="shared" si="30"/>
        <v>0</v>
      </c>
      <c r="O53" s="28">
        <f t="shared" si="30"/>
        <v>0</v>
      </c>
      <c r="P53" s="28">
        <f t="shared" si="30"/>
        <v>0</v>
      </c>
      <c r="Q53" s="28">
        <f t="shared" si="30"/>
        <v>0</v>
      </c>
      <c r="R53" s="28">
        <f t="shared" si="30"/>
        <v>0</v>
      </c>
      <c r="S53" s="28">
        <f t="shared" si="30"/>
        <v>0</v>
      </c>
      <c r="T53" s="28">
        <f t="shared" si="30"/>
        <v>0</v>
      </c>
      <c r="U53" s="28">
        <f t="shared" si="30"/>
        <v>0</v>
      </c>
      <c r="V53" s="28">
        <f t="shared" si="30"/>
        <v>0</v>
      </c>
      <c r="W53" s="28">
        <f t="shared" si="30"/>
        <v>0</v>
      </c>
      <c r="X53" s="28">
        <f t="shared" si="30"/>
        <v>0</v>
      </c>
      <c r="Y53" s="28">
        <f t="shared" si="30"/>
        <v>0</v>
      </c>
      <c r="Z53" s="28">
        <f t="shared" si="30"/>
        <v>0</v>
      </c>
      <c r="AA53" s="28">
        <f t="shared" si="30"/>
        <v>0</v>
      </c>
      <c r="AB53" s="28">
        <f t="shared" si="30"/>
        <v>0</v>
      </c>
      <c r="AC53" s="28">
        <f t="shared" si="30"/>
        <v>0</v>
      </c>
      <c r="AD53" s="28">
        <f t="shared" si="30"/>
        <v>0</v>
      </c>
      <c r="AE53" s="28">
        <f t="shared" si="30"/>
        <v>0</v>
      </c>
      <c r="AF53" s="28">
        <f t="shared" si="30"/>
        <v>0</v>
      </c>
      <c r="AG53" s="28">
        <f t="shared" si="30"/>
        <v>0</v>
      </c>
      <c r="AH53" s="28">
        <f t="shared" si="30"/>
        <v>0</v>
      </c>
      <c r="AI53" s="28">
        <f t="shared" si="30"/>
        <v>0</v>
      </c>
      <c r="AJ53" s="28">
        <f t="shared" si="30"/>
        <v>0</v>
      </c>
      <c r="AK53" s="28">
        <f t="shared" si="30"/>
        <v>0</v>
      </c>
      <c r="AL53" s="28">
        <f t="shared" si="30"/>
        <v>0</v>
      </c>
      <c r="AM53" s="28">
        <f t="shared" si="30"/>
        <v>0</v>
      </c>
      <c r="AN53" s="28">
        <f t="shared" si="30"/>
        <v>0</v>
      </c>
      <c r="AO53" s="28">
        <f t="shared" si="30"/>
        <v>0</v>
      </c>
      <c r="AP53" s="28">
        <f t="shared" si="30"/>
        <v>0</v>
      </c>
    </row>
    <row r="54" spans="1:42" ht="12.75" customHeight="1" x14ac:dyDescent="0.15">
      <c r="A54" s="15"/>
      <c r="B54" s="13" t="s">
        <v>59</v>
      </c>
      <c r="C54" s="14">
        <v>300000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</row>
    <row r="55" spans="1:42" ht="12.75" customHeight="1" x14ac:dyDescent="0.15">
      <c r="A55" s="1"/>
      <c r="B55" s="1"/>
      <c r="C55" s="2"/>
      <c r="D55" s="1"/>
      <c r="E55" s="15"/>
      <c r="F55" s="24" t="s">
        <v>62</v>
      </c>
      <c r="G55" s="24">
        <f t="shared" ref="G55:AP55" si="31">G40-G43</f>
        <v>0</v>
      </c>
      <c r="H55" s="24">
        <f t="shared" si="31"/>
        <v>5858</v>
      </c>
      <c r="I55" s="24">
        <f t="shared" si="31"/>
        <v>30832.775000000023</v>
      </c>
      <c r="J55" s="24">
        <f t="shared" si="31"/>
        <v>53759.288749999949</v>
      </c>
      <c r="K55" s="24">
        <f t="shared" si="31"/>
        <v>77832.128187499999</v>
      </c>
      <c r="L55" s="24">
        <f t="shared" si="31"/>
        <v>103108.60959687491</v>
      </c>
      <c r="M55" s="24">
        <f t="shared" si="31"/>
        <v>129648.91507671878</v>
      </c>
      <c r="N55" s="24">
        <f t="shared" si="31"/>
        <v>157516.23583055474</v>
      </c>
      <c r="O55" s="24">
        <f t="shared" si="31"/>
        <v>186776.92262208252</v>
      </c>
      <c r="P55" s="24">
        <f t="shared" si="31"/>
        <v>217500.64375318657</v>
      </c>
      <c r="Q55" s="24">
        <f t="shared" si="31"/>
        <v>249760.55094084609</v>
      </c>
      <c r="R55" s="24">
        <f t="shared" si="31"/>
        <v>283633.45348788856</v>
      </c>
      <c r="S55" s="24">
        <f t="shared" si="31"/>
        <v>291670.61097152694</v>
      </c>
      <c r="T55" s="24">
        <f t="shared" si="31"/>
        <v>299833.80497099843</v>
      </c>
      <c r="U55" s="24">
        <f t="shared" si="31"/>
        <v>308125.34509019158</v>
      </c>
      <c r="V55" s="24">
        <f t="shared" si="31"/>
        <v>316547.58569350734</v>
      </c>
      <c r="W55" s="24">
        <f t="shared" si="31"/>
        <v>325102.92679015349</v>
      </c>
      <c r="X55" s="24">
        <f t="shared" si="31"/>
        <v>333793.81493603042</v>
      </c>
      <c r="Y55" s="24">
        <f t="shared" si="31"/>
        <v>342622.74415356317</v>
      </c>
      <c r="Z55" s="24">
        <f t="shared" si="31"/>
        <v>351592.25686983531</v>
      </c>
      <c r="AA55" s="24">
        <f t="shared" si="31"/>
        <v>360704.94487339188</v>
      </c>
      <c r="AB55" s="24">
        <f t="shared" si="31"/>
        <v>369963.45029008086</v>
      </c>
      <c r="AC55" s="24">
        <f t="shared" si="31"/>
        <v>379370.46657831781</v>
      </c>
      <c r="AD55" s="24">
        <f t="shared" si="31"/>
        <v>386641.9894632221</v>
      </c>
      <c r="AE55" s="24">
        <f t="shared" si="31"/>
        <v>394050.07296937797</v>
      </c>
      <c r="AF55" s="24">
        <f t="shared" si="31"/>
        <v>401597.43943937367</v>
      </c>
      <c r="AG55" s="24">
        <f t="shared" si="31"/>
        <v>409286.86565377994</v>
      </c>
      <c r="AH55" s="24">
        <f t="shared" si="31"/>
        <v>417121.1839199001</v>
      </c>
      <c r="AI55" s="24">
        <f t="shared" si="31"/>
        <v>425103.28318229562</v>
      </c>
      <c r="AJ55" s="24">
        <f t="shared" si="31"/>
        <v>433236.11015552306</v>
      </c>
      <c r="AK55" s="24">
        <f t="shared" si="31"/>
        <v>441522.67047952465</v>
      </c>
      <c r="AL55" s="24">
        <f t="shared" si="31"/>
        <v>449966.02989812696</v>
      </c>
      <c r="AM55" s="24">
        <f t="shared" si="31"/>
        <v>458569.31546111067</v>
      </c>
      <c r="AN55" s="24">
        <f t="shared" si="31"/>
        <v>467335.716750319</v>
      </c>
      <c r="AO55" s="24">
        <f t="shared" si="31"/>
        <v>476268.48713029129</v>
      </c>
      <c r="AP55" s="24">
        <f t="shared" si="31"/>
        <v>485370.94502390781</v>
      </c>
    </row>
    <row r="56" spans="1:42" ht="12.75" customHeight="1" x14ac:dyDescent="0.15">
      <c r="A56" s="15"/>
      <c r="B56" s="18" t="s">
        <v>63</v>
      </c>
      <c r="C56" s="40">
        <f>SUM(C42:C55)</f>
        <v>6490701.6945812497</v>
      </c>
      <c r="D56" s="15"/>
      <c r="E56" s="4">
        <v>0.06</v>
      </c>
      <c r="F56" s="27" t="s">
        <v>64</v>
      </c>
      <c r="G56" s="28">
        <f t="shared" ref="G56:AP56" si="32">G26*$E$56</f>
        <v>0</v>
      </c>
      <c r="H56" s="28">
        <f t="shared" si="32"/>
        <v>37161.9</v>
      </c>
      <c r="I56" s="28">
        <f t="shared" si="32"/>
        <v>39302.595000000001</v>
      </c>
      <c r="J56" s="28">
        <f t="shared" si="32"/>
        <v>41267.724749999994</v>
      </c>
      <c r="K56" s="28">
        <f t="shared" si="32"/>
        <v>43331.110987499997</v>
      </c>
      <c r="L56" s="28">
        <f t="shared" si="32"/>
        <v>45497.666536874996</v>
      </c>
      <c r="M56" s="28">
        <f t="shared" si="32"/>
        <v>47772.549863718748</v>
      </c>
      <c r="N56" s="28">
        <f t="shared" si="32"/>
        <v>50161.177356904693</v>
      </c>
      <c r="O56" s="28">
        <f t="shared" si="32"/>
        <v>52669.236224749933</v>
      </c>
      <c r="P56" s="28">
        <f t="shared" si="32"/>
        <v>55302.698035987421</v>
      </c>
      <c r="Q56" s="28">
        <f t="shared" si="32"/>
        <v>58067.832937786799</v>
      </c>
      <c r="R56" s="28">
        <f t="shared" si="32"/>
        <v>60971.224584676151</v>
      </c>
      <c r="S56" s="28">
        <f t="shared" si="32"/>
        <v>61660.123797559449</v>
      </c>
      <c r="T56" s="28">
        <f t="shared" si="32"/>
        <v>62359.826140371297</v>
      </c>
      <c r="U56" s="28">
        <f t="shared" si="32"/>
        <v>63070.52957915928</v>
      </c>
      <c r="V56" s="28">
        <f t="shared" si="32"/>
        <v>63792.435916586343</v>
      </c>
      <c r="W56" s="28">
        <f t="shared" si="32"/>
        <v>64525.750867727431</v>
      </c>
      <c r="X56" s="28">
        <f t="shared" si="32"/>
        <v>65270.684137374032</v>
      </c>
      <c r="Y56" s="28">
        <f t="shared" si="32"/>
        <v>66027.449498876842</v>
      </c>
      <c r="Z56" s="28">
        <f t="shared" si="32"/>
        <v>66796.26487455731</v>
      </c>
      <c r="AA56" s="28">
        <f t="shared" si="32"/>
        <v>67577.352417719288</v>
      </c>
      <c r="AB56" s="28">
        <f t="shared" si="32"/>
        <v>68370.938596292632</v>
      </c>
      <c r="AC56" s="28">
        <f t="shared" si="32"/>
        <v>69177.254278141525</v>
      </c>
      <c r="AD56" s="28">
        <f t="shared" si="32"/>
        <v>69800.527668276176</v>
      </c>
      <c r="AE56" s="28">
        <f t="shared" si="32"/>
        <v>70435.506254518114</v>
      </c>
      <c r="AF56" s="28">
        <f t="shared" si="32"/>
        <v>71082.423380517735</v>
      </c>
      <c r="AG56" s="28">
        <f t="shared" si="32"/>
        <v>71741.517056038283</v>
      </c>
      <c r="AH56" s="28">
        <f t="shared" si="32"/>
        <v>72413.030050277142</v>
      </c>
      <c r="AI56" s="28">
        <f t="shared" si="32"/>
        <v>73097.20998705391</v>
      </c>
      <c r="AJ56" s="28">
        <f t="shared" si="32"/>
        <v>73794.309441901976</v>
      </c>
      <c r="AK56" s="28">
        <f t="shared" si="32"/>
        <v>74504.586041102099</v>
      </c>
      <c r="AL56" s="28">
        <f t="shared" si="32"/>
        <v>75228.302562696597</v>
      </c>
      <c r="AM56" s="28">
        <f t="shared" si="32"/>
        <v>75965.727039523772</v>
      </c>
      <c r="AN56" s="28">
        <f t="shared" si="32"/>
        <v>76717.132864313055</v>
      </c>
      <c r="AO56" s="28">
        <f t="shared" si="32"/>
        <v>77482.798896882101</v>
      </c>
      <c r="AP56" s="28">
        <f t="shared" si="32"/>
        <v>78263.009573477815</v>
      </c>
    </row>
    <row r="57" spans="1:42" ht="12.75" customHeight="1" x14ac:dyDescent="0.15">
      <c r="A57" s="15"/>
      <c r="B57" s="15"/>
      <c r="C57" s="15"/>
      <c r="D57" s="1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12.75" customHeight="1" x14ac:dyDescent="0.15">
      <c r="A58" s="1"/>
      <c r="B58" s="1"/>
      <c r="C58" s="2"/>
      <c r="D58" s="1"/>
      <c r="E58" s="1"/>
      <c r="F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spans="1:42" ht="12.75" customHeight="1" x14ac:dyDescent="0.15">
      <c r="A59" s="1"/>
      <c r="B59" s="1"/>
      <c r="C59" s="2"/>
      <c r="D59" s="1"/>
      <c r="E59" s="15"/>
      <c r="F59" s="15" t="s">
        <v>65</v>
      </c>
      <c r="G59" s="26">
        <f>G55-G56</f>
        <v>0</v>
      </c>
      <c r="H59" s="26">
        <f t="shared" ref="H59:AP59" si="33">H55-H56-H57</f>
        <v>-31303.9</v>
      </c>
      <c r="I59" s="26">
        <f t="shared" si="33"/>
        <v>-8469.8199999999779</v>
      </c>
      <c r="J59" s="26">
        <f t="shared" si="33"/>
        <v>12491.563999999955</v>
      </c>
      <c r="K59" s="26">
        <f t="shared" si="33"/>
        <v>34501.017200000002</v>
      </c>
      <c r="L59" s="26">
        <f t="shared" si="33"/>
        <v>57610.943059999918</v>
      </c>
      <c r="M59" s="26">
        <f t="shared" si="33"/>
        <v>81876.365213000041</v>
      </c>
      <c r="N59" s="26">
        <f t="shared" si="33"/>
        <v>107355.05847365005</v>
      </c>
      <c r="O59" s="26">
        <f t="shared" si="33"/>
        <v>134107.68639733258</v>
      </c>
      <c r="P59" s="26">
        <f t="shared" si="33"/>
        <v>162197.94571719915</v>
      </c>
      <c r="Q59" s="26">
        <f t="shared" si="33"/>
        <v>191692.7180030593</v>
      </c>
      <c r="R59" s="26">
        <f t="shared" si="33"/>
        <v>222662.22890321241</v>
      </c>
      <c r="S59" s="26">
        <f t="shared" si="33"/>
        <v>230010.4871739675</v>
      </c>
      <c r="T59" s="26">
        <f t="shared" si="33"/>
        <v>237473.97883062714</v>
      </c>
      <c r="U59" s="26">
        <f t="shared" si="33"/>
        <v>245054.8155110323</v>
      </c>
      <c r="V59" s="26">
        <f t="shared" si="33"/>
        <v>252755.149776921</v>
      </c>
      <c r="W59" s="26">
        <f t="shared" si="33"/>
        <v>260577.17592242605</v>
      </c>
      <c r="X59" s="26">
        <f t="shared" si="33"/>
        <v>268523.13079865638</v>
      </c>
      <c r="Y59" s="26">
        <f t="shared" si="33"/>
        <v>276595.29465468635</v>
      </c>
      <c r="Z59" s="26">
        <f t="shared" si="33"/>
        <v>284795.99199527799</v>
      </c>
      <c r="AA59" s="26">
        <f t="shared" si="33"/>
        <v>293127.59245567257</v>
      </c>
      <c r="AB59" s="26">
        <f t="shared" si="33"/>
        <v>301592.51169378823</v>
      </c>
      <c r="AC59" s="26">
        <f t="shared" si="33"/>
        <v>310193.21230017627</v>
      </c>
      <c r="AD59" s="26">
        <f t="shared" si="33"/>
        <v>316841.46179494594</v>
      </c>
      <c r="AE59" s="26">
        <f t="shared" si="33"/>
        <v>323614.56671485986</v>
      </c>
      <c r="AF59" s="26">
        <f t="shared" si="33"/>
        <v>330515.01605885592</v>
      </c>
      <c r="AG59" s="26">
        <f t="shared" si="33"/>
        <v>337545.34859774169</v>
      </c>
      <c r="AH59" s="26">
        <f t="shared" si="33"/>
        <v>344708.15386962297</v>
      </c>
      <c r="AI59" s="26">
        <f t="shared" si="33"/>
        <v>352006.07319524174</v>
      </c>
      <c r="AJ59" s="26">
        <f t="shared" si="33"/>
        <v>359441.80071362108</v>
      </c>
      <c r="AK59" s="26">
        <f t="shared" si="33"/>
        <v>367018.08443842258</v>
      </c>
      <c r="AL59" s="26">
        <f t="shared" si="33"/>
        <v>374737.72733543033</v>
      </c>
      <c r="AM59" s="26">
        <f t="shared" si="33"/>
        <v>382603.5884215869</v>
      </c>
      <c r="AN59" s="26">
        <f t="shared" si="33"/>
        <v>390618.58388600592</v>
      </c>
      <c r="AO59" s="26">
        <f t="shared" si="33"/>
        <v>398785.68823340919</v>
      </c>
      <c r="AP59" s="26">
        <f t="shared" si="33"/>
        <v>407107.93545043003</v>
      </c>
    </row>
    <row r="60" spans="1:42" ht="12.75" customHeight="1" x14ac:dyDescent="0.15">
      <c r="A60" s="35"/>
      <c r="B60" s="35"/>
      <c r="C60" s="35"/>
      <c r="D60" s="35"/>
      <c r="E60" s="36"/>
      <c r="F60" s="38" t="s">
        <v>37</v>
      </c>
      <c r="G60" s="41"/>
      <c r="H60" s="38">
        <f t="shared" ref="H60:AP60" si="34">H59/H26</f>
        <v>-5.0541926004859822E-2</v>
      </c>
      <c r="I60" s="38">
        <f t="shared" si="34"/>
        <v>-1.2930169114787424E-2</v>
      </c>
      <c r="J60" s="38">
        <f t="shared" si="34"/>
        <v>1.8161743700202355E-2</v>
      </c>
      <c r="K60" s="38">
        <f t="shared" si="34"/>
        <v>4.7773089238288026E-2</v>
      </c>
      <c r="L60" s="38">
        <f t="shared" si="34"/>
        <v>7.5974370703131344E-2</v>
      </c>
      <c r="M60" s="38">
        <f t="shared" si="34"/>
        <v>0.10283273400298237</v>
      </c>
      <c r="N60" s="38">
        <f t="shared" si="34"/>
        <v>0.12841212762188797</v>
      </c>
      <c r="O60" s="38">
        <f t="shared" si="34"/>
        <v>0.15277345487798857</v>
      </c>
      <c r="P60" s="38">
        <f t="shared" si="34"/>
        <v>0.17597471893141764</v>
      </c>
      <c r="Q60" s="38">
        <f t="shared" si="34"/>
        <v>0.19807116088706458</v>
      </c>
      <c r="R60" s="38">
        <f t="shared" si="34"/>
        <v>0.21911539132101399</v>
      </c>
      <c r="S60" s="38">
        <f t="shared" si="34"/>
        <v>0.22381773471211044</v>
      </c>
      <c r="T60" s="38">
        <f t="shared" si="34"/>
        <v>0.22848746719986912</v>
      </c>
      <c r="U60" s="38">
        <f t="shared" si="34"/>
        <v>0.23312455165305004</v>
      </c>
      <c r="V60" s="38">
        <f t="shared" si="34"/>
        <v>0.23772895279379364</v>
      </c>
      <c r="W60" s="38">
        <f t="shared" si="34"/>
        <v>0.24230063726643475</v>
      </c>
      <c r="X60" s="38">
        <f t="shared" si="34"/>
        <v>0.24683957370524928</v>
      </c>
      <c r="Y60" s="38">
        <f t="shared" si="34"/>
        <v>0.25134573280107514</v>
      </c>
      <c r="Z60" s="38">
        <f t="shared" si="34"/>
        <v>0.25581908736674591</v>
      </c>
      <c r="AA60" s="38">
        <f t="shared" si="34"/>
        <v>0.26025961240128043</v>
      </c>
      <c r="AB60" s="38">
        <f t="shared" si="34"/>
        <v>0.26466728515276677</v>
      </c>
      <c r="AC60" s="38">
        <f t="shared" si="34"/>
        <v>0.26904208517988876</v>
      </c>
      <c r="AD60" s="38">
        <f t="shared" si="34"/>
        <v>0.27235449849381127</v>
      </c>
      <c r="AE60" s="38">
        <f t="shared" si="34"/>
        <v>0.27566883572510831</v>
      </c>
      <c r="AF60" s="38">
        <f t="shared" si="34"/>
        <v>0.2789845931021902</v>
      </c>
      <c r="AG60" s="38">
        <f t="shared" si="34"/>
        <v>0.28230126357719509</v>
      </c>
      <c r="AH60" s="38">
        <f t="shared" si="34"/>
        <v>0.28561833716690632</v>
      </c>
      <c r="AI60" s="38">
        <f t="shared" si="34"/>
        <v>0.28893530129884692</v>
      </c>
      <c r="AJ60" s="38">
        <f t="shared" si="34"/>
        <v>0.29225164116206692</v>
      </c>
      <c r="AK60" s="38">
        <f t="shared" si="34"/>
        <v>0.2955668400621263</v>
      </c>
      <c r="AL60" s="38">
        <f t="shared" si="34"/>
        <v>0.29888037977976489</v>
      </c>
      <c r="AM60" s="38">
        <f t="shared" si="34"/>
        <v>0.3021917409327427</v>
      </c>
      <c r="AN60" s="38">
        <f t="shared" si="34"/>
        <v>0.30550040334031736</v>
      </c>
      <c r="AO60" s="38">
        <f t="shared" si="34"/>
        <v>0.30880584638982855</v>
      </c>
      <c r="AP60" s="38">
        <f t="shared" si="34"/>
        <v>0.31210754940484137</v>
      </c>
    </row>
    <row r="61" spans="1:42" ht="12.75" customHeight="1" x14ac:dyDescent="0.1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2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2.75" customHeight="1" x14ac:dyDescent="0.15">
      <c r="A63" s="15"/>
      <c r="B63" s="15"/>
      <c r="C63" s="26"/>
      <c r="D63" s="15"/>
      <c r="E63" s="1"/>
      <c r="F63" s="24" t="s">
        <v>66</v>
      </c>
      <c r="G63" s="24">
        <v>0</v>
      </c>
      <c r="H63" s="24">
        <f t="shared" ref="H63:AP63" si="35">G68</f>
        <v>509298.30541875027</v>
      </c>
      <c r="I63" s="24">
        <f t="shared" si="35"/>
        <v>477994.40541875025</v>
      </c>
      <c r="J63" s="24">
        <f t="shared" si="35"/>
        <v>475785.36541875033</v>
      </c>
      <c r="K63" s="24">
        <f t="shared" si="35"/>
        <v>489970.89341875026</v>
      </c>
      <c r="L63" s="24">
        <f t="shared" si="35"/>
        <v>521973.59781875025</v>
      </c>
      <c r="M63" s="24">
        <f t="shared" si="35"/>
        <v>572684.3374387502</v>
      </c>
      <c r="N63" s="24">
        <f t="shared" si="35"/>
        <v>643038.51403975033</v>
      </c>
      <c r="O63" s="24">
        <f t="shared" si="35"/>
        <v>734018.29947080032</v>
      </c>
      <c r="P63" s="24">
        <f t="shared" si="35"/>
        <v>846654.97417340288</v>
      </c>
      <c r="Q63" s="24">
        <f t="shared" si="35"/>
        <v>982031.38261113549</v>
      </c>
      <c r="R63" s="24">
        <f t="shared" si="35"/>
        <v>1141284.5114707549</v>
      </c>
      <c r="S63" s="24">
        <f t="shared" si="35"/>
        <v>1325608.1967733554</v>
      </c>
      <c r="T63" s="24">
        <f t="shared" si="35"/>
        <v>1511086.2381666803</v>
      </c>
      <c r="U63" s="24">
        <f t="shared" si="35"/>
        <v>1702558.1195625139</v>
      </c>
      <c r="V63" s="24">
        <f t="shared" si="35"/>
        <v>1900118.1393074207</v>
      </c>
      <c r="W63" s="24">
        <f t="shared" si="35"/>
        <v>2103862.3259821353</v>
      </c>
      <c r="X63" s="24">
        <f t="shared" si="35"/>
        <v>2313888.4719491769</v>
      </c>
      <c r="Y63" s="24">
        <f t="shared" si="35"/>
        <v>2530296.1675633481</v>
      </c>
      <c r="Z63" s="24">
        <f t="shared" si="35"/>
        <v>2753186.8360583032</v>
      </c>
      <c r="AA63" s="24">
        <f t="shared" si="35"/>
        <v>2982663.7691226439</v>
      </c>
      <c r="AB63" s="24">
        <f t="shared" si="35"/>
        <v>3218832.1631792607</v>
      </c>
      <c r="AC63" s="24">
        <f t="shared" si="35"/>
        <v>3461799.1563819144</v>
      </c>
      <c r="AD63" s="24">
        <f t="shared" si="35"/>
        <v>3711673.8663433329</v>
      </c>
      <c r="AE63" s="24">
        <f t="shared" si="35"/>
        <v>3966476.6856782436</v>
      </c>
      <c r="AF63" s="24">
        <f t="shared" si="35"/>
        <v>4226722.9600341143</v>
      </c>
      <c r="AG63" s="24">
        <f t="shared" si="35"/>
        <v>4492515.0627499977</v>
      </c>
      <c r="AH63" s="24">
        <f t="shared" si="35"/>
        <v>4763957.4081359683</v>
      </c>
      <c r="AI63" s="24">
        <f t="shared" si="35"/>
        <v>5041156.4922860432</v>
      </c>
      <c r="AJ63" s="24">
        <f t="shared" si="35"/>
        <v>5324220.9347073603</v>
      </c>
      <c r="AK63" s="24">
        <f t="shared" si="35"/>
        <v>5613261.5207819333</v>
      </c>
      <c r="AL63" s="24">
        <f t="shared" si="35"/>
        <v>5908391.2450776314</v>
      </c>
      <c r="AM63" s="24">
        <f t="shared" si="35"/>
        <v>6209725.3555253772</v>
      </c>
      <c r="AN63" s="24">
        <f t="shared" si="35"/>
        <v>6517381.398479878</v>
      </c>
      <c r="AO63" s="24">
        <f t="shared" si="35"/>
        <v>6831479.2646815665</v>
      </c>
      <c r="AP63" s="24">
        <f t="shared" si="35"/>
        <v>7152141.2361377748</v>
      </c>
    </row>
    <row r="64" spans="1:42" ht="12.75" customHeight="1" x14ac:dyDescent="0.15">
      <c r="A64" s="15"/>
      <c r="B64" s="15"/>
      <c r="C64" s="26"/>
      <c r="D64" s="15"/>
      <c r="E64" s="42">
        <v>7000000</v>
      </c>
      <c r="F64" s="43" t="s">
        <v>67</v>
      </c>
      <c r="G64" s="42">
        <f>E64</f>
        <v>7000000</v>
      </c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</row>
    <row r="65" spans="1:42" ht="12.75" customHeight="1" x14ac:dyDescent="0.15">
      <c r="A65" s="15"/>
      <c r="B65" s="15"/>
      <c r="C65" s="26"/>
      <c r="D65" s="15"/>
      <c r="E65" s="15"/>
      <c r="F65" s="27" t="s">
        <v>68</v>
      </c>
      <c r="G65" s="28">
        <f>-C56</f>
        <v>-6490701.6945812497</v>
      </c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</row>
    <row r="66" spans="1:42" ht="12.75" customHeight="1" x14ac:dyDescent="0.15">
      <c r="A66" s="15"/>
      <c r="B66" s="15"/>
      <c r="C66" s="26"/>
      <c r="D66" s="15"/>
      <c r="E66" s="1"/>
      <c r="F66" s="27" t="s">
        <v>69</v>
      </c>
      <c r="G66" s="28">
        <f t="shared" ref="G66:AP66" si="36">G59</f>
        <v>0</v>
      </c>
      <c r="H66" s="28">
        <f t="shared" si="36"/>
        <v>-31303.9</v>
      </c>
      <c r="I66" s="28">
        <f t="shared" si="36"/>
        <v>-8469.8199999999779</v>
      </c>
      <c r="J66" s="28">
        <f t="shared" si="36"/>
        <v>12491.563999999955</v>
      </c>
      <c r="K66" s="28">
        <f t="shared" si="36"/>
        <v>34501.017200000002</v>
      </c>
      <c r="L66" s="28">
        <f t="shared" si="36"/>
        <v>57610.943059999918</v>
      </c>
      <c r="M66" s="28">
        <f t="shared" si="36"/>
        <v>81876.365213000041</v>
      </c>
      <c r="N66" s="28">
        <f t="shared" si="36"/>
        <v>107355.05847365005</v>
      </c>
      <c r="O66" s="28">
        <f t="shared" si="36"/>
        <v>134107.68639733258</v>
      </c>
      <c r="P66" s="28">
        <f t="shared" si="36"/>
        <v>162197.94571719915</v>
      </c>
      <c r="Q66" s="28">
        <f t="shared" si="36"/>
        <v>191692.7180030593</v>
      </c>
      <c r="R66" s="28">
        <f t="shared" si="36"/>
        <v>222662.22890321241</v>
      </c>
      <c r="S66" s="28">
        <f t="shared" si="36"/>
        <v>230010.4871739675</v>
      </c>
      <c r="T66" s="28">
        <f t="shared" si="36"/>
        <v>237473.97883062714</v>
      </c>
      <c r="U66" s="28">
        <f t="shared" si="36"/>
        <v>245054.8155110323</v>
      </c>
      <c r="V66" s="28">
        <f t="shared" si="36"/>
        <v>252755.149776921</v>
      </c>
      <c r="W66" s="28">
        <f t="shared" si="36"/>
        <v>260577.17592242605</v>
      </c>
      <c r="X66" s="28">
        <f t="shared" si="36"/>
        <v>268523.13079865638</v>
      </c>
      <c r="Y66" s="28">
        <f t="shared" si="36"/>
        <v>276595.29465468635</v>
      </c>
      <c r="Z66" s="28">
        <f t="shared" si="36"/>
        <v>284795.99199527799</v>
      </c>
      <c r="AA66" s="28">
        <f t="shared" si="36"/>
        <v>293127.59245567257</v>
      </c>
      <c r="AB66" s="28">
        <f t="shared" si="36"/>
        <v>301592.51169378823</v>
      </c>
      <c r="AC66" s="28">
        <f t="shared" si="36"/>
        <v>310193.21230017627</v>
      </c>
      <c r="AD66" s="28">
        <f t="shared" si="36"/>
        <v>316841.46179494594</v>
      </c>
      <c r="AE66" s="28">
        <f t="shared" si="36"/>
        <v>323614.56671485986</v>
      </c>
      <c r="AF66" s="28">
        <f t="shared" si="36"/>
        <v>330515.01605885592</v>
      </c>
      <c r="AG66" s="28">
        <f t="shared" si="36"/>
        <v>337545.34859774169</v>
      </c>
      <c r="AH66" s="28">
        <f t="shared" si="36"/>
        <v>344708.15386962297</v>
      </c>
      <c r="AI66" s="28">
        <f t="shared" si="36"/>
        <v>352006.07319524174</v>
      </c>
      <c r="AJ66" s="28">
        <f t="shared" si="36"/>
        <v>359441.80071362108</v>
      </c>
      <c r="AK66" s="28">
        <f t="shared" si="36"/>
        <v>367018.08443842258</v>
      </c>
      <c r="AL66" s="28">
        <f t="shared" si="36"/>
        <v>374737.72733543033</v>
      </c>
      <c r="AM66" s="28">
        <f t="shared" si="36"/>
        <v>382603.5884215869</v>
      </c>
      <c r="AN66" s="28">
        <f t="shared" si="36"/>
        <v>390618.58388600592</v>
      </c>
      <c r="AO66" s="28">
        <f t="shared" si="36"/>
        <v>398785.68823340919</v>
      </c>
      <c r="AP66" s="28">
        <f t="shared" si="36"/>
        <v>407107.93545043003</v>
      </c>
    </row>
    <row r="67" spans="1:42" ht="12.75" customHeight="1" x14ac:dyDescent="0.15">
      <c r="A67" s="15"/>
      <c r="B67" s="15"/>
      <c r="C67" s="26"/>
      <c r="D67" s="15"/>
      <c r="E67" s="4">
        <v>0.2</v>
      </c>
      <c r="F67" s="44" t="s">
        <v>70</v>
      </c>
      <c r="G67" s="45"/>
      <c r="H67" s="45"/>
      <c r="I67" s="45">
        <f t="shared" ref="I67:AP67" si="37">-H59*$E$67</f>
        <v>6260.7800000000007</v>
      </c>
      <c r="J67" s="45">
        <f t="shared" si="37"/>
        <v>1693.9639999999956</v>
      </c>
      <c r="K67" s="45">
        <f t="shared" si="37"/>
        <v>-2498.3127999999911</v>
      </c>
      <c r="L67" s="45">
        <f t="shared" si="37"/>
        <v>-6900.2034400000011</v>
      </c>
      <c r="M67" s="45">
        <f t="shared" si="37"/>
        <v>-11522.188611999984</v>
      </c>
      <c r="N67" s="45">
        <f t="shared" si="37"/>
        <v>-16375.273042600009</v>
      </c>
      <c r="O67" s="45">
        <f t="shared" si="37"/>
        <v>-21471.011694730012</v>
      </c>
      <c r="P67" s="45">
        <f t="shared" si="37"/>
        <v>-26821.537279466516</v>
      </c>
      <c r="Q67" s="45">
        <f t="shared" si="37"/>
        <v>-32439.589143439833</v>
      </c>
      <c r="R67" s="45">
        <f t="shared" si="37"/>
        <v>-38338.543600611862</v>
      </c>
      <c r="S67" s="45">
        <f t="shared" si="37"/>
        <v>-44532.445780642483</v>
      </c>
      <c r="T67" s="45">
        <f t="shared" si="37"/>
        <v>-46002.097434793504</v>
      </c>
      <c r="U67" s="45">
        <f t="shared" si="37"/>
        <v>-47494.795766125433</v>
      </c>
      <c r="V67" s="45">
        <f t="shared" si="37"/>
        <v>-49010.963102206464</v>
      </c>
      <c r="W67" s="45">
        <f t="shared" si="37"/>
        <v>-50551.029955384205</v>
      </c>
      <c r="X67" s="45">
        <f t="shared" si="37"/>
        <v>-52115.435184485214</v>
      </c>
      <c r="Y67" s="45">
        <f t="shared" si="37"/>
        <v>-53704.626159731277</v>
      </c>
      <c r="Z67" s="45">
        <f t="shared" si="37"/>
        <v>-55319.058930937274</v>
      </c>
      <c r="AA67" s="45">
        <f t="shared" si="37"/>
        <v>-56959.198399055604</v>
      </c>
      <c r="AB67" s="45">
        <f t="shared" si="37"/>
        <v>-58625.518491134513</v>
      </c>
      <c r="AC67" s="45">
        <f t="shared" si="37"/>
        <v>-60318.502338757651</v>
      </c>
      <c r="AD67" s="45">
        <f t="shared" si="37"/>
        <v>-62038.642460035255</v>
      </c>
      <c r="AE67" s="45">
        <f t="shared" si="37"/>
        <v>-63368.292358989187</v>
      </c>
      <c r="AF67" s="45">
        <f t="shared" si="37"/>
        <v>-64722.913342971973</v>
      </c>
      <c r="AG67" s="45">
        <f t="shared" si="37"/>
        <v>-66103.003211771182</v>
      </c>
      <c r="AH67" s="45">
        <f t="shared" si="37"/>
        <v>-67509.069719548337</v>
      </c>
      <c r="AI67" s="45">
        <f t="shared" si="37"/>
        <v>-68941.630773924597</v>
      </c>
      <c r="AJ67" s="45">
        <f t="shared" si="37"/>
        <v>-70401.214639048354</v>
      </c>
      <c r="AK67" s="45">
        <f t="shared" si="37"/>
        <v>-71888.360142724225</v>
      </c>
      <c r="AL67" s="45">
        <f t="shared" si="37"/>
        <v>-73403.616887684519</v>
      </c>
      <c r="AM67" s="45">
        <f t="shared" si="37"/>
        <v>-74947.545467086064</v>
      </c>
      <c r="AN67" s="45">
        <f t="shared" si="37"/>
        <v>-76520.71768431738</v>
      </c>
      <c r="AO67" s="45">
        <f t="shared" si="37"/>
        <v>-78123.716777201189</v>
      </c>
      <c r="AP67" s="45">
        <f t="shared" si="37"/>
        <v>-79757.137646681847</v>
      </c>
    </row>
    <row r="68" spans="1:42" ht="12.75" customHeight="1" x14ac:dyDescent="0.15">
      <c r="A68" s="15"/>
      <c r="B68" s="15"/>
      <c r="C68" s="26"/>
      <c r="D68" s="15"/>
      <c r="E68" s="1"/>
      <c r="F68" s="24" t="s">
        <v>71</v>
      </c>
      <c r="G68" s="24">
        <f t="shared" ref="G68:AP68" si="38">SUM(G63:G67)</f>
        <v>509298.30541875027</v>
      </c>
      <c r="H68" s="24">
        <f t="shared" si="38"/>
        <v>477994.40541875025</v>
      </c>
      <c r="I68" s="24">
        <f t="shared" si="38"/>
        <v>475785.36541875033</v>
      </c>
      <c r="J68" s="24">
        <f t="shared" si="38"/>
        <v>489970.89341875026</v>
      </c>
      <c r="K68" s="24">
        <f t="shared" si="38"/>
        <v>521973.59781875025</v>
      </c>
      <c r="L68" s="24">
        <f t="shared" si="38"/>
        <v>572684.3374387502</v>
      </c>
      <c r="M68" s="24">
        <f t="shared" si="38"/>
        <v>643038.51403975033</v>
      </c>
      <c r="N68" s="24">
        <f t="shared" si="38"/>
        <v>734018.29947080032</v>
      </c>
      <c r="O68" s="24">
        <f t="shared" si="38"/>
        <v>846654.97417340288</v>
      </c>
      <c r="P68" s="24">
        <f t="shared" si="38"/>
        <v>982031.38261113549</v>
      </c>
      <c r="Q68" s="24">
        <f t="shared" si="38"/>
        <v>1141284.5114707549</v>
      </c>
      <c r="R68" s="24">
        <f t="shared" si="38"/>
        <v>1325608.1967733554</v>
      </c>
      <c r="S68" s="24">
        <f t="shared" si="38"/>
        <v>1511086.2381666803</v>
      </c>
      <c r="T68" s="24">
        <f t="shared" si="38"/>
        <v>1702558.1195625139</v>
      </c>
      <c r="U68" s="24">
        <f t="shared" si="38"/>
        <v>1900118.1393074207</v>
      </c>
      <c r="V68" s="24">
        <f t="shared" si="38"/>
        <v>2103862.3259821353</v>
      </c>
      <c r="W68" s="24">
        <f t="shared" si="38"/>
        <v>2313888.4719491769</v>
      </c>
      <c r="X68" s="24">
        <f t="shared" si="38"/>
        <v>2530296.1675633481</v>
      </c>
      <c r="Y68" s="24">
        <f t="shared" si="38"/>
        <v>2753186.8360583032</v>
      </c>
      <c r="Z68" s="24">
        <f t="shared" si="38"/>
        <v>2982663.7691226439</v>
      </c>
      <c r="AA68" s="24">
        <f t="shared" si="38"/>
        <v>3218832.1631792607</v>
      </c>
      <c r="AB68" s="24">
        <f t="shared" si="38"/>
        <v>3461799.1563819144</v>
      </c>
      <c r="AC68" s="24">
        <f t="shared" si="38"/>
        <v>3711673.8663433329</v>
      </c>
      <c r="AD68" s="24">
        <f t="shared" si="38"/>
        <v>3966476.6856782436</v>
      </c>
      <c r="AE68" s="24">
        <f t="shared" si="38"/>
        <v>4226722.9600341143</v>
      </c>
      <c r="AF68" s="24">
        <f t="shared" si="38"/>
        <v>4492515.0627499977</v>
      </c>
      <c r="AG68" s="24">
        <f t="shared" si="38"/>
        <v>4763957.4081359683</v>
      </c>
      <c r="AH68" s="24">
        <f t="shared" si="38"/>
        <v>5041156.4922860432</v>
      </c>
      <c r="AI68" s="24">
        <f t="shared" si="38"/>
        <v>5324220.9347073603</v>
      </c>
      <c r="AJ68" s="24">
        <f t="shared" si="38"/>
        <v>5613261.5207819333</v>
      </c>
      <c r="AK68" s="24">
        <f t="shared" si="38"/>
        <v>5908391.2450776314</v>
      </c>
      <c r="AL68" s="24">
        <f t="shared" si="38"/>
        <v>6209725.3555253772</v>
      </c>
      <c r="AM68" s="24">
        <f t="shared" si="38"/>
        <v>6517381.398479878</v>
      </c>
      <c r="AN68" s="24">
        <f t="shared" si="38"/>
        <v>6831479.2646815665</v>
      </c>
      <c r="AO68" s="24">
        <f t="shared" si="38"/>
        <v>7152141.2361377748</v>
      </c>
      <c r="AP68" s="24">
        <f t="shared" si="38"/>
        <v>7479492.0339415232</v>
      </c>
    </row>
    <row r="69" spans="1:42" ht="12.75" customHeight="1" x14ac:dyDescent="0.1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2.75" customHeight="1" x14ac:dyDescent="0.15">
      <c r="A70" s="1"/>
      <c r="B70" s="1"/>
      <c r="C70" s="2"/>
      <c r="D70" s="1"/>
      <c r="E70" s="1"/>
      <c r="F70" s="1" t="s">
        <v>72</v>
      </c>
      <c r="G70" s="1" t="str">
        <f t="shared" ref="G70:AP70" si="39">IF(G68&gt;$G$64,G5,"")</f>
        <v/>
      </c>
      <c r="H70" s="1" t="str">
        <f t="shared" si="39"/>
        <v/>
      </c>
      <c r="I70" s="1" t="str">
        <f t="shared" si="39"/>
        <v/>
      </c>
      <c r="J70" s="1" t="str">
        <f t="shared" si="39"/>
        <v/>
      </c>
      <c r="K70" s="1" t="str">
        <f t="shared" si="39"/>
        <v/>
      </c>
      <c r="L70" s="1" t="str">
        <f t="shared" si="39"/>
        <v/>
      </c>
      <c r="M70" s="1" t="str">
        <f t="shared" si="39"/>
        <v/>
      </c>
      <c r="N70" s="1" t="str">
        <f t="shared" si="39"/>
        <v/>
      </c>
      <c r="O70" s="1" t="str">
        <f t="shared" si="39"/>
        <v/>
      </c>
      <c r="P70" s="1" t="str">
        <f t="shared" si="39"/>
        <v/>
      </c>
      <c r="Q70" s="1" t="str">
        <f t="shared" si="39"/>
        <v/>
      </c>
      <c r="R70" s="1" t="str">
        <f t="shared" si="39"/>
        <v/>
      </c>
      <c r="S70" s="1" t="str">
        <f t="shared" si="39"/>
        <v/>
      </c>
      <c r="T70" s="1" t="str">
        <f t="shared" si="39"/>
        <v/>
      </c>
      <c r="U70" s="1" t="str">
        <f t="shared" si="39"/>
        <v/>
      </c>
      <c r="V70" s="1" t="str">
        <f t="shared" si="39"/>
        <v/>
      </c>
      <c r="W70" s="1" t="str">
        <f t="shared" si="39"/>
        <v/>
      </c>
      <c r="X70" s="1" t="str">
        <f t="shared" si="39"/>
        <v/>
      </c>
      <c r="Y70" s="1" t="str">
        <f t="shared" si="39"/>
        <v/>
      </c>
      <c r="Z70" s="1" t="str">
        <f t="shared" si="39"/>
        <v/>
      </c>
      <c r="AA70" s="1" t="str">
        <f t="shared" si="39"/>
        <v/>
      </c>
      <c r="AB70" s="1" t="str">
        <f t="shared" si="39"/>
        <v/>
      </c>
      <c r="AC70" s="1" t="str">
        <f t="shared" si="39"/>
        <v/>
      </c>
      <c r="AD70" s="1" t="str">
        <f t="shared" si="39"/>
        <v/>
      </c>
      <c r="AE70" s="1" t="str">
        <f t="shared" si="39"/>
        <v/>
      </c>
      <c r="AF70" s="1" t="str">
        <f t="shared" si="39"/>
        <v/>
      </c>
      <c r="AG70" s="1" t="str">
        <f t="shared" si="39"/>
        <v/>
      </c>
      <c r="AH70" s="1" t="str">
        <f t="shared" si="39"/>
        <v/>
      </c>
      <c r="AI70" s="1" t="str">
        <f t="shared" si="39"/>
        <v/>
      </c>
      <c r="AJ70" s="1" t="str">
        <f t="shared" si="39"/>
        <v/>
      </c>
      <c r="AK70" s="1" t="str">
        <f t="shared" si="39"/>
        <v/>
      </c>
      <c r="AL70" s="1" t="str">
        <f t="shared" si="39"/>
        <v/>
      </c>
      <c r="AM70" s="1" t="str">
        <f t="shared" si="39"/>
        <v/>
      </c>
      <c r="AN70" s="1" t="str">
        <f t="shared" si="39"/>
        <v/>
      </c>
      <c r="AO70" s="1">
        <f t="shared" si="39"/>
        <v>35</v>
      </c>
      <c r="AP70" s="1">
        <f t="shared" si="39"/>
        <v>36</v>
      </c>
    </row>
    <row r="71" spans="1:42" ht="12.75" customHeight="1" x14ac:dyDescent="0.1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2.75" customHeight="1" x14ac:dyDescent="0.15">
      <c r="A72" s="1"/>
      <c r="B72" s="1"/>
      <c r="C72" s="2"/>
      <c r="D72" s="1"/>
      <c r="E72" s="1"/>
      <c r="F72" s="46" t="s">
        <v>73</v>
      </c>
      <c r="G72" s="47">
        <f>G64</f>
        <v>7000000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2.75" customHeight="1" x14ac:dyDescent="0.15">
      <c r="A73" s="1"/>
      <c r="B73" s="1"/>
      <c r="C73" s="2"/>
      <c r="D73" s="1"/>
      <c r="E73" s="1"/>
      <c r="F73" s="1" t="s">
        <v>74</v>
      </c>
      <c r="G73" s="1"/>
      <c r="H73" s="2">
        <f t="shared" ref="H73:AP73" si="40">G73-H67</f>
        <v>0</v>
      </c>
      <c r="I73" s="2">
        <f t="shared" si="40"/>
        <v>-6260.7800000000007</v>
      </c>
      <c r="J73" s="2">
        <f t="shared" si="40"/>
        <v>-7954.743999999996</v>
      </c>
      <c r="K73" s="2">
        <f t="shared" si="40"/>
        <v>-5456.4312000000045</v>
      </c>
      <c r="L73" s="2">
        <f t="shared" si="40"/>
        <v>1443.7722399999966</v>
      </c>
      <c r="M73" s="2">
        <f t="shared" si="40"/>
        <v>12965.96085199998</v>
      </c>
      <c r="N73" s="2">
        <f t="shared" si="40"/>
        <v>29341.233894599987</v>
      </c>
      <c r="O73" s="2">
        <f t="shared" si="40"/>
        <v>50812.245589329999</v>
      </c>
      <c r="P73" s="2">
        <f t="shared" si="40"/>
        <v>77633.782868796523</v>
      </c>
      <c r="Q73" s="2">
        <f t="shared" si="40"/>
        <v>110073.37201223636</v>
      </c>
      <c r="R73" s="2">
        <f t="shared" si="40"/>
        <v>148411.91561284821</v>
      </c>
      <c r="S73" s="2">
        <f t="shared" si="40"/>
        <v>192944.36139349069</v>
      </c>
      <c r="T73" s="2">
        <f t="shared" si="40"/>
        <v>238946.4588282842</v>
      </c>
      <c r="U73" s="2">
        <f t="shared" si="40"/>
        <v>286441.25459440961</v>
      </c>
      <c r="V73" s="2">
        <f t="shared" si="40"/>
        <v>335452.21769661608</v>
      </c>
      <c r="W73" s="2">
        <f t="shared" si="40"/>
        <v>386003.24765200028</v>
      </c>
      <c r="X73" s="2">
        <f t="shared" si="40"/>
        <v>438118.6828364855</v>
      </c>
      <c r="Y73" s="2">
        <f t="shared" si="40"/>
        <v>491823.3089962168</v>
      </c>
      <c r="Z73" s="2">
        <f t="shared" si="40"/>
        <v>547142.36792715406</v>
      </c>
      <c r="AA73" s="2">
        <f t="shared" si="40"/>
        <v>604101.56632620969</v>
      </c>
      <c r="AB73" s="2">
        <f t="shared" si="40"/>
        <v>662727.08481734421</v>
      </c>
      <c r="AC73" s="2">
        <f t="shared" si="40"/>
        <v>723045.58715610183</v>
      </c>
      <c r="AD73" s="2">
        <f t="shared" si="40"/>
        <v>785084.22961613711</v>
      </c>
      <c r="AE73" s="2">
        <f t="shared" si="40"/>
        <v>848452.52197512635</v>
      </c>
      <c r="AF73" s="2">
        <f t="shared" si="40"/>
        <v>913175.43531809829</v>
      </c>
      <c r="AG73" s="2">
        <f t="shared" si="40"/>
        <v>979278.43852986943</v>
      </c>
      <c r="AH73" s="2">
        <f t="shared" si="40"/>
        <v>1046787.5082494178</v>
      </c>
      <c r="AI73" s="2">
        <f t="shared" si="40"/>
        <v>1115729.1390233424</v>
      </c>
      <c r="AJ73" s="2">
        <f t="shared" si="40"/>
        <v>1186130.3536623907</v>
      </c>
      <c r="AK73" s="2">
        <f t="shared" si="40"/>
        <v>1258018.7138051149</v>
      </c>
      <c r="AL73" s="2">
        <f t="shared" si="40"/>
        <v>1331422.3306927993</v>
      </c>
      <c r="AM73" s="2">
        <f t="shared" si="40"/>
        <v>1406369.8761598854</v>
      </c>
      <c r="AN73" s="2">
        <f t="shared" si="40"/>
        <v>1482890.5938442028</v>
      </c>
      <c r="AO73" s="2">
        <f t="shared" si="40"/>
        <v>1561014.3106214041</v>
      </c>
      <c r="AP73" s="2">
        <f t="shared" si="40"/>
        <v>1640771.448268086</v>
      </c>
    </row>
    <row r="74" spans="1:42" ht="12.75" customHeight="1" x14ac:dyDescent="0.15">
      <c r="A74" s="1"/>
      <c r="B74" s="1"/>
      <c r="C74" s="2"/>
      <c r="D74" s="1"/>
      <c r="E74" s="1"/>
      <c r="F74" s="1" t="s">
        <v>75</v>
      </c>
      <c r="G74" s="2">
        <f>-G64</f>
        <v>-7000000</v>
      </c>
      <c r="H74" s="2">
        <f t="shared" ref="H74:AP74" si="41">G74-H67</f>
        <v>-7000000</v>
      </c>
      <c r="I74" s="2">
        <f t="shared" si="41"/>
        <v>-7006260.7800000003</v>
      </c>
      <c r="J74" s="2">
        <f t="shared" si="41"/>
        <v>-7007954.7439999999</v>
      </c>
      <c r="K74" s="2">
        <f t="shared" si="41"/>
        <v>-7005456.4311999995</v>
      </c>
      <c r="L74" s="2">
        <f t="shared" si="41"/>
        <v>-6998556.2277599992</v>
      </c>
      <c r="M74" s="2">
        <f t="shared" si="41"/>
        <v>-6987034.0391479991</v>
      </c>
      <c r="N74" s="2">
        <f t="shared" si="41"/>
        <v>-6970658.7661053995</v>
      </c>
      <c r="O74" s="2">
        <f t="shared" si="41"/>
        <v>-6949187.7544106692</v>
      </c>
      <c r="P74" s="2">
        <f t="shared" si="41"/>
        <v>-6922366.217131203</v>
      </c>
      <c r="Q74" s="2">
        <f t="shared" si="41"/>
        <v>-6889926.6279877629</v>
      </c>
      <c r="R74" s="2">
        <f t="shared" si="41"/>
        <v>-6851588.0843871506</v>
      </c>
      <c r="S74" s="2">
        <f t="shared" si="41"/>
        <v>-6807055.6386065083</v>
      </c>
      <c r="T74" s="2">
        <f t="shared" si="41"/>
        <v>-6761053.5411717147</v>
      </c>
      <c r="U74" s="2">
        <f t="shared" si="41"/>
        <v>-6713558.7454055892</v>
      </c>
      <c r="V74" s="2">
        <f t="shared" si="41"/>
        <v>-6664547.7823033826</v>
      </c>
      <c r="W74" s="2">
        <f t="shared" si="41"/>
        <v>-6613996.7523479983</v>
      </c>
      <c r="X74" s="2">
        <f t="shared" si="41"/>
        <v>-6561881.317163513</v>
      </c>
      <c r="Y74" s="2">
        <f t="shared" si="41"/>
        <v>-6508176.6910037817</v>
      </c>
      <c r="Z74" s="2">
        <f t="shared" si="41"/>
        <v>-6452857.6320728445</v>
      </c>
      <c r="AA74" s="2">
        <f t="shared" si="41"/>
        <v>-6395898.4336737888</v>
      </c>
      <c r="AB74" s="2">
        <f t="shared" si="41"/>
        <v>-6337272.9151826538</v>
      </c>
      <c r="AC74" s="2">
        <f t="shared" si="41"/>
        <v>-6276954.4128438961</v>
      </c>
      <c r="AD74" s="2">
        <f t="shared" si="41"/>
        <v>-6214915.7703838609</v>
      </c>
      <c r="AE74" s="2">
        <f t="shared" si="41"/>
        <v>-6151547.478024872</v>
      </c>
      <c r="AF74" s="2">
        <f t="shared" si="41"/>
        <v>-6086824.5646818997</v>
      </c>
      <c r="AG74" s="2">
        <f t="shared" si="41"/>
        <v>-6020721.5614701286</v>
      </c>
      <c r="AH74" s="2">
        <f t="shared" si="41"/>
        <v>-5953212.4917505803</v>
      </c>
      <c r="AI74" s="2">
        <f t="shared" si="41"/>
        <v>-5884270.860976656</v>
      </c>
      <c r="AJ74" s="2">
        <f t="shared" si="41"/>
        <v>-5813869.6463376079</v>
      </c>
      <c r="AK74" s="2">
        <f t="shared" si="41"/>
        <v>-5741981.2861948833</v>
      </c>
      <c r="AL74" s="2">
        <f t="shared" si="41"/>
        <v>-5668577.6693071984</v>
      </c>
      <c r="AM74" s="2">
        <f t="shared" si="41"/>
        <v>-5593630.1238401122</v>
      </c>
      <c r="AN74" s="2">
        <f t="shared" si="41"/>
        <v>-5517109.4061557949</v>
      </c>
      <c r="AO74" s="2">
        <f t="shared" si="41"/>
        <v>-5438985.689378594</v>
      </c>
      <c r="AP74" s="2">
        <f t="shared" si="41"/>
        <v>-5359228.5517319124</v>
      </c>
    </row>
    <row r="75" spans="1:42" ht="12.75" customHeight="1" x14ac:dyDescent="0.15">
      <c r="A75" s="1"/>
      <c r="B75" s="1"/>
      <c r="C75" s="2"/>
      <c r="D75" s="1"/>
      <c r="E75" s="1"/>
      <c r="F75" s="1" t="s">
        <v>76</v>
      </c>
      <c r="G75" s="1"/>
      <c r="H75" s="1" t="str">
        <f t="shared" ref="H75:AP75" si="42">IF(H74&gt;0,H4,"")</f>
        <v/>
      </c>
      <c r="I75" s="1" t="str">
        <f t="shared" si="42"/>
        <v/>
      </c>
      <c r="J75" s="1" t="str">
        <f t="shared" si="42"/>
        <v/>
      </c>
      <c r="K75" s="1" t="str">
        <f t="shared" si="42"/>
        <v/>
      </c>
      <c r="L75" s="1" t="str">
        <f t="shared" si="42"/>
        <v/>
      </c>
      <c r="M75" s="1" t="str">
        <f t="shared" si="42"/>
        <v/>
      </c>
      <c r="N75" s="1" t="str">
        <f t="shared" si="42"/>
        <v/>
      </c>
      <c r="O75" s="1" t="str">
        <f t="shared" si="42"/>
        <v/>
      </c>
      <c r="P75" s="1" t="str">
        <f t="shared" si="42"/>
        <v/>
      </c>
      <c r="Q75" s="1" t="str">
        <f t="shared" si="42"/>
        <v/>
      </c>
      <c r="R75" s="1" t="str">
        <f t="shared" si="42"/>
        <v/>
      </c>
      <c r="S75" s="1" t="str">
        <f t="shared" si="42"/>
        <v/>
      </c>
      <c r="T75" s="1" t="str">
        <f t="shared" si="42"/>
        <v/>
      </c>
      <c r="U75" s="1" t="str">
        <f t="shared" si="42"/>
        <v/>
      </c>
      <c r="V75" s="1" t="str">
        <f t="shared" si="42"/>
        <v/>
      </c>
      <c r="W75" s="1" t="str">
        <f t="shared" si="42"/>
        <v/>
      </c>
      <c r="X75" s="1" t="str">
        <f t="shared" si="42"/>
        <v/>
      </c>
      <c r="Y75" s="1" t="str">
        <f t="shared" si="42"/>
        <v/>
      </c>
      <c r="Z75" s="1" t="str">
        <f t="shared" si="42"/>
        <v/>
      </c>
      <c r="AA75" s="1" t="str">
        <f t="shared" si="42"/>
        <v/>
      </c>
      <c r="AB75" s="1" t="str">
        <f t="shared" si="42"/>
        <v/>
      </c>
      <c r="AC75" s="1" t="str">
        <f t="shared" si="42"/>
        <v/>
      </c>
      <c r="AD75" s="1" t="str">
        <f t="shared" si="42"/>
        <v/>
      </c>
      <c r="AE75" s="1" t="str">
        <f t="shared" si="42"/>
        <v/>
      </c>
      <c r="AF75" s="1" t="str">
        <f t="shared" si="42"/>
        <v/>
      </c>
      <c r="AG75" s="1" t="str">
        <f t="shared" si="42"/>
        <v/>
      </c>
      <c r="AH75" s="1" t="str">
        <f t="shared" si="42"/>
        <v/>
      </c>
      <c r="AI75" s="1" t="str">
        <f t="shared" si="42"/>
        <v/>
      </c>
      <c r="AJ75" s="1" t="str">
        <f t="shared" si="42"/>
        <v/>
      </c>
      <c r="AK75" s="1" t="str">
        <f t="shared" si="42"/>
        <v/>
      </c>
      <c r="AL75" s="1" t="str">
        <f t="shared" si="42"/>
        <v/>
      </c>
      <c r="AM75" s="1" t="str">
        <f t="shared" si="42"/>
        <v/>
      </c>
      <c r="AN75" s="1" t="str">
        <f t="shared" si="42"/>
        <v/>
      </c>
      <c r="AO75" s="1" t="str">
        <f t="shared" si="42"/>
        <v/>
      </c>
      <c r="AP75" s="1" t="str">
        <f t="shared" si="42"/>
        <v/>
      </c>
    </row>
    <row r="76" spans="1:42" ht="12.75" customHeight="1" x14ac:dyDescent="0.1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2.75" customHeight="1" x14ac:dyDescent="0.1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2.75" customHeight="1" x14ac:dyDescent="0.1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2.75" customHeight="1" x14ac:dyDescent="0.1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2.75" customHeight="1" x14ac:dyDescent="0.1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2.75" customHeight="1" x14ac:dyDescent="0.1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2.75" customHeight="1" x14ac:dyDescent="0.1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2.75" customHeight="1" x14ac:dyDescent="0.1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2.75" customHeight="1" x14ac:dyDescent="0.1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2.75" customHeight="1" x14ac:dyDescent="0.1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2.75" customHeight="1" x14ac:dyDescent="0.1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2.75" customHeight="1" x14ac:dyDescent="0.1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2.75" customHeight="1" x14ac:dyDescent="0.1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2.75" customHeight="1" x14ac:dyDescent="0.1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2.75" customHeight="1" x14ac:dyDescent="0.1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2.75" customHeight="1" x14ac:dyDescent="0.1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2.75" customHeight="1" x14ac:dyDescent="0.1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2.75" customHeight="1" x14ac:dyDescent="0.1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2.75" customHeight="1" x14ac:dyDescent="0.1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2.75" customHeight="1" x14ac:dyDescent="0.1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2.75" customHeight="1" x14ac:dyDescent="0.1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2.75" customHeight="1" x14ac:dyDescent="0.1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2.75" customHeight="1" x14ac:dyDescent="0.1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2.75" customHeight="1" x14ac:dyDescent="0.1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2.75" customHeight="1" x14ac:dyDescent="0.1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2.75" customHeight="1" x14ac:dyDescent="0.1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2.75" customHeight="1" x14ac:dyDescent="0.1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2.75" customHeight="1" x14ac:dyDescent="0.1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2.75" customHeight="1" x14ac:dyDescent="0.1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2.75" customHeight="1" x14ac:dyDescent="0.1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2.75" customHeight="1" x14ac:dyDescent="0.1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2.75" customHeight="1" x14ac:dyDescent="0.1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2.75" customHeight="1" x14ac:dyDescent="0.1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2.75" customHeight="1" x14ac:dyDescent="0.1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2.75" customHeight="1" x14ac:dyDescent="0.1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2.75" customHeight="1" x14ac:dyDescent="0.1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2.75" customHeight="1" x14ac:dyDescent="0.1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2.75" customHeight="1" x14ac:dyDescent="0.1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2.75" customHeight="1" x14ac:dyDescent="0.1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2.75" customHeight="1" x14ac:dyDescent="0.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2.75" customHeight="1" x14ac:dyDescent="0.1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2.75" customHeight="1" x14ac:dyDescent="0.1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2.75" customHeight="1" x14ac:dyDescent="0.1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2.75" customHeight="1" x14ac:dyDescent="0.1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2.75" customHeight="1" x14ac:dyDescent="0.1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2.75" customHeight="1" x14ac:dyDescent="0.1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2.75" customHeight="1" x14ac:dyDescent="0.1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2.75" customHeight="1" x14ac:dyDescent="0.1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2.75" customHeight="1" x14ac:dyDescent="0.1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2.75" customHeight="1" x14ac:dyDescent="0.1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2.75" customHeight="1" x14ac:dyDescent="0.1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2.75" customHeight="1" x14ac:dyDescent="0.1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2.75" customHeight="1" x14ac:dyDescent="0.1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2.75" customHeight="1" x14ac:dyDescent="0.1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2.75" customHeight="1" x14ac:dyDescent="0.1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2.75" customHeight="1" x14ac:dyDescent="0.1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2.75" customHeight="1" x14ac:dyDescent="0.1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2.75" customHeight="1" x14ac:dyDescent="0.1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2.75" customHeight="1" x14ac:dyDescent="0.1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2.75" customHeight="1" x14ac:dyDescent="0.1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2.75" customHeight="1" x14ac:dyDescent="0.1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2.75" customHeight="1" x14ac:dyDescent="0.1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2.75" customHeight="1" x14ac:dyDescent="0.1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2.75" customHeight="1" x14ac:dyDescent="0.1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2.75" customHeight="1" x14ac:dyDescent="0.1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2.75" customHeight="1" x14ac:dyDescent="0.1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2.75" customHeight="1" x14ac:dyDescent="0.1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2.75" customHeight="1" x14ac:dyDescent="0.1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2.75" customHeight="1" x14ac:dyDescent="0.1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2.75" customHeight="1" x14ac:dyDescent="0.1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2.75" customHeight="1" x14ac:dyDescent="0.1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2.75" customHeight="1" x14ac:dyDescent="0.1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2.75" customHeight="1" x14ac:dyDescent="0.1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2.75" customHeight="1" x14ac:dyDescent="0.1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2.75" customHeight="1" x14ac:dyDescent="0.1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2.75" customHeight="1" x14ac:dyDescent="0.15">
      <c r="A151" s="1"/>
      <c r="B151" s="6"/>
      <c r="C151" s="6"/>
      <c r="D151" s="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2.75" customHeight="1" x14ac:dyDescent="0.15">
      <c r="A152" s="1"/>
      <c r="B152" s="6"/>
      <c r="C152" s="6"/>
      <c r="D152" s="6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2.75" customHeight="1" x14ac:dyDescent="0.15">
      <c r="A153" s="1"/>
      <c r="B153" s="6"/>
      <c r="C153" s="6"/>
      <c r="D153" s="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2.75" customHeight="1" x14ac:dyDescent="0.15">
      <c r="A154" s="1"/>
      <c r="B154" s="6"/>
      <c r="C154" s="6"/>
      <c r="D154" s="6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2.75" customHeight="1" x14ac:dyDescent="0.15">
      <c r="A155" s="1"/>
      <c r="B155" s="6"/>
      <c r="C155" s="6"/>
      <c r="D155" s="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2.75" customHeight="1" x14ac:dyDescent="0.15">
      <c r="A156" s="1"/>
      <c r="B156" s="6"/>
      <c r="C156" s="6"/>
      <c r="D156" s="6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2.75" customHeight="1" x14ac:dyDescent="0.15">
      <c r="A157" s="1"/>
      <c r="B157" s="6"/>
      <c r="C157" s="6"/>
      <c r="D157" s="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2.75" customHeight="1" x14ac:dyDescent="0.15">
      <c r="A158" s="1"/>
      <c r="B158" s="6"/>
      <c r="C158" s="6"/>
      <c r="D158" s="6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2.75" customHeight="1" x14ac:dyDescent="0.15">
      <c r="A159" s="1"/>
      <c r="B159" s="6"/>
      <c r="C159" s="6"/>
      <c r="D159" s="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2.75" customHeight="1" x14ac:dyDescent="0.15">
      <c r="A160" s="1"/>
      <c r="B160" s="6"/>
      <c r="C160" s="6"/>
      <c r="D160" s="6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2.75" customHeight="1" x14ac:dyDescent="0.1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2.75" customHeight="1" x14ac:dyDescent="0.1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2.75" customHeight="1" x14ac:dyDescent="0.1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2.75" customHeight="1" x14ac:dyDescent="0.1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2.75" customHeight="1" x14ac:dyDescent="0.1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2.75" customHeight="1" x14ac:dyDescent="0.1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2.75" customHeight="1" x14ac:dyDescent="0.1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2.75" customHeight="1" x14ac:dyDescent="0.1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2.75" customHeight="1" x14ac:dyDescent="0.1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2.75" customHeight="1" x14ac:dyDescent="0.1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2.75" customHeight="1" x14ac:dyDescent="0.1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2.75" customHeight="1" x14ac:dyDescent="0.1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2.75" customHeight="1" x14ac:dyDescent="0.1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2.75" customHeight="1" x14ac:dyDescent="0.1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2.75" customHeight="1" x14ac:dyDescent="0.1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2.75" customHeight="1" x14ac:dyDescent="0.1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2.75" customHeight="1" x14ac:dyDescent="0.1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2.75" customHeight="1" x14ac:dyDescent="0.1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2.75" customHeight="1" x14ac:dyDescent="0.1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2.75" customHeight="1" x14ac:dyDescent="0.1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2.75" customHeight="1" x14ac:dyDescent="0.1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2.75" customHeight="1" x14ac:dyDescent="0.1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2.75" customHeight="1" x14ac:dyDescent="0.1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2.75" customHeight="1" x14ac:dyDescent="0.1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2.75" customHeight="1" x14ac:dyDescent="0.1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2.75" customHeight="1" x14ac:dyDescent="0.1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2.75" customHeight="1" x14ac:dyDescent="0.1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2.75" customHeight="1" x14ac:dyDescent="0.1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2.75" customHeight="1" x14ac:dyDescent="0.1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2.75" customHeight="1" x14ac:dyDescent="0.1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2.75" customHeight="1" x14ac:dyDescent="0.1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2.75" customHeight="1" x14ac:dyDescent="0.1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2.75" customHeight="1" x14ac:dyDescent="0.1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2.75" customHeight="1" x14ac:dyDescent="0.1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2.75" customHeight="1" x14ac:dyDescent="0.1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2.75" customHeight="1" x14ac:dyDescent="0.1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2.75" customHeight="1" x14ac:dyDescent="0.1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2.75" customHeight="1" x14ac:dyDescent="0.1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2.75" customHeight="1" x14ac:dyDescent="0.1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2.75" customHeight="1" x14ac:dyDescent="0.1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2.75" customHeight="1" x14ac:dyDescent="0.1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2.75" customHeight="1" x14ac:dyDescent="0.1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2.75" customHeight="1" x14ac:dyDescent="0.1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2.75" customHeight="1" x14ac:dyDescent="0.1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2.75" customHeight="1" x14ac:dyDescent="0.1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2.75" customHeight="1" x14ac:dyDescent="0.1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2.75" customHeight="1" x14ac:dyDescent="0.1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2.75" customHeight="1" x14ac:dyDescent="0.1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2.75" customHeight="1" x14ac:dyDescent="0.1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2.75" customHeight="1" x14ac:dyDescent="0.1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2.75" customHeight="1" x14ac:dyDescent="0.1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2.75" customHeight="1" x14ac:dyDescent="0.1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2.75" customHeight="1" x14ac:dyDescent="0.1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2.75" customHeight="1" x14ac:dyDescent="0.1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2.75" customHeight="1" x14ac:dyDescent="0.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2.75" customHeight="1" x14ac:dyDescent="0.1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2.75" customHeight="1" x14ac:dyDescent="0.1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2.75" customHeight="1" x14ac:dyDescent="0.1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2.75" customHeight="1" x14ac:dyDescent="0.1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2.75" customHeight="1" x14ac:dyDescent="0.1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2.75" customHeight="1" x14ac:dyDescent="0.1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2.75" customHeight="1" x14ac:dyDescent="0.1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2.75" customHeight="1" x14ac:dyDescent="0.1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2.75" customHeight="1" x14ac:dyDescent="0.1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2.75" customHeight="1" x14ac:dyDescent="0.1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2.75" customHeight="1" x14ac:dyDescent="0.1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2.75" customHeight="1" x14ac:dyDescent="0.1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2.75" customHeight="1" x14ac:dyDescent="0.1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2.75" customHeight="1" x14ac:dyDescent="0.1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2.75" customHeight="1" x14ac:dyDescent="0.1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2.75" customHeight="1" x14ac:dyDescent="0.1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2.75" customHeight="1" x14ac:dyDescent="0.1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2.75" customHeight="1" x14ac:dyDescent="0.1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2.75" customHeight="1" x14ac:dyDescent="0.1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2.75" customHeight="1" x14ac:dyDescent="0.1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2.75" customHeight="1" x14ac:dyDescent="0.1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2.75" customHeight="1" x14ac:dyDescent="0.1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2.75" customHeight="1" x14ac:dyDescent="0.1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2.75" customHeight="1" x14ac:dyDescent="0.1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2.75" customHeight="1" x14ac:dyDescent="0.1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2.75" customHeight="1" x14ac:dyDescent="0.1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2.75" customHeight="1" x14ac:dyDescent="0.1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2.75" customHeight="1" x14ac:dyDescent="0.1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2.75" customHeight="1" x14ac:dyDescent="0.1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2.75" customHeight="1" x14ac:dyDescent="0.1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2.75" customHeight="1" x14ac:dyDescent="0.1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2.75" customHeight="1" x14ac:dyDescent="0.1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2.75" customHeight="1" x14ac:dyDescent="0.1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2.75" customHeight="1" x14ac:dyDescent="0.1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2.75" customHeight="1" x14ac:dyDescent="0.1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2.75" customHeight="1" x14ac:dyDescent="0.1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2.75" customHeight="1" x14ac:dyDescent="0.1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2.75" customHeight="1" x14ac:dyDescent="0.1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2.75" customHeight="1" x14ac:dyDescent="0.1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2.75" customHeight="1" x14ac:dyDescent="0.1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2.75" customHeight="1" x14ac:dyDescent="0.1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2.75" customHeight="1" x14ac:dyDescent="0.1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2.75" customHeight="1" x14ac:dyDescent="0.1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2.75" customHeight="1" x14ac:dyDescent="0.1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2.75" customHeight="1" x14ac:dyDescent="0.1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2.75" customHeight="1" x14ac:dyDescent="0.1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2.75" customHeight="1" x14ac:dyDescent="0.1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2.75" customHeight="1" x14ac:dyDescent="0.1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2.75" customHeight="1" x14ac:dyDescent="0.1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2.75" customHeight="1" x14ac:dyDescent="0.1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2.75" customHeight="1" x14ac:dyDescent="0.1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2.75" customHeight="1" x14ac:dyDescent="0.1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2.75" customHeight="1" x14ac:dyDescent="0.1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2.75" customHeight="1" x14ac:dyDescent="0.1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2.75" customHeight="1" x14ac:dyDescent="0.1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2.75" customHeight="1" x14ac:dyDescent="0.1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2.75" customHeight="1" x14ac:dyDescent="0.1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2.75" customHeight="1" x14ac:dyDescent="0.1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2.75" customHeight="1" x14ac:dyDescent="0.1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2.75" customHeight="1" x14ac:dyDescent="0.1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2.75" customHeight="1" x14ac:dyDescent="0.1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2.75" customHeight="1" x14ac:dyDescent="0.1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2.75" customHeight="1" x14ac:dyDescent="0.1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2.75" customHeight="1" x14ac:dyDescent="0.1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2.75" customHeight="1" x14ac:dyDescent="0.1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2.75" customHeight="1" x14ac:dyDescent="0.1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2.75" customHeight="1" x14ac:dyDescent="0.1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2.75" customHeight="1" x14ac:dyDescent="0.1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2.75" customHeight="1" x14ac:dyDescent="0.1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2.75" customHeight="1" x14ac:dyDescent="0.1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2.75" customHeight="1" x14ac:dyDescent="0.1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2.75" customHeight="1" x14ac:dyDescent="0.1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2.75" customHeight="1" x14ac:dyDescent="0.1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2.75" customHeight="1" x14ac:dyDescent="0.1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2.75" customHeight="1" x14ac:dyDescent="0.1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2.75" customHeight="1" x14ac:dyDescent="0.1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2.75" customHeight="1" x14ac:dyDescent="0.1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2.75" customHeight="1" x14ac:dyDescent="0.1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2.75" customHeight="1" x14ac:dyDescent="0.1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2.75" customHeight="1" x14ac:dyDescent="0.1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2.75" customHeight="1" x14ac:dyDescent="0.1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2.75" customHeight="1" x14ac:dyDescent="0.1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2.75" customHeight="1" x14ac:dyDescent="0.1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2.75" customHeight="1" x14ac:dyDescent="0.1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2.75" customHeight="1" x14ac:dyDescent="0.1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2.75" customHeight="1" x14ac:dyDescent="0.1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2.75" customHeight="1" x14ac:dyDescent="0.1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2.75" customHeight="1" x14ac:dyDescent="0.1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2.75" customHeight="1" x14ac:dyDescent="0.1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2.75" customHeight="1" x14ac:dyDescent="0.1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2.75" customHeight="1" x14ac:dyDescent="0.1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2.75" customHeight="1" x14ac:dyDescent="0.1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2.75" customHeight="1" x14ac:dyDescent="0.1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2.75" customHeight="1" x14ac:dyDescent="0.1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2.75" customHeight="1" x14ac:dyDescent="0.1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2.75" customHeight="1" x14ac:dyDescent="0.1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2.75" customHeight="1" x14ac:dyDescent="0.1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2.75" customHeight="1" x14ac:dyDescent="0.1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2.75" customHeight="1" x14ac:dyDescent="0.1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2.75" customHeight="1" x14ac:dyDescent="0.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2.75" customHeight="1" x14ac:dyDescent="0.1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2.75" customHeight="1" x14ac:dyDescent="0.1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2.75" customHeight="1" x14ac:dyDescent="0.1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2.75" customHeight="1" x14ac:dyDescent="0.1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2.75" customHeight="1" x14ac:dyDescent="0.1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2.75" customHeight="1" x14ac:dyDescent="0.1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2.75" customHeight="1" x14ac:dyDescent="0.1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2.75" customHeight="1" x14ac:dyDescent="0.1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2.75" customHeight="1" x14ac:dyDescent="0.1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2.75" customHeight="1" x14ac:dyDescent="0.1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2.75" customHeight="1" x14ac:dyDescent="0.1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2.75" customHeight="1" x14ac:dyDescent="0.1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2.75" customHeight="1" x14ac:dyDescent="0.1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2.75" customHeight="1" x14ac:dyDescent="0.1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2.75" customHeight="1" x14ac:dyDescent="0.1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2.75" customHeight="1" x14ac:dyDescent="0.1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2.75" customHeight="1" x14ac:dyDescent="0.1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2.75" customHeight="1" x14ac:dyDescent="0.1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2.75" customHeight="1" x14ac:dyDescent="0.1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2.75" customHeight="1" x14ac:dyDescent="0.1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2.75" customHeight="1" x14ac:dyDescent="0.1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2.75" customHeight="1" x14ac:dyDescent="0.1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2.75" customHeight="1" x14ac:dyDescent="0.1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2.75" customHeight="1" x14ac:dyDescent="0.1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2.75" customHeight="1" x14ac:dyDescent="0.1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2.75" customHeight="1" x14ac:dyDescent="0.1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2.75" customHeight="1" x14ac:dyDescent="0.1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2.75" customHeight="1" x14ac:dyDescent="0.1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2.75" customHeight="1" x14ac:dyDescent="0.1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2.75" customHeight="1" x14ac:dyDescent="0.1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2.75" customHeight="1" x14ac:dyDescent="0.1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2.75" customHeight="1" x14ac:dyDescent="0.1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2.75" customHeight="1" x14ac:dyDescent="0.1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2.75" customHeight="1" x14ac:dyDescent="0.1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2.75" customHeight="1" x14ac:dyDescent="0.1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2.75" customHeight="1" x14ac:dyDescent="0.1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2.75" customHeight="1" x14ac:dyDescent="0.1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2.75" customHeight="1" x14ac:dyDescent="0.1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2.75" customHeight="1" x14ac:dyDescent="0.1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2.75" customHeight="1" x14ac:dyDescent="0.1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2.75" customHeight="1" x14ac:dyDescent="0.1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2.75" customHeight="1" x14ac:dyDescent="0.1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2.75" customHeight="1" x14ac:dyDescent="0.1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2.75" customHeight="1" x14ac:dyDescent="0.1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2.75" customHeight="1" x14ac:dyDescent="0.1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2.75" customHeight="1" x14ac:dyDescent="0.1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2.75" customHeight="1" x14ac:dyDescent="0.1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2.75" customHeight="1" x14ac:dyDescent="0.1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2.75" customHeight="1" x14ac:dyDescent="0.1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2.75" customHeight="1" x14ac:dyDescent="0.1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2.75" customHeight="1" x14ac:dyDescent="0.1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2.75" customHeight="1" x14ac:dyDescent="0.1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2.75" customHeight="1" x14ac:dyDescent="0.1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2.75" customHeight="1" x14ac:dyDescent="0.1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2.75" customHeight="1" x14ac:dyDescent="0.1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2.75" customHeight="1" x14ac:dyDescent="0.1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2.75" customHeight="1" x14ac:dyDescent="0.1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2.75" customHeight="1" x14ac:dyDescent="0.1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2.75" customHeight="1" x14ac:dyDescent="0.1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2.75" customHeight="1" x14ac:dyDescent="0.1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2.75" customHeight="1" x14ac:dyDescent="0.1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2.75" customHeight="1" x14ac:dyDescent="0.1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2.75" customHeight="1" x14ac:dyDescent="0.1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2.75" customHeight="1" x14ac:dyDescent="0.1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2.75" customHeight="1" x14ac:dyDescent="0.1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2.75" customHeight="1" x14ac:dyDescent="0.1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2.75" customHeight="1" x14ac:dyDescent="0.1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2.75" customHeight="1" x14ac:dyDescent="0.1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2.75" customHeight="1" x14ac:dyDescent="0.1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2.75" customHeight="1" x14ac:dyDescent="0.1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2.75" customHeight="1" x14ac:dyDescent="0.1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2.75" customHeight="1" x14ac:dyDescent="0.1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2.75" customHeight="1" x14ac:dyDescent="0.1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2.75" customHeight="1" x14ac:dyDescent="0.1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2.75" customHeight="1" x14ac:dyDescent="0.1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2.75" customHeight="1" x14ac:dyDescent="0.1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2.75" customHeight="1" x14ac:dyDescent="0.1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2.75" customHeight="1" x14ac:dyDescent="0.1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2.75" customHeight="1" x14ac:dyDescent="0.1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2.75" customHeight="1" x14ac:dyDescent="0.1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2.75" customHeight="1" x14ac:dyDescent="0.1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2.75" customHeight="1" x14ac:dyDescent="0.1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2.75" customHeight="1" x14ac:dyDescent="0.1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2.75" customHeight="1" x14ac:dyDescent="0.1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2.75" customHeight="1" x14ac:dyDescent="0.1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2.75" customHeight="1" x14ac:dyDescent="0.1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2.75" customHeight="1" x14ac:dyDescent="0.1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2.75" customHeight="1" x14ac:dyDescent="0.1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2.75" customHeight="1" x14ac:dyDescent="0.1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2.75" customHeight="1" x14ac:dyDescent="0.1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2.75" customHeight="1" x14ac:dyDescent="0.1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2.75" customHeight="1" x14ac:dyDescent="0.1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2.75" customHeight="1" x14ac:dyDescent="0.1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2.75" customHeight="1" x14ac:dyDescent="0.1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2.75" customHeight="1" x14ac:dyDescent="0.1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2.75" customHeight="1" x14ac:dyDescent="0.1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2.75" customHeight="1" x14ac:dyDescent="0.1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2.75" customHeight="1" x14ac:dyDescent="0.1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2.75" customHeight="1" x14ac:dyDescent="0.1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2.75" customHeight="1" x14ac:dyDescent="0.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2.75" customHeight="1" x14ac:dyDescent="0.1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2.75" customHeight="1" x14ac:dyDescent="0.1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2.75" customHeight="1" x14ac:dyDescent="0.1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2.75" customHeight="1" x14ac:dyDescent="0.1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2.75" customHeight="1" x14ac:dyDescent="0.1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2.75" customHeight="1" x14ac:dyDescent="0.1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2.75" customHeight="1" x14ac:dyDescent="0.1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2.75" customHeight="1" x14ac:dyDescent="0.1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2.75" customHeight="1" x14ac:dyDescent="0.1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2.75" customHeight="1" x14ac:dyDescent="0.1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2.75" customHeight="1" x14ac:dyDescent="0.1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2.75" customHeight="1" x14ac:dyDescent="0.1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2.75" customHeight="1" x14ac:dyDescent="0.1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2.75" customHeight="1" x14ac:dyDescent="0.1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2.75" customHeight="1" x14ac:dyDescent="0.1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2.75" customHeight="1" x14ac:dyDescent="0.1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2.75" customHeight="1" x14ac:dyDescent="0.1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2.75" customHeight="1" x14ac:dyDescent="0.1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2.75" customHeight="1" x14ac:dyDescent="0.1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2.75" customHeight="1" x14ac:dyDescent="0.1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2.75" customHeight="1" x14ac:dyDescent="0.1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2.75" customHeight="1" x14ac:dyDescent="0.1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2.75" customHeight="1" x14ac:dyDescent="0.1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2.75" customHeight="1" x14ac:dyDescent="0.1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2.75" customHeight="1" x14ac:dyDescent="0.1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2.75" customHeight="1" x14ac:dyDescent="0.1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2.75" customHeight="1" x14ac:dyDescent="0.1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2.75" customHeight="1" x14ac:dyDescent="0.1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2.75" customHeight="1" x14ac:dyDescent="0.1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2.75" customHeight="1" x14ac:dyDescent="0.1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2.75" customHeight="1" x14ac:dyDescent="0.1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2.75" customHeight="1" x14ac:dyDescent="0.1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2.75" customHeight="1" x14ac:dyDescent="0.1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2.75" customHeight="1" x14ac:dyDescent="0.1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2.75" customHeight="1" x14ac:dyDescent="0.1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2.75" customHeight="1" x14ac:dyDescent="0.1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2.75" customHeight="1" x14ac:dyDescent="0.1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2.75" customHeight="1" x14ac:dyDescent="0.1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2.75" customHeight="1" x14ac:dyDescent="0.1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2.75" customHeight="1" x14ac:dyDescent="0.1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2.75" customHeight="1" x14ac:dyDescent="0.1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2.75" customHeight="1" x14ac:dyDescent="0.1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2.75" customHeight="1" x14ac:dyDescent="0.1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2.75" customHeight="1" x14ac:dyDescent="0.1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2.75" customHeight="1" x14ac:dyDescent="0.1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2.75" customHeight="1" x14ac:dyDescent="0.1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2.75" customHeight="1" x14ac:dyDescent="0.1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2.75" customHeight="1" x14ac:dyDescent="0.1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2.75" customHeight="1" x14ac:dyDescent="0.1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2.75" customHeight="1" x14ac:dyDescent="0.1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2.75" customHeight="1" x14ac:dyDescent="0.1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2.75" customHeight="1" x14ac:dyDescent="0.1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2.75" customHeight="1" x14ac:dyDescent="0.1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2.75" customHeight="1" x14ac:dyDescent="0.1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2.75" customHeight="1" x14ac:dyDescent="0.1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2.75" customHeight="1" x14ac:dyDescent="0.1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2.75" customHeight="1" x14ac:dyDescent="0.1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2.75" customHeight="1" x14ac:dyDescent="0.1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2.75" customHeight="1" x14ac:dyDescent="0.1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2.75" customHeight="1" x14ac:dyDescent="0.1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2.75" customHeight="1" x14ac:dyDescent="0.1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2.75" customHeight="1" x14ac:dyDescent="0.1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2.75" customHeight="1" x14ac:dyDescent="0.1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2.75" customHeight="1" x14ac:dyDescent="0.1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2.75" customHeight="1" x14ac:dyDescent="0.1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2.75" customHeight="1" x14ac:dyDescent="0.1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2.75" customHeight="1" x14ac:dyDescent="0.1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2.75" customHeight="1" x14ac:dyDescent="0.1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2.75" customHeight="1" x14ac:dyDescent="0.1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2.75" customHeight="1" x14ac:dyDescent="0.1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2.75" customHeight="1" x14ac:dyDescent="0.1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2.75" customHeight="1" x14ac:dyDescent="0.1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2.75" customHeight="1" x14ac:dyDescent="0.1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2.75" customHeight="1" x14ac:dyDescent="0.1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2.75" customHeight="1" x14ac:dyDescent="0.1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2.75" customHeight="1" x14ac:dyDescent="0.1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2.75" customHeight="1" x14ac:dyDescent="0.1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2.75" customHeight="1" x14ac:dyDescent="0.1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2.75" customHeight="1" x14ac:dyDescent="0.1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2.75" customHeight="1" x14ac:dyDescent="0.1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2.75" customHeight="1" x14ac:dyDescent="0.1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2.75" customHeight="1" x14ac:dyDescent="0.1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2.75" customHeight="1" x14ac:dyDescent="0.1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2.75" customHeight="1" x14ac:dyDescent="0.1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2.75" customHeight="1" x14ac:dyDescent="0.1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2.75" customHeight="1" x14ac:dyDescent="0.1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2.75" customHeight="1" x14ac:dyDescent="0.1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2.75" customHeight="1" x14ac:dyDescent="0.1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2.75" customHeight="1" x14ac:dyDescent="0.1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2.75" customHeight="1" x14ac:dyDescent="0.1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2.75" customHeight="1" x14ac:dyDescent="0.1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2.75" customHeight="1" x14ac:dyDescent="0.1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2.75" customHeight="1" x14ac:dyDescent="0.1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2.75" customHeight="1" x14ac:dyDescent="0.1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2.75" customHeight="1" x14ac:dyDescent="0.1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2.75" customHeight="1" x14ac:dyDescent="0.1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2.75" customHeight="1" x14ac:dyDescent="0.1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2.75" customHeight="1" x14ac:dyDescent="0.1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2.75" customHeight="1" x14ac:dyDescent="0.1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2.75" customHeight="1" x14ac:dyDescent="0.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2.75" customHeight="1" x14ac:dyDescent="0.1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2.75" customHeight="1" x14ac:dyDescent="0.1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2.75" customHeight="1" x14ac:dyDescent="0.1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2.75" customHeight="1" x14ac:dyDescent="0.1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2.75" customHeight="1" x14ac:dyDescent="0.1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2.75" customHeight="1" x14ac:dyDescent="0.1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2.75" customHeight="1" x14ac:dyDescent="0.1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2.75" customHeight="1" x14ac:dyDescent="0.1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2.75" customHeight="1" x14ac:dyDescent="0.1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2.75" customHeight="1" x14ac:dyDescent="0.1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2.75" customHeight="1" x14ac:dyDescent="0.1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2.75" customHeight="1" x14ac:dyDescent="0.1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2.75" customHeight="1" x14ac:dyDescent="0.1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2.75" customHeight="1" x14ac:dyDescent="0.1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2.75" customHeight="1" x14ac:dyDescent="0.1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2.75" customHeight="1" x14ac:dyDescent="0.1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2.75" customHeight="1" x14ac:dyDescent="0.1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2.75" customHeight="1" x14ac:dyDescent="0.1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2.75" customHeight="1" x14ac:dyDescent="0.1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2.75" customHeight="1" x14ac:dyDescent="0.1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2.75" customHeight="1" x14ac:dyDescent="0.1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2.75" customHeight="1" x14ac:dyDescent="0.1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2.75" customHeight="1" x14ac:dyDescent="0.1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2.75" customHeight="1" x14ac:dyDescent="0.1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2.75" customHeight="1" x14ac:dyDescent="0.1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2.75" customHeight="1" x14ac:dyDescent="0.1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2.75" customHeight="1" x14ac:dyDescent="0.1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2.75" customHeight="1" x14ac:dyDescent="0.1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2.75" customHeight="1" x14ac:dyDescent="0.1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2.75" customHeight="1" x14ac:dyDescent="0.1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2.75" customHeight="1" x14ac:dyDescent="0.1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2.75" customHeight="1" x14ac:dyDescent="0.1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2.75" customHeight="1" x14ac:dyDescent="0.1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2.75" customHeight="1" x14ac:dyDescent="0.1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2.75" customHeight="1" x14ac:dyDescent="0.1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2.75" customHeight="1" x14ac:dyDescent="0.1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2.75" customHeight="1" x14ac:dyDescent="0.1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2.75" customHeight="1" x14ac:dyDescent="0.1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2.75" customHeight="1" x14ac:dyDescent="0.1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2.75" customHeight="1" x14ac:dyDescent="0.1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2.75" customHeight="1" x14ac:dyDescent="0.1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2.75" customHeight="1" x14ac:dyDescent="0.1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2.75" customHeight="1" x14ac:dyDescent="0.1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2.75" customHeight="1" x14ac:dyDescent="0.1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2.75" customHeight="1" x14ac:dyDescent="0.1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2.75" customHeight="1" x14ac:dyDescent="0.1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2.75" customHeight="1" x14ac:dyDescent="0.1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2.75" customHeight="1" x14ac:dyDescent="0.1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2.75" customHeight="1" x14ac:dyDescent="0.1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2.75" customHeight="1" x14ac:dyDescent="0.1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2.75" customHeight="1" x14ac:dyDescent="0.1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2.75" customHeight="1" x14ac:dyDescent="0.1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2.75" customHeight="1" x14ac:dyDescent="0.1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2.75" customHeight="1" x14ac:dyDescent="0.1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2.75" customHeight="1" x14ac:dyDescent="0.1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2.75" customHeight="1" x14ac:dyDescent="0.1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2.75" customHeight="1" x14ac:dyDescent="0.1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2.75" customHeight="1" x14ac:dyDescent="0.1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2.75" customHeight="1" x14ac:dyDescent="0.1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2.75" customHeight="1" x14ac:dyDescent="0.1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2.75" customHeight="1" x14ac:dyDescent="0.1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2.75" customHeight="1" x14ac:dyDescent="0.1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2.75" customHeight="1" x14ac:dyDescent="0.1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2.75" customHeight="1" x14ac:dyDescent="0.1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2.75" customHeight="1" x14ac:dyDescent="0.1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2.75" customHeight="1" x14ac:dyDescent="0.1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2.75" customHeight="1" x14ac:dyDescent="0.1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2.75" customHeight="1" x14ac:dyDescent="0.1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2.75" customHeight="1" x14ac:dyDescent="0.1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2.75" customHeight="1" x14ac:dyDescent="0.1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2.75" customHeight="1" x14ac:dyDescent="0.1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2.75" customHeight="1" x14ac:dyDescent="0.1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2.75" customHeight="1" x14ac:dyDescent="0.1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2.75" customHeight="1" x14ac:dyDescent="0.1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2.75" customHeight="1" x14ac:dyDescent="0.1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2.75" customHeight="1" x14ac:dyDescent="0.1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2.75" customHeight="1" x14ac:dyDescent="0.1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2.75" customHeight="1" x14ac:dyDescent="0.1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2.75" customHeight="1" x14ac:dyDescent="0.1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2.75" customHeight="1" x14ac:dyDescent="0.1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2.75" customHeight="1" x14ac:dyDescent="0.1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2.75" customHeight="1" x14ac:dyDescent="0.1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2.75" customHeight="1" x14ac:dyDescent="0.1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2.75" customHeight="1" x14ac:dyDescent="0.1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2.75" customHeight="1" x14ac:dyDescent="0.1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2.75" customHeight="1" x14ac:dyDescent="0.1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2.75" customHeight="1" x14ac:dyDescent="0.1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2.75" customHeight="1" x14ac:dyDescent="0.1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2.75" customHeight="1" x14ac:dyDescent="0.1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2.75" customHeight="1" x14ac:dyDescent="0.1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2.75" customHeight="1" x14ac:dyDescent="0.1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2.75" customHeight="1" x14ac:dyDescent="0.1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2.75" customHeight="1" x14ac:dyDescent="0.1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2.75" customHeight="1" x14ac:dyDescent="0.1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2.75" customHeight="1" x14ac:dyDescent="0.1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2.75" customHeight="1" x14ac:dyDescent="0.1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2.75" customHeight="1" x14ac:dyDescent="0.1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2.75" customHeight="1" x14ac:dyDescent="0.1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2.75" customHeight="1" x14ac:dyDescent="0.1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2.75" customHeight="1" x14ac:dyDescent="0.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2.75" customHeight="1" x14ac:dyDescent="0.1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2.75" customHeight="1" x14ac:dyDescent="0.1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2.75" customHeight="1" x14ac:dyDescent="0.1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2.75" customHeight="1" x14ac:dyDescent="0.1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2.75" customHeight="1" x14ac:dyDescent="0.1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2.75" customHeight="1" x14ac:dyDescent="0.1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2.75" customHeight="1" x14ac:dyDescent="0.1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2.75" customHeight="1" x14ac:dyDescent="0.1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2.75" customHeight="1" x14ac:dyDescent="0.1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2.75" customHeight="1" x14ac:dyDescent="0.1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2.75" customHeight="1" x14ac:dyDescent="0.1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2.75" customHeight="1" x14ac:dyDescent="0.1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2.75" customHeight="1" x14ac:dyDescent="0.1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2.75" customHeight="1" x14ac:dyDescent="0.1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2.75" customHeight="1" x14ac:dyDescent="0.1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2.75" customHeight="1" x14ac:dyDescent="0.1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2.75" customHeight="1" x14ac:dyDescent="0.1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2.75" customHeight="1" x14ac:dyDescent="0.1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2.75" customHeight="1" x14ac:dyDescent="0.1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2.75" customHeight="1" x14ac:dyDescent="0.1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2.75" customHeight="1" x14ac:dyDescent="0.1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2.75" customHeight="1" x14ac:dyDescent="0.1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2.75" customHeight="1" x14ac:dyDescent="0.1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2.75" customHeight="1" x14ac:dyDescent="0.1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2.75" customHeight="1" x14ac:dyDescent="0.1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2.75" customHeight="1" x14ac:dyDescent="0.1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2.75" customHeight="1" x14ac:dyDescent="0.1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2.75" customHeight="1" x14ac:dyDescent="0.1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2.75" customHeight="1" x14ac:dyDescent="0.1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2.75" customHeight="1" x14ac:dyDescent="0.1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2.75" customHeight="1" x14ac:dyDescent="0.1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2.75" customHeight="1" x14ac:dyDescent="0.1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2.75" customHeight="1" x14ac:dyDescent="0.1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2.75" customHeight="1" x14ac:dyDescent="0.1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2.75" customHeight="1" x14ac:dyDescent="0.1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2.75" customHeight="1" x14ac:dyDescent="0.1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2.75" customHeight="1" x14ac:dyDescent="0.1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2.75" customHeight="1" x14ac:dyDescent="0.1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2.75" customHeight="1" x14ac:dyDescent="0.1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2.75" customHeight="1" x14ac:dyDescent="0.1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2.75" customHeight="1" x14ac:dyDescent="0.1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2.75" customHeight="1" x14ac:dyDescent="0.1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2.75" customHeight="1" x14ac:dyDescent="0.1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2.75" customHeight="1" x14ac:dyDescent="0.1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2.75" customHeight="1" x14ac:dyDescent="0.1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2.75" customHeight="1" x14ac:dyDescent="0.1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2.75" customHeight="1" x14ac:dyDescent="0.1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2.75" customHeight="1" x14ac:dyDescent="0.1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2.75" customHeight="1" x14ac:dyDescent="0.1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2.75" customHeight="1" x14ac:dyDescent="0.1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2.75" customHeight="1" x14ac:dyDescent="0.1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2.75" customHeight="1" x14ac:dyDescent="0.1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2.75" customHeight="1" x14ac:dyDescent="0.1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2.75" customHeight="1" x14ac:dyDescent="0.1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2.75" customHeight="1" x14ac:dyDescent="0.1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2.75" customHeight="1" x14ac:dyDescent="0.1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2.75" customHeight="1" x14ac:dyDescent="0.1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2.75" customHeight="1" x14ac:dyDescent="0.1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2.75" customHeight="1" x14ac:dyDescent="0.1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2.75" customHeight="1" x14ac:dyDescent="0.1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2.75" customHeight="1" x14ac:dyDescent="0.1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2.75" customHeight="1" x14ac:dyDescent="0.1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2.75" customHeight="1" x14ac:dyDescent="0.1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2.75" customHeight="1" x14ac:dyDescent="0.1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2.75" customHeight="1" x14ac:dyDescent="0.1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2.75" customHeight="1" x14ac:dyDescent="0.1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2.75" customHeight="1" x14ac:dyDescent="0.1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2.75" customHeight="1" x14ac:dyDescent="0.1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2.75" customHeight="1" x14ac:dyDescent="0.1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2.75" customHeight="1" x14ac:dyDescent="0.1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2.75" customHeight="1" x14ac:dyDescent="0.1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2.75" customHeight="1" x14ac:dyDescent="0.1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2.75" customHeight="1" x14ac:dyDescent="0.1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2.75" customHeight="1" x14ac:dyDescent="0.1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2.75" customHeight="1" x14ac:dyDescent="0.1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2.75" customHeight="1" x14ac:dyDescent="0.1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2.75" customHeight="1" x14ac:dyDescent="0.1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2.75" customHeight="1" x14ac:dyDescent="0.1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2.75" customHeight="1" x14ac:dyDescent="0.1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2.75" customHeight="1" x14ac:dyDescent="0.1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2.75" customHeight="1" x14ac:dyDescent="0.1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2.75" customHeight="1" x14ac:dyDescent="0.1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2.75" customHeight="1" x14ac:dyDescent="0.1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2.75" customHeight="1" x14ac:dyDescent="0.1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2.75" customHeight="1" x14ac:dyDescent="0.1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2.75" customHeight="1" x14ac:dyDescent="0.1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2.75" customHeight="1" x14ac:dyDescent="0.1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2.75" customHeight="1" x14ac:dyDescent="0.1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2.75" customHeight="1" x14ac:dyDescent="0.1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2.75" customHeight="1" x14ac:dyDescent="0.1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2.75" customHeight="1" x14ac:dyDescent="0.1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2.75" customHeight="1" x14ac:dyDescent="0.1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2.75" customHeight="1" x14ac:dyDescent="0.1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2.75" customHeight="1" x14ac:dyDescent="0.1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2.75" customHeight="1" x14ac:dyDescent="0.1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2.75" customHeight="1" x14ac:dyDescent="0.1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2.75" customHeight="1" x14ac:dyDescent="0.1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2.75" customHeight="1" x14ac:dyDescent="0.1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2.75" customHeight="1" x14ac:dyDescent="0.1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2.75" customHeight="1" x14ac:dyDescent="0.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2.75" customHeight="1" x14ac:dyDescent="0.1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2.75" customHeight="1" x14ac:dyDescent="0.1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2.75" customHeight="1" x14ac:dyDescent="0.1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2.75" customHeight="1" x14ac:dyDescent="0.1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2.75" customHeight="1" x14ac:dyDescent="0.1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2.75" customHeight="1" x14ac:dyDescent="0.1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2.75" customHeight="1" x14ac:dyDescent="0.1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2.75" customHeight="1" x14ac:dyDescent="0.1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2.75" customHeight="1" x14ac:dyDescent="0.1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2.75" customHeight="1" x14ac:dyDescent="0.1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2.75" customHeight="1" x14ac:dyDescent="0.1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2.75" customHeight="1" x14ac:dyDescent="0.1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2.75" customHeight="1" x14ac:dyDescent="0.1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2.75" customHeight="1" x14ac:dyDescent="0.1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2.75" customHeight="1" x14ac:dyDescent="0.1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2.75" customHeight="1" x14ac:dyDescent="0.1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2.75" customHeight="1" x14ac:dyDescent="0.1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2.75" customHeight="1" x14ac:dyDescent="0.1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2.75" customHeight="1" x14ac:dyDescent="0.1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2.75" customHeight="1" x14ac:dyDescent="0.1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2.75" customHeight="1" x14ac:dyDescent="0.1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2.75" customHeight="1" x14ac:dyDescent="0.1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2.75" customHeight="1" x14ac:dyDescent="0.1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2.75" customHeight="1" x14ac:dyDescent="0.1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2.75" customHeight="1" x14ac:dyDescent="0.1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2.75" customHeight="1" x14ac:dyDescent="0.1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2.75" customHeight="1" x14ac:dyDescent="0.1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2.75" customHeight="1" x14ac:dyDescent="0.1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2.75" customHeight="1" x14ac:dyDescent="0.1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2.75" customHeight="1" x14ac:dyDescent="0.1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2.75" customHeight="1" x14ac:dyDescent="0.1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2.75" customHeight="1" x14ac:dyDescent="0.1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2.75" customHeight="1" x14ac:dyDescent="0.1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2.75" customHeight="1" x14ac:dyDescent="0.1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2.75" customHeight="1" x14ac:dyDescent="0.1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2.75" customHeight="1" x14ac:dyDescent="0.1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2.75" customHeight="1" x14ac:dyDescent="0.1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2.75" customHeight="1" x14ac:dyDescent="0.1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2.75" customHeight="1" x14ac:dyDescent="0.1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2.75" customHeight="1" x14ac:dyDescent="0.1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2.75" customHeight="1" x14ac:dyDescent="0.1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2.75" customHeight="1" x14ac:dyDescent="0.1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2.75" customHeight="1" x14ac:dyDescent="0.1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2.75" customHeight="1" x14ac:dyDescent="0.1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2.75" customHeight="1" x14ac:dyDescent="0.1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2.75" customHeight="1" x14ac:dyDescent="0.1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2.75" customHeight="1" x14ac:dyDescent="0.1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2.75" customHeight="1" x14ac:dyDescent="0.1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2.75" customHeight="1" x14ac:dyDescent="0.1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2.75" customHeight="1" x14ac:dyDescent="0.1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2.75" customHeight="1" x14ac:dyDescent="0.1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2.75" customHeight="1" x14ac:dyDescent="0.1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2.75" customHeight="1" x14ac:dyDescent="0.1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2.75" customHeight="1" x14ac:dyDescent="0.1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2.75" customHeight="1" x14ac:dyDescent="0.1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2.75" customHeight="1" x14ac:dyDescent="0.1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2.75" customHeight="1" x14ac:dyDescent="0.1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2.75" customHeight="1" x14ac:dyDescent="0.1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2.75" customHeight="1" x14ac:dyDescent="0.1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2.75" customHeight="1" x14ac:dyDescent="0.1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2.75" customHeight="1" x14ac:dyDescent="0.1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2.75" customHeight="1" x14ac:dyDescent="0.1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2.75" customHeight="1" x14ac:dyDescent="0.1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2.75" customHeight="1" x14ac:dyDescent="0.1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2.75" customHeight="1" x14ac:dyDescent="0.1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2.75" customHeight="1" x14ac:dyDescent="0.1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2.75" customHeight="1" x14ac:dyDescent="0.1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2.75" customHeight="1" x14ac:dyDescent="0.1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2.75" customHeight="1" x14ac:dyDescent="0.1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2.75" customHeight="1" x14ac:dyDescent="0.1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2.75" customHeight="1" x14ac:dyDescent="0.1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2.75" customHeight="1" x14ac:dyDescent="0.1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2.75" customHeight="1" x14ac:dyDescent="0.1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2.75" customHeight="1" x14ac:dyDescent="0.1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2.75" customHeight="1" x14ac:dyDescent="0.1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2.75" customHeight="1" x14ac:dyDescent="0.1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2.75" customHeight="1" x14ac:dyDescent="0.1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2.75" customHeight="1" x14ac:dyDescent="0.1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2.75" customHeight="1" x14ac:dyDescent="0.1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2.75" customHeight="1" x14ac:dyDescent="0.1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2.75" customHeight="1" x14ac:dyDescent="0.1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2.75" customHeight="1" x14ac:dyDescent="0.1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2.75" customHeight="1" x14ac:dyDescent="0.1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2.75" customHeight="1" x14ac:dyDescent="0.1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2.75" customHeight="1" x14ac:dyDescent="0.1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2.75" customHeight="1" x14ac:dyDescent="0.1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2.75" customHeight="1" x14ac:dyDescent="0.1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2.75" customHeight="1" x14ac:dyDescent="0.1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2.75" customHeight="1" x14ac:dyDescent="0.1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2.75" customHeight="1" x14ac:dyDescent="0.1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2.75" customHeight="1" x14ac:dyDescent="0.1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2.75" customHeight="1" x14ac:dyDescent="0.1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2.75" customHeight="1" x14ac:dyDescent="0.1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2.75" customHeight="1" x14ac:dyDescent="0.1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2.75" customHeight="1" x14ac:dyDescent="0.1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2.75" customHeight="1" x14ac:dyDescent="0.1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2.75" customHeight="1" x14ac:dyDescent="0.1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2.75" customHeight="1" x14ac:dyDescent="0.1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2.75" customHeight="1" x14ac:dyDescent="0.1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2.75" customHeight="1" x14ac:dyDescent="0.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2.75" customHeight="1" x14ac:dyDescent="0.1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2.75" customHeight="1" x14ac:dyDescent="0.1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2.75" customHeight="1" x14ac:dyDescent="0.1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2.75" customHeight="1" x14ac:dyDescent="0.1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2.75" customHeight="1" x14ac:dyDescent="0.1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2.75" customHeight="1" x14ac:dyDescent="0.1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2.75" customHeight="1" x14ac:dyDescent="0.1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2.75" customHeight="1" x14ac:dyDescent="0.1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2.75" customHeight="1" x14ac:dyDescent="0.1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2.75" customHeight="1" x14ac:dyDescent="0.1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2.75" customHeight="1" x14ac:dyDescent="0.1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2.75" customHeight="1" x14ac:dyDescent="0.1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2.75" customHeight="1" x14ac:dyDescent="0.1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2.75" customHeight="1" x14ac:dyDescent="0.1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2.75" customHeight="1" x14ac:dyDescent="0.1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2.75" customHeight="1" x14ac:dyDescent="0.1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2.75" customHeight="1" x14ac:dyDescent="0.1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2.75" customHeight="1" x14ac:dyDescent="0.1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2.75" customHeight="1" x14ac:dyDescent="0.1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2.75" customHeight="1" x14ac:dyDescent="0.1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2.75" customHeight="1" x14ac:dyDescent="0.1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2.75" customHeight="1" x14ac:dyDescent="0.1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2.75" customHeight="1" x14ac:dyDescent="0.1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2.75" customHeight="1" x14ac:dyDescent="0.1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2.75" customHeight="1" x14ac:dyDescent="0.1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2.75" customHeight="1" x14ac:dyDescent="0.1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2.75" customHeight="1" x14ac:dyDescent="0.1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2.75" customHeight="1" x14ac:dyDescent="0.1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2.75" customHeight="1" x14ac:dyDescent="0.1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2.75" customHeight="1" x14ac:dyDescent="0.1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2.75" customHeight="1" x14ac:dyDescent="0.1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2.75" customHeight="1" x14ac:dyDescent="0.1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2.75" customHeight="1" x14ac:dyDescent="0.1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2.75" customHeight="1" x14ac:dyDescent="0.1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2.75" customHeight="1" x14ac:dyDescent="0.1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2.75" customHeight="1" x14ac:dyDescent="0.1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2.75" customHeight="1" x14ac:dyDescent="0.1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2.75" customHeight="1" x14ac:dyDescent="0.1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2.75" customHeight="1" x14ac:dyDescent="0.1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2.75" customHeight="1" x14ac:dyDescent="0.1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2.75" customHeight="1" x14ac:dyDescent="0.1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2.75" customHeight="1" x14ac:dyDescent="0.1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2.75" customHeight="1" x14ac:dyDescent="0.1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2.75" customHeight="1" x14ac:dyDescent="0.1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2.75" customHeight="1" x14ac:dyDescent="0.1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2.75" customHeight="1" x14ac:dyDescent="0.1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2.75" customHeight="1" x14ac:dyDescent="0.1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2.75" customHeight="1" x14ac:dyDescent="0.1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2.75" customHeight="1" x14ac:dyDescent="0.1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2.75" customHeight="1" x14ac:dyDescent="0.1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2.75" customHeight="1" x14ac:dyDescent="0.1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2.75" customHeight="1" x14ac:dyDescent="0.1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2.75" customHeight="1" x14ac:dyDescent="0.1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2.75" customHeight="1" x14ac:dyDescent="0.1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2.75" customHeight="1" x14ac:dyDescent="0.1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2.75" customHeight="1" x14ac:dyDescent="0.1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2.75" customHeight="1" x14ac:dyDescent="0.1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2.75" customHeight="1" x14ac:dyDescent="0.1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2.75" customHeight="1" x14ac:dyDescent="0.1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2.75" customHeight="1" x14ac:dyDescent="0.1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2.75" customHeight="1" x14ac:dyDescent="0.1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2.75" customHeight="1" x14ac:dyDescent="0.1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2.75" customHeight="1" x14ac:dyDescent="0.1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2.75" customHeight="1" x14ac:dyDescent="0.1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2.75" customHeight="1" x14ac:dyDescent="0.1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2.75" customHeight="1" x14ac:dyDescent="0.1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2.75" customHeight="1" x14ac:dyDescent="0.1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2.75" customHeight="1" x14ac:dyDescent="0.1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2.75" customHeight="1" x14ac:dyDescent="0.1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2.75" customHeight="1" x14ac:dyDescent="0.1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2.75" customHeight="1" x14ac:dyDescent="0.1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2.75" customHeight="1" x14ac:dyDescent="0.1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2.75" customHeight="1" x14ac:dyDescent="0.1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2.75" customHeight="1" x14ac:dyDescent="0.1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2.75" customHeight="1" x14ac:dyDescent="0.1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2.75" customHeight="1" x14ac:dyDescent="0.1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2.75" customHeight="1" x14ac:dyDescent="0.1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2.75" customHeight="1" x14ac:dyDescent="0.1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2.75" customHeight="1" x14ac:dyDescent="0.1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2.75" customHeight="1" x14ac:dyDescent="0.1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2.75" customHeight="1" x14ac:dyDescent="0.1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2.75" customHeight="1" x14ac:dyDescent="0.1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2.75" customHeight="1" x14ac:dyDescent="0.1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2.75" customHeight="1" x14ac:dyDescent="0.1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2.75" customHeight="1" x14ac:dyDescent="0.1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2.75" customHeight="1" x14ac:dyDescent="0.1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2.75" customHeight="1" x14ac:dyDescent="0.1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2.75" customHeight="1" x14ac:dyDescent="0.1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2.75" customHeight="1" x14ac:dyDescent="0.1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2.75" customHeight="1" x14ac:dyDescent="0.1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2.75" customHeight="1" x14ac:dyDescent="0.1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2.75" customHeight="1" x14ac:dyDescent="0.1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2.75" customHeight="1" x14ac:dyDescent="0.1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2.75" customHeight="1" x14ac:dyDescent="0.1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2.75" customHeight="1" x14ac:dyDescent="0.1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2.75" customHeight="1" x14ac:dyDescent="0.1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2.75" customHeight="1" x14ac:dyDescent="0.1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2.75" customHeight="1" x14ac:dyDescent="0.1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2.75" customHeight="1" x14ac:dyDescent="0.1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2.75" customHeight="1" x14ac:dyDescent="0.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2.75" customHeight="1" x14ac:dyDescent="0.1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2.75" customHeight="1" x14ac:dyDescent="0.1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2.75" customHeight="1" x14ac:dyDescent="0.1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2.75" customHeight="1" x14ac:dyDescent="0.1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2.75" customHeight="1" x14ac:dyDescent="0.1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2.75" customHeight="1" x14ac:dyDescent="0.1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2.75" customHeight="1" x14ac:dyDescent="0.1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2.75" customHeight="1" x14ac:dyDescent="0.1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2.75" customHeight="1" x14ac:dyDescent="0.1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2.75" customHeight="1" x14ac:dyDescent="0.1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2.75" customHeight="1" x14ac:dyDescent="0.1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2.75" customHeight="1" x14ac:dyDescent="0.1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2.75" customHeight="1" x14ac:dyDescent="0.1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2.75" customHeight="1" x14ac:dyDescent="0.1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2.75" customHeight="1" x14ac:dyDescent="0.1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2.75" customHeight="1" x14ac:dyDescent="0.1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2.75" customHeight="1" x14ac:dyDescent="0.1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2.75" customHeight="1" x14ac:dyDescent="0.1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2.75" customHeight="1" x14ac:dyDescent="0.1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2.75" customHeight="1" x14ac:dyDescent="0.1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2.75" customHeight="1" x14ac:dyDescent="0.1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2.75" customHeight="1" x14ac:dyDescent="0.1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2.75" customHeight="1" x14ac:dyDescent="0.1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2.75" customHeight="1" x14ac:dyDescent="0.1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2.75" customHeight="1" x14ac:dyDescent="0.1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2.75" customHeight="1" x14ac:dyDescent="0.1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2.75" customHeight="1" x14ac:dyDescent="0.1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2.75" customHeight="1" x14ac:dyDescent="0.1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2.75" customHeight="1" x14ac:dyDescent="0.1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2.75" customHeight="1" x14ac:dyDescent="0.1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2.75" customHeight="1" x14ac:dyDescent="0.1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2.75" customHeight="1" x14ac:dyDescent="0.1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2.75" customHeight="1" x14ac:dyDescent="0.1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2.75" customHeight="1" x14ac:dyDescent="0.1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2.75" customHeight="1" x14ac:dyDescent="0.1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2.75" customHeight="1" x14ac:dyDescent="0.1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2.75" customHeight="1" x14ac:dyDescent="0.1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2.75" customHeight="1" x14ac:dyDescent="0.1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2.75" customHeight="1" x14ac:dyDescent="0.1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2.75" customHeight="1" x14ac:dyDescent="0.1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2.75" customHeight="1" x14ac:dyDescent="0.1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2.75" customHeight="1" x14ac:dyDescent="0.1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2.75" customHeight="1" x14ac:dyDescent="0.1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2.75" customHeight="1" x14ac:dyDescent="0.1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2.75" customHeight="1" x14ac:dyDescent="0.1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2.75" customHeight="1" x14ac:dyDescent="0.1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2.75" customHeight="1" x14ac:dyDescent="0.1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2.75" customHeight="1" x14ac:dyDescent="0.1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2.75" customHeight="1" x14ac:dyDescent="0.1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2.75" customHeight="1" x14ac:dyDescent="0.1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2.75" customHeight="1" x14ac:dyDescent="0.1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2.75" customHeight="1" x14ac:dyDescent="0.1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2.75" customHeight="1" x14ac:dyDescent="0.1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2.75" customHeight="1" x14ac:dyDescent="0.1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2.75" customHeight="1" x14ac:dyDescent="0.1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2.75" customHeight="1" x14ac:dyDescent="0.1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2.75" customHeight="1" x14ac:dyDescent="0.1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2.75" customHeight="1" x14ac:dyDescent="0.1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2.75" customHeight="1" x14ac:dyDescent="0.1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2.75" customHeight="1" x14ac:dyDescent="0.1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2.75" customHeight="1" x14ac:dyDescent="0.1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2.75" customHeight="1" x14ac:dyDescent="0.1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2.75" customHeight="1" x14ac:dyDescent="0.1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2.75" customHeight="1" x14ac:dyDescent="0.1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2.75" customHeight="1" x14ac:dyDescent="0.1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2.75" customHeight="1" x14ac:dyDescent="0.1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2.75" customHeight="1" x14ac:dyDescent="0.1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2.75" customHeight="1" x14ac:dyDescent="0.1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2.75" customHeight="1" x14ac:dyDescent="0.1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2.75" customHeight="1" x14ac:dyDescent="0.1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2.75" customHeight="1" x14ac:dyDescent="0.1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2.75" customHeight="1" x14ac:dyDescent="0.1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2.75" customHeight="1" x14ac:dyDescent="0.1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2.75" customHeight="1" x14ac:dyDescent="0.1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2.75" customHeight="1" x14ac:dyDescent="0.1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2.75" customHeight="1" x14ac:dyDescent="0.1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2.75" customHeight="1" x14ac:dyDescent="0.1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2.75" customHeight="1" x14ac:dyDescent="0.1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2.75" customHeight="1" x14ac:dyDescent="0.1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2.75" customHeight="1" x14ac:dyDescent="0.1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2.75" customHeight="1" x14ac:dyDescent="0.1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2.75" customHeight="1" x14ac:dyDescent="0.1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2.75" customHeight="1" x14ac:dyDescent="0.1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2.75" customHeight="1" x14ac:dyDescent="0.1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2.75" customHeight="1" x14ac:dyDescent="0.1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</sheetData>
  <conditionalFormatting sqref="G59:AP59">
    <cfRule type="cellIs" dxfId="3" priority="1" operator="lessThan">
      <formula>0</formula>
    </cfRule>
  </conditionalFormatting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4EA15-443A-004E-88F7-7B79B45353A6}">
  <sheetPr>
    <tabColor theme="5"/>
  </sheetPr>
  <dimension ref="A1:AP1000"/>
  <sheetViews>
    <sheetView showGridLines="0" zoomScale="64" workbookViewId="0">
      <selection activeCell="C31" sqref="C31"/>
    </sheetView>
  </sheetViews>
  <sheetFormatPr baseColWidth="10" defaultColWidth="14.5" defaultRowHeight="15.75" customHeight="1" x14ac:dyDescent="0.15"/>
  <cols>
    <col min="1" max="1" width="2.6640625" customWidth="1"/>
    <col min="2" max="2" width="46.83203125" customWidth="1"/>
    <col min="3" max="3" width="13.33203125" customWidth="1"/>
    <col min="4" max="4" width="5.83203125" customWidth="1"/>
    <col min="5" max="5" width="13.1640625" customWidth="1"/>
    <col min="6" max="6" width="32.5" customWidth="1"/>
    <col min="7" max="42" width="10.6640625" customWidth="1"/>
  </cols>
  <sheetData>
    <row r="1" spans="1:42" ht="7.5" customHeight="1" x14ac:dyDescent="0.1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2.75" customHeight="1" x14ac:dyDescent="0.15">
      <c r="A2" s="1"/>
      <c r="B2" s="1"/>
      <c r="C2" s="3"/>
      <c r="D2" s="1"/>
      <c r="E2" s="1"/>
      <c r="F2" s="1"/>
      <c r="G2" s="4"/>
      <c r="H2" s="5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7.5" customHeight="1" x14ac:dyDescent="0.15">
      <c r="A3" s="1"/>
      <c r="B3" s="3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" customHeight="1" x14ac:dyDescent="0.15">
      <c r="A4" s="6"/>
      <c r="B4" s="6"/>
      <c r="C4" s="7"/>
      <c r="D4" s="6"/>
      <c r="E4" s="6"/>
      <c r="F4" s="8"/>
      <c r="G4" s="9">
        <v>1</v>
      </c>
      <c r="H4" s="9">
        <v>2</v>
      </c>
      <c r="I4" s="9">
        <v>3</v>
      </c>
      <c r="J4" s="9">
        <v>4</v>
      </c>
      <c r="K4" s="9">
        <v>5</v>
      </c>
      <c r="L4" s="9">
        <v>6</v>
      </c>
      <c r="M4" s="9">
        <v>7</v>
      </c>
      <c r="N4" s="9">
        <v>8</v>
      </c>
      <c r="O4" s="9">
        <v>9</v>
      </c>
      <c r="P4" s="9">
        <v>10</v>
      </c>
      <c r="Q4" s="9">
        <v>11</v>
      </c>
      <c r="R4" s="9">
        <v>12</v>
      </c>
      <c r="S4" s="9">
        <v>13</v>
      </c>
      <c r="T4" s="9">
        <v>14</v>
      </c>
      <c r="U4" s="9">
        <v>15</v>
      </c>
      <c r="V4" s="9">
        <v>16</v>
      </c>
      <c r="W4" s="9">
        <v>17</v>
      </c>
      <c r="X4" s="9">
        <v>18</v>
      </c>
      <c r="Y4" s="9">
        <v>19</v>
      </c>
      <c r="Z4" s="9">
        <v>20</v>
      </c>
      <c r="AA4" s="9">
        <v>21</v>
      </c>
      <c r="AB4" s="9">
        <v>22</v>
      </c>
      <c r="AC4" s="9">
        <v>23</v>
      </c>
      <c r="AD4" s="9">
        <v>24</v>
      </c>
      <c r="AE4" s="9">
        <v>25</v>
      </c>
      <c r="AF4" s="9">
        <v>26</v>
      </c>
      <c r="AG4" s="9">
        <v>27</v>
      </c>
      <c r="AH4" s="9">
        <v>28</v>
      </c>
      <c r="AI4" s="9">
        <v>29</v>
      </c>
      <c r="AJ4" s="9">
        <v>30</v>
      </c>
      <c r="AK4" s="9">
        <v>31</v>
      </c>
      <c r="AL4" s="9">
        <v>32</v>
      </c>
      <c r="AM4" s="9">
        <v>33</v>
      </c>
      <c r="AN4" s="9">
        <v>34</v>
      </c>
      <c r="AO4" s="9">
        <v>35</v>
      </c>
      <c r="AP4" s="9">
        <v>36</v>
      </c>
    </row>
    <row r="5" spans="1:42" ht="12.75" customHeight="1" x14ac:dyDescent="0.15">
      <c r="A5" s="1"/>
      <c r="B5" s="1"/>
      <c r="C5" s="2"/>
      <c r="D5" s="1"/>
      <c r="E5" s="1"/>
      <c r="F5" s="1"/>
      <c r="G5" s="10">
        <v>1</v>
      </c>
      <c r="H5" s="10">
        <v>2</v>
      </c>
      <c r="I5" s="10">
        <v>3</v>
      </c>
      <c r="J5" s="10">
        <v>4</v>
      </c>
      <c r="K5" s="10">
        <v>5</v>
      </c>
      <c r="L5" s="10">
        <v>6</v>
      </c>
      <c r="M5" s="10">
        <v>7</v>
      </c>
      <c r="N5" s="10">
        <v>8</v>
      </c>
      <c r="O5" s="10">
        <v>9</v>
      </c>
      <c r="P5" s="10">
        <v>10</v>
      </c>
      <c r="Q5" s="10">
        <v>11</v>
      </c>
      <c r="R5" s="10">
        <v>12</v>
      </c>
      <c r="S5" s="10">
        <v>13</v>
      </c>
      <c r="T5" s="10">
        <v>14</v>
      </c>
      <c r="U5" s="10">
        <v>15</v>
      </c>
      <c r="V5" s="10">
        <v>16</v>
      </c>
      <c r="W5" s="10">
        <v>17</v>
      </c>
      <c r="X5" s="10">
        <v>18</v>
      </c>
      <c r="Y5" s="10">
        <v>19</v>
      </c>
      <c r="Z5" s="10">
        <v>20</v>
      </c>
      <c r="AA5" s="10">
        <v>21</v>
      </c>
      <c r="AB5" s="10">
        <v>22</v>
      </c>
      <c r="AC5" s="10">
        <v>23</v>
      </c>
      <c r="AD5" s="10">
        <f t="shared" ref="AD5:AP5" si="0">AD4</f>
        <v>24</v>
      </c>
      <c r="AE5" s="10">
        <f t="shared" si="0"/>
        <v>25</v>
      </c>
      <c r="AF5" s="10">
        <f t="shared" si="0"/>
        <v>26</v>
      </c>
      <c r="AG5" s="10">
        <f t="shared" si="0"/>
        <v>27</v>
      </c>
      <c r="AH5" s="10">
        <f t="shared" si="0"/>
        <v>28</v>
      </c>
      <c r="AI5" s="10">
        <f t="shared" si="0"/>
        <v>29</v>
      </c>
      <c r="AJ5" s="10">
        <f t="shared" si="0"/>
        <v>30</v>
      </c>
      <c r="AK5" s="10">
        <f t="shared" si="0"/>
        <v>31</v>
      </c>
      <c r="AL5" s="10">
        <f t="shared" si="0"/>
        <v>32</v>
      </c>
      <c r="AM5" s="10">
        <f t="shared" si="0"/>
        <v>33</v>
      </c>
      <c r="AN5" s="10">
        <f t="shared" si="0"/>
        <v>34</v>
      </c>
      <c r="AO5" s="10">
        <f t="shared" si="0"/>
        <v>35</v>
      </c>
      <c r="AP5" s="10">
        <f t="shared" si="0"/>
        <v>36</v>
      </c>
    </row>
    <row r="6" spans="1:42" ht="12.75" customHeight="1" x14ac:dyDescent="0.15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12.75" customHeight="1" x14ac:dyDescent="0.15">
      <c r="A7" s="1"/>
      <c r="B7" s="1"/>
      <c r="C7" s="2"/>
      <c r="D7" s="1"/>
      <c r="E7" s="1"/>
      <c r="F7" s="11" t="s">
        <v>1</v>
      </c>
      <c r="G7" s="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</row>
    <row r="8" spans="1:42" ht="12.75" customHeight="1" x14ac:dyDescent="0.15">
      <c r="A8" s="1"/>
      <c r="B8" s="1"/>
      <c r="C8" s="2"/>
      <c r="D8" s="1"/>
      <c r="E8" s="1"/>
      <c r="F8" s="13" t="s">
        <v>2</v>
      </c>
      <c r="G8" s="14"/>
      <c r="H8" s="14">
        <v>10000</v>
      </c>
      <c r="I8" s="14">
        <f>H8*107%</f>
        <v>10700</v>
      </c>
      <c r="J8" s="14">
        <f t="shared" ref="J8:R8" si="1">I8*105%</f>
        <v>11235</v>
      </c>
      <c r="K8" s="14">
        <f t="shared" si="1"/>
        <v>11796.75</v>
      </c>
      <c r="L8" s="14">
        <f t="shared" si="1"/>
        <v>12386.5875</v>
      </c>
      <c r="M8" s="14">
        <f t="shared" si="1"/>
        <v>13005.916875000001</v>
      </c>
      <c r="N8" s="14">
        <f t="shared" si="1"/>
        <v>13656.212718750001</v>
      </c>
      <c r="O8" s="14">
        <f t="shared" si="1"/>
        <v>14339.023354687502</v>
      </c>
      <c r="P8" s="14">
        <f t="shared" si="1"/>
        <v>15055.974522421879</v>
      </c>
      <c r="Q8" s="14">
        <f t="shared" si="1"/>
        <v>15808.773248542973</v>
      </c>
      <c r="R8" s="14">
        <f t="shared" si="1"/>
        <v>16599.211910970123</v>
      </c>
      <c r="S8" s="14">
        <f t="shared" ref="S8:AP8" si="2">R8*102%</f>
        <v>16931.196149189527</v>
      </c>
      <c r="T8" s="14">
        <f t="shared" si="2"/>
        <v>17269.820072173319</v>
      </c>
      <c r="U8" s="14">
        <f t="shared" si="2"/>
        <v>17615.216473616787</v>
      </c>
      <c r="V8" s="14">
        <f t="shared" si="2"/>
        <v>17967.520803089123</v>
      </c>
      <c r="W8" s="14">
        <f t="shared" si="2"/>
        <v>18326.871219150904</v>
      </c>
      <c r="X8" s="14">
        <f t="shared" si="2"/>
        <v>18693.408643533923</v>
      </c>
      <c r="Y8" s="14">
        <f t="shared" si="2"/>
        <v>19067.276816404603</v>
      </c>
      <c r="Z8" s="14">
        <f t="shared" si="2"/>
        <v>19448.622352732695</v>
      </c>
      <c r="AA8" s="14">
        <f t="shared" si="2"/>
        <v>19837.594799787348</v>
      </c>
      <c r="AB8" s="14">
        <f t="shared" si="2"/>
        <v>20234.346695783097</v>
      </c>
      <c r="AC8" s="14">
        <f t="shared" si="2"/>
        <v>20639.033629698759</v>
      </c>
      <c r="AD8" s="14">
        <f t="shared" si="2"/>
        <v>21051.814302292736</v>
      </c>
      <c r="AE8" s="14">
        <f t="shared" si="2"/>
        <v>21472.850588338591</v>
      </c>
      <c r="AF8" s="14">
        <f t="shared" si="2"/>
        <v>21902.307600105363</v>
      </c>
      <c r="AG8" s="14">
        <f t="shared" si="2"/>
        <v>22340.353752107472</v>
      </c>
      <c r="AH8" s="14">
        <f t="shared" si="2"/>
        <v>22787.160827149622</v>
      </c>
      <c r="AI8" s="14">
        <f t="shared" si="2"/>
        <v>23242.904043692615</v>
      </c>
      <c r="AJ8" s="14">
        <f t="shared" si="2"/>
        <v>23707.762124566467</v>
      </c>
      <c r="AK8" s="14">
        <f t="shared" si="2"/>
        <v>24181.917367057795</v>
      </c>
      <c r="AL8" s="14">
        <f t="shared" si="2"/>
        <v>24665.55571439895</v>
      </c>
      <c r="AM8" s="14">
        <f t="shared" si="2"/>
        <v>25158.866828686929</v>
      </c>
      <c r="AN8" s="14">
        <f t="shared" si="2"/>
        <v>25662.044165260668</v>
      </c>
      <c r="AO8" s="14">
        <f t="shared" si="2"/>
        <v>26175.285048565882</v>
      </c>
      <c r="AP8" s="14">
        <f t="shared" si="2"/>
        <v>26698.790749537198</v>
      </c>
    </row>
    <row r="9" spans="1:42" ht="12.75" customHeight="1" x14ac:dyDescent="0.15">
      <c r="A9" s="1"/>
      <c r="B9" s="1"/>
      <c r="C9" s="2"/>
      <c r="D9" s="1"/>
      <c r="E9" s="4">
        <v>0.3</v>
      </c>
      <c r="F9" s="1" t="s">
        <v>3</v>
      </c>
      <c r="G9" s="2"/>
      <c r="H9" s="2">
        <f>H8*$E$9</f>
        <v>3000</v>
      </c>
      <c r="I9" s="2">
        <f>I8*$E$9</f>
        <v>3210</v>
      </c>
      <c r="J9" s="2">
        <f>J8*$E$9</f>
        <v>3370.5</v>
      </c>
      <c r="K9" s="2">
        <f t="shared" ref="K9:AP9" si="3">K8*$E$9</f>
        <v>3539.0250000000001</v>
      </c>
      <c r="L9" s="2">
        <f t="shared" si="3"/>
        <v>3715.9762499999997</v>
      </c>
      <c r="M9" s="2">
        <f t="shared" si="3"/>
        <v>3901.7750624999999</v>
      </c>
      <c r="N9" s="2">
        <f t="shared" si="3"/>
        <v>4096.8638156249999</v>
      </c>
      <c r="O9" s="2">
        <f t="shared" si="3"/>
        <v>4301.7070064062509</v>
      </c>
      <c r="P9" s="2">
        <f t="shared" si="3"/>
        <v>4516.7923567265634</v>
      </c>
      <c r="Q9" s="2">
        <f t="shared" si="3"/>
        <v>4742.6319745628916</v>
      </c>
      <c r="R9" s="2">
        <f t="shared" si="3"/>
        <v>4979.7635732910367</v>
      </c>
      <c r="S9" s="2">
        <f t="shared" si="3"/>
        <v>5079.3588447568582</v>
      </c>
      <c r="T9" s="2">
        <f t="shared" si="3"/>
        <v>5180.9460216519956</v>
      </c>
      <c r="U9" s="2">
        <f t="shared" si="3"/>
        <v>5284.5649420850359</v>
      </c>
      <c r="V9" s="2">
        <f t="shared" si="3"/>
        <v>5390.2562409267366</v>
      </c>
      <c r="W9" s="2">
        <f t="shared" si="3"/>
        <v>5498.0613657452714</v>
      </c>
      <c r="X9" s="2">
        <f t="shared" si="3"/>
        <v>5608.0225930601764</v>
      </c>
      <c r="Y9" s="2">
        <f t="shared" si="3"/>
        <v>5720.1830449213803</v>
      </c>
      <c r="Z9" s="2">
        <f t="shared" si="3"/>
        <v>5834.5867058198082</v>
      </c>
      <c r="AA9" s="2">
        <f t="shared" si="3"/>
        <v>5951.2784399362044</v>
      </c>
      <c r="AB9" s="2">
        <f t="shared" si="3"/>
        <v>6070.3040087349291</v>
      </c>
      <c r="AC9" s="2">
        <f t="shared" si="3"/>
        <v>6191.7100889096273</v>
      </c>
      <c r="AD9" s="2">
        <f t="shared" si="3"/>
        <v>6315.5442906878206</v>
      </c>
      <c r="AE9" s="2">
        <f t="shared" si="3"/>
        <v>6441.8551765015773</v>
      </c>
      <c r="AF9" s="2">
        <f t="shared" si="3"/>
        <v>6570.6922800316088</v>
      </c>
      <c r="AG9" s="2">
        <f t="shared" si="3"/>
        <v>6702.1061256322419</v>
      </c>
      <c r="AH9" s="2">
        <f t="shared" si="3"/>
        <v>6836.1482481448866</v>
      </c>
      <c r="AI9" s="2">
        <f t="shared" si="3"/>
        <v>6972.8712131077846</v>
      </c>
      <c r="AJ9" s="2">
        <f t="shared" si="3"/>
        <v>7112.3286373699402</v>
      </c>
      <c r="AK9" s="2">
        <f t="shared" si="3"/>
        <v>7254.5752101173384</v>
      </c>
      <c r="AL9" s="2">
        <f t="shared" si="3"/>
        <v>7399.6667143196846</v>
      </c>
      <c r="AM9" s="2">
        <f t="shared" si="3"/>
        <v>7547.6600486060779</v>
      </c>
      <c r="AN9" s="2">
        <f t="shared" si="3"/>
        <v>7698.6132495782003</v>
      </c>
      <c r="AO9" s="2">
        <f t="shared" si="3"/>
        <v>7852.5855145697642</v>
      </c>
      <c r="AP9" s="2">
        <f t="shared" si="3"/>
        <v>8009.6372248611588</v>
      </c>
    </row>
    <row r="10" spans="1:42" ht="12.75" customHeight="1" x14ac:dyDescent="0.15">
      <c r="A10" s="15"/>
      <c r="B10" s="15"/>
      <c r="C10" s="15"/>
      <c r="D10" s="15"/>
      <c r="E10" s="4">
        <v>0.1</v>
      </c>
      <c r="F10" s="13" t="s">
        <v>4</v>
      </c>
      <c r="G10" s="2"/>
      <c r="H10" s="2">
        <f t="shared" ref="H10:AP10" si="4">H9*$E$10</f>
        <v>300</v>
      </c>
      <c r="I10" s="2">
        <f t="shared" si="4"/>
        <v>321</v>
      </c>
      <c r="J10" s="2">
        <f t="shared" si="4"/>
        <v>337.05</v>
      </c>
      <c r="K10" s="2">
        <f t="shared" si="4"/>
        <v>353.90250000000003</v>
      </c>
      <c r="L10" s="2">
        <f t="shared" si="4"/>
        <v>371.59762499999999</v>
      </c>
      <c r="M10" s="2">
        <f t="shared" si="4"/>
        <v>390.17750625000002</v>
      </c>
      <c r="N10" s="2">
        <f t="shared" si="4"/>
        <v>409.6863815625</v>
      </c>
      <c r="O10" s="2">
        <f t="shared" si="4"/>
        <v>430.17070064062511</v>
      </c>
      <c r="P10" s="2">
        <f t="shared" si="4"/>
        <v>451.67923567265638</v>
      </c>
      <c r="Q10" s="2">
        <f t="shared" si="4"/>
        <v>474.26319745628916</v>
      </c>
      <c r="R10" s="2">
        <f t="shared" si="4"/>
        <v>497.97635732910368</v>
      </c>
      <c r="S10" s="2">
        <f t="shared" si="4"/>
        <v>507.93588447568584</v>
      </c>
      <c r="T10" s="2">
        <f t="shared" si="4"/>
        <v>518.0946021651996</v>
      </c>
      <c r="U10" s="2">
        <f t="shared" si="4"/>
        <v>528.45649420850361</v>
      </c>
      <c r="V10" s="2">
        <f t="shared" si="4"/>
        <v>539.02562409267364</v>
      </c>
      <c r="W10" s="2">
        <f t="shared" si="4"/>
        <v>549.80613657452716</v>
      </c>
      <c r="X10" s="2">
        <f t="shared" si="4"/>
        <v>560.80225930601762</v>
      </c>
      <c r="Y10" s="2">
        <f t="shared" si="4"/>
        <v>572.0183044921381</v>
      </c>
      <c r="Z10" s="2">
        <f t="shared" si="4"/>
        <v>583.45867058198087</v>
      </c>
      <c r="AA10" s="2">
        <f t="shared" si="4"/>
        <v>595.12784399362044</v>
      </c>
      <c r="AB10" s="2">
        <f t="shared" si="4"/>
        <v>607.03040087349291</v>
      </c>
      <c r="AC10" s="2">
        <f t="shared" si="4"/>
        <v>619.17100889096275</v>
      </c>
      <c r="AD10" s="2">
        <f t="shared" si="4"/>
        <v>631.55442906878216</v>
      </c>
      <c r="AE10" s="2">
        <f t="shared" si="4"/>
        <v>644.18551765015775</v>
      </c>
      <c r="AF10" s="2">
        <f t="shared" si="4"/>
        <v>657.0692280031609</v>
      </c>
      <c r="AG10" s="2">
        <f t="shared" si="4"/>
        <v>670.21061256322423</v>
      </c>
      <c r="AH10" s="2">
        <f t="shared" si="4"/>
        <v>683.61482481448866</v>
      </c>
      <c r="AI10" s="2">
        <f t="shared" si="4"/>
        <v>697.2871213107785</v>
      </c>
      <c r="AJ10" s="2">
        <f t="shared" si="4"/>
        <v>711.23286373699409</v>
      </c>
      <c r="AK10" s="2">
        <f t="shared" si="4"/>
        <v>725.45752101173389</v>
      </c>
      <c r="AL10" s="2">
        <f t="shared" si="4"/>
        <v>739.96667143196851</v>
      </c>
      <c r="AM10" s="2">
        <f t="shared" si="4"/>
        <v>754.76600486060784</v>
      </c>
      <c r="AN10" s="2">
        <f t="shared" si="4"/>
        <v>769.8613249578201</v>
      </c>
      <c r="AO10" s="2">
        <f t="shared" si="4"/>
        <v>785.25855145697642</v>
      </c>
      <c r="AP10" s="2">
        <f t="shared" si="4"/>
        <v>800.9637224861159</v>
      </c>
    </row>
    <row r="11" spans="1:42" ht="12.75" customHeight="1" x14ac:dyDescent="0.15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2.75" customHeight="1" x14ac:dyDescent="0.15">
      <c r="A12" s="1"/>
      <c r="B12" s="16"/>
      <c r="C12" s="17"/>
      <c r="D12" s="1"/>
      <c r="E12" s="1"/>
      <c r="F12" s="11" t="s">
        <v>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2.75" customHeight="1" x14ac:dyDescent="0.15">
      <c r="A13" s="1"/>
      <c r="B13" s="16"/>
      <c r="C13" s="17"/>
      <c r="D13" s="1"/>
      <c r="E13" s="1"/>
      <c r="F13" s="13" t="s">
        <v>6</v>
      </c>
      <c r="G13" s="14"/>
      <c r="H13" s="14">
        <v>1500</v>
      </c>
      <c r="I13" s="14">
        <f t="shared" ref="I13:R13" si="5">H13*105%</f>
        <v>1575</v>
      </c>
      <c r="J13" s="14">
        <f t="shared" si="5"/>
        <v>1653.75</v>
      </c>
      <c r="K13" s="14">
        <f t="shared" si="5"/>
        <v>1736.4375</v>
      </c>
      <c r="L13" s="14">
        <f t="shared" si="5"/>
        <v>1823.2593750000001</v>
      </c>
      <c r="M13" s="14">
        <f t="shared" si="5"/>
        <v>1914.4223437500002</v>
      </c>
      <c r="N13" s="14">
        <f t="shared" si="5"/>
        <v>2010.1434609375003</v>
      </c>
      <c r="O13" s="14">
        <f t="shared" si="5"/>
        <v>2110.6506339843754</v>
      </c>
      <c r="P13" s="14">
        <f t="shared" si="5"/>
        <v>2216.1831656835943</v>
      </c>
      <c r="Q13" s="14">
        <f t="shared" si="5"/>
        <v>2326.9923239677742</v>
      </c>
      <c r="R13" s="14">
        <f t="shared" si="5"/>
        <v>2443.3419401661631</v>
      </c>
      <c r="S13" s="14">
        <f t="shared" ref="S13:AC13" si="6">R13*100.5%</f>
        <v>2455.5586498669936</v>
      </c>
      <c r="T13" s="14">
        <f t="shared" si="6"/>
        <v>2467.8364431163282</v>
      </c>
      <c r="U13" s="14">
        <f t="shared" si="6"/>
        <v>2480.1756253319095</v>
      </c>
      <c r="V13" s="14">
        <f t="shared" si="6"/>
        <v>2492.5765034585688</v>
      </c>
      <c r="W13" s="14">
        <f t="shared" si="6"/>
        <v>2505.0393859758615</v>
      </c>
      <c r="X13" s="14">
        <f t="shared" si="6"/>
        <v>2517.5645829057407</v>
      </c>
      <c r="Y13" s="14">
        <f t="shared" si="6"/>
        <v>2530.152405820269</v>
      </c>
      <c r="Z13" s="14">
        <f t="shared" si="6"/>
        <v>2542.8031678493699</v>
      </c>
      <c r="AA13" s="14">
        <f t="shared" si="6"/>
        <v>2555.5171836886166</v>
      </c>
      <c r="AB13" s="14">
        <f t="shared" si="6"/>
        <v>2568.2947696070596</v>
      </c>
      <c r="AC13" s="14">
        <f t="shared" si="6"/>
        <v>2581.1362434550947</v>
      </c>
      <c r="AD13" s="14">
        <f t="shared" ref="AD13:AP13" si="7">AC13*100.1%</f>
        <v>2583.7173796985494</v>
      </c>
      <c r="AE13" s="14">
        <f t="shared" si="7"/>
        <v>2586.3010970782475</v>
      </c>
      <c r="AF13" s="14">
        <f t="shared" si="7"/>
        <v>2588.8873981753254</v>
      </c>
      <c r="AG13" s="14">
        <f t="shared" si="7"/>
        <v>2591.4762855735003</v>
      </c>
      <c r="AH13" s="14">
        <f t="shared" si="7"/>
        <v>2594.0677618590735</v>
      </c>
      <c r="AI13" s="14">
        <f t="shared" si="7"/>
        <v>2596.6618296209322</v>
      </c>
      <c r="AJ13" s="14">
        <f t="shared" si="7"/>
        <v>2599.2584914505528</v>
      </c>
      <c r="AK13" s="14">
        <f t="shared" si="7"/>
        <v>2601.857749942003</v>
      </c>
      <c r="AL13" s="14">
        <f t="shared" si="7"/>
        <v>2604.4596076919447</v>
      </c>
      <c r="AM13" s="14">
        <f t="shared" si="7"/>
        <v>2607.0640672996365</v>
      </c>
      <c r="AN13" s="14">
        <f t="shared" si="7"/>
        <v>2609.6711313669357</v>
      </c>
      <c r="AO13" s="14">
        <f t="shared" si="7"/>
        <v>2612.2808024983024</v>
      </c>
      <c r="AP13" s="14">
        <f t="shared" si="7"/>
        <v>2614.8930833008003</v>
      </c>
    </row>
    <row r="14" spans="1:42" ht="12.75" customHeight="1" x14ac:dyDescent="0.15">
      <c r="A14" s="1"/>
      <c r="B14" s="16"/>
      <c r="C14" s="17"/>
      <c r="D14" s="1"/>
      <c r="E14" s="4">
        <v>0.9</v>
      </c>
      <c r="F14" s="1" t="s">
        <v>3</v>
      </c>
      <c r="G14" s="2"/>
      <c r="H14" s="2">
        <f t="shared" ref="H14:AP14" si="8">H13*$E$14</f>
        <v>1350</v>
      </c>
      <c r="I14" s="2">
        <f t="shared" si="8"/>
        <v>1417.5</v>
      </c>
      <c r="J14" s="2">
        <f t="shared" si="8"/>
        <v>1488.375</v>
      </c>
      <c r="K14" s="2">
        <f t="shared" si="8"/>
        <v>1562.79375</v>
      </c>
      <c r="L14" s="2">
        <f t="shared" si="8"/>
        <v>1640.9334375000001</v>
      </c>
      <c r="M14" s="2">
        <f t="shared" si="8"/>
        <v>1722.9801093750002</v>
      </c>
      <c r="N14" s="2">
        <f t="shared" si="8"/>
        <v>1809.1291148437504</v>
      </c>
      <c r="O14" s="2">
        <f t="shared" si="8"/>
        <v>1899.5855705859378</v>
      </c>
      <c r="P14" s="2">
        <f t="shared" si="8"/>
        <v>1994.5648491152349</v>
      </c>
      <c r="Q14" s="2">
        <f t="shared" si="8"/>
        <v>2094.2930915709967</v>
      </c>
      <c r="R14" s="2">
        <f t="shared" si="8"/>
        <v>2199.0077461495471</v>
      </c>
      <c r="S14" s="2">
        <f t="shared" si="8"/>
        <v>2210.0027848802943</v>
      </c>
      <c r="T14" s="2">
        <f t="shared" si="8"/>
        <v>2221.0527988046956</v>
      </c>
      <c r="U14" s="2">
        <f t="shared" si="8"/>
        <v>2232.1580627987187</v>
      </c>
      <c r="V14" s="2">
        <f t="shared" si="8"/>
        <v>2243.3188531127121</v>
      </c>
      <c r="W14" s="2">
        <f t="shared" si="8"/>
        <v>2254.5354473782754</v>
      </c>
      <c r="X14" s="2">
        <f t="shared" si="8"/>
        <v>2265.8081246151669</v>
      </c>
      <c r="Y14" s="2">
        <f t="shared" si="8"/>
        <v>2277.1371652382422</v>
      </c>
      <c r="Z14" s="2">
        <f t="shared" si="8"/>
        <v>2288.5228510644329</v>
      </c>
      <c r="AA14" s="2">
        <f t="shared" si="8"/>
        <v>2299.9654653197549</v>
      </c>
      <c r="AB14" s="2">
        <f t="shared" si="8"/>
        <v>2311.4652926463536</v>
      </c>
      <c r="AC14" s="2">
        <f t="shared" si="8"/>
        <v>2323.0226191095853</v>
      </c>
      <c r="AD14" s="2">
        <f t="shared" si="8"/>
        <v>2325.3456417286943</v>
      </c>
      <c r="AE14" s="2">
        <f t="shared" si="8"/>
        <v>2327.6709873704226</v>
      </c>
      <c r="AF14" s="2">
        <f t="shared" si="8"/>
        <v>2329.9986583577929</v>
      </c>
      <c r="AG14" s="2">
        <f t="shared" si="8"/>
        <v>2332.3286570161504</v>
      </c>
      <c r="AH14" s="2">
        <f t="shared" si="8"/>
        <v>2334.6609856731661</v>
      </c>
      <c r="AI14" s="2">
        <f t="shared" si="8"/>
        <v>2336.9956466588392</v>
      </c>
      <c r="AJ14" s="2">
        <f t="shared" si="8"/>
        <v>2339.3326423054978</v>
      </c>
      <c r="AK14" s="2">
        <f t="shared" si="8"/>
        <v>2341.6719749478029</v>
      </c>
      <c r="AL14" s="2">
        <f t="shared" si="8"/>
        <v>2344.0136469227505</v>
      </c>
      <c r="AM14" s="2">
        <f t="shared" si="8"/>
        <v>2346.357660569673</v>
      </c>
      <c r="AN14" s="2">
        <f t="shared" si="8"/>
        <v>2348.7040182302421</v>
      </c>
      <c r="AO14" s="2">
        <f t="shared" si="8"/>
        <v>2351.052722248472</v>
      </c>
      <c r="AP14" s="2">
        <f t="shared" si="8"/>
        <v>2353.4037749707204</v>
      </c>
    </row>
    <row r="15" spans="1:42" ht="12.75" customHeight="1" x14ac:dyDescent="0.15">
      <c r="A15" s="1"/>
      <c r="B15" s="16"/>
      <c r="C15" s="17"/>
      <c r="D15" s="1"/>
      <c r="E15" s="4">
        <v>0.3</v>
      </c>
      <c r="F15" s="13" t="s">
        <v>4</v>
      </c>
      <c r="G15" s="2"/>
      <c r="H15" s="2">
        <f t="shared" ref="H15:AP15" si="9">H14*$E$15</f>
        <v>405</v>
      </c>
      <c r="I15" s="2">
        <f t="shared" si="9"/>
        <v>425.25</v>
      </c>
      <c r="J15" s="2">
        <f t="shared" si="9"/>
        <v>446.51249999999999</v>
      </c>
      <c r="K15" s="2">
        <f t="shared" si="9"/>
        <v>468.83812499999999</v>
      </c>
      <c r="L15" s="2">
        <f t="shared" si="9"/>
        <v>492.28003124999998</v>
      </c>
      <c r="M15" s="2">
        <f t="shared" si="9"/>
        <v>516.89403281250009</v>
      </c>
      <c r="N15" s="2">
        <f t="shared" si="9"/>
        <v>542.73873445312506</v>
      </c>
      <c r="O15" s="2">
        <f t="shared" si="9"/>
        <v>569.87567117578135</v>
      </c>
      <c r="P15" s="2">
        <f t="shared" si="9"/>
        <v>598.36945473457047</v>
      </c>
      <c r="Q15" s="2">
        <f t="shared" si="9"/>
        <v>628.28792747129899</v>
      </c>
      <c r="R15" s="2">
        <f t="shared" si="9"/>
        <v>659.70232384486405</v>
      </c>
      <c r="S15" s="2">
        <f t="shared" si="9"/>
        <v>663.00083546408825</v>
      </c>
      <c r="T15" s="2">
        <f t="shared" si="9"/>
        <v>666.31583964140862</v>
      </c>
      <c r="U15" s="2">
        <f t="shared" si="9"/>
        <v>669.64741883961563</v>
      </c>
      <c r="V15" s="2">
        <f t="shared" si="9"/>
        <v>672.99565593381362</v>
      </c>
      <c r="W15" s="2">
        <f t="shared" si="9"/>
        <v>676.36063421348263</v>
      </c>
      <c r="X15" s="2">
        <f t="shared" si="9"/>
        <v>679.74243738455004</v>
      </c>
      <c r="Y15" s="2">
        <f t="shared" si="9"/>
        <v>683.14114957147262</v>
      </c>
      <c r="Z15" s="2">
        <f t="shared" si="9"/>
        <v>686.55685531932988</v>
      </c>
      <c r="AA15" s="2">
        <f t="shared" si="9"/>
        <v>689.98963959592641</v>
      </c>
      <c r="AB15" s="2">
        <f t="shared" si="9"/>
        <v>693.43958779390607</v>
      </c>
      <c r="AC15" s="2">
        <f t="shared" si="9"/>
        <v>696.90678573287562</v>
      </c>
      <c r="AD15" s="2">
        <f t="shared" si="9"/>
        <v>697.60369251860823</v>
      </c>
      <c r="AE15" s="2">
        <f t="shared" si="9"/>
        <v>698.30129621112678</v>
      </c>
      <c r="AF15" s="2">
        <f t="shared" si="9"/>
        <v>698.99959750733785</v>
      </c>
      <c r="AG15" s="2">
        <f t="shared" si="9"/>
        <v>699.69859710484513</v>
      </c>
      <c r="AH15" s="2">
        <f t="shared" si="9"/>
        <v>700.39829570194979</v>
      </c>
      <c r="AI15" s="2">
        <f t="shared" si="9"/>
        <v>701.09869399765171</v>
      </c>
      <c r="AJ15" s="2">
        <f t="shared" si="9"/>
        <v>701.79979269164926</v>
      </c>
      <c r="AK15" s="2">
        <f t="shared" si="9"/>
        <v>702.5015924843409</v>
      </c>
      <c r="AL15" s="2">
        <f t="shared" si="9"/>
        <v>703.20409407682507</v>
      </c>
      <c r="AM15" s="2">
        <f t="shared" si="9"/>
        <v>703.90729817090187</v>
      </c>
      <c r="AN15" s="2">
        <f t="shared" si="9"/>
        <v>704.61120546907262</v>
      </c>
      <c r="AO15" s="2">
        <f t="shared" si="9"/>
        <v>705.31581667454157</v>
      </c>
      <c r="AP15" s="2">
        <f t="shared" si="9"/>
        <v>706.02113249121612</v>
      </c>
    </row>
    <row r="16" spans="1:42" ht="12.75" customHeight="1" x14ac:dyDescent="0.15">
      <c r="A16" s="1"/>
      <c r="B16" s="16"/>
      <c r="C16" s="1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2.75" customHeight="1" x14ac:dyDescent="0.15">
      <c r="A17" s="1"/>
      <c r="B17" s="16"/>
      <c r="C17" s="17"/>
      <c r="D17" s="1"/>
      <c r="E17" s="1"/>
      <c r="F17" s="11" t="s">
        <v>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2.75" customHeight="1" x14ac:dyDescent="0.15">
      <c r="A18" s="1"/>
      <c r="B18" s="16"/>
      <c r="C18" s="17"/>
      <c r="D18" s="1"/>
      <c r="E18" s="1"/>
      <c r="F18" s="13" t="s">
        <v>8</v>
      </c>
      <c r="G18" s="14"/>
      <c r="H18" s="14">
        <v>3000</v>
      </c>
      <c r="I18" s="14">
        <f t="shared" ref="I18:R18" si="10">H18*105%</f>
        <v>3150</v>
      </c>
      <c r="J18" s="14">
        <f t="shared" si="10"/>
        <v>3307.5</v>
      </c>
      <c r="K18" s="14">
        <f t="shared" si="10"/>
        <v>3472.875</v>
      </c>
      <c r="L18" s="14">
        <f t="shared" si="10"/>
        <v>3646.5187500000002</v>
      </c>
      <c r="M18" s="14">
        <f t="shared" si="10"/>
        <v>3828.8446875000004</v>
      </c>
      <c r="N18" s="14">
        <f t="shared" si="10"/>
        <v>4020.2869218750006</v>
      </c>
      <c r="O18" s="14">
        <f t="shared" si="10"/>
        <v>4221.3012679687508</v>
      </c>
      <c r="P18" s="14">
        <f t="shared" si="10"/>
        <v>4432.3663313671886</v>
      </c>
      <c r="Q18" s="14">
        <f t="shared" si="10"/>
        <v>4653.9846479355483</v>
      </c>
      <c r="R18" s="14">
        <f t="shared" si="10"/>
        <v>4886.6838803323262</v>
      </c>
      <c r="S18" s="14">
        <f t="shared" ref="S18:AC18" si="11">R18*101%</f>
        <v>4935.5507191356492</v>
      </c>
      <c r="T18" s="14">
        <f t="shared" si="11"/>
        <v>4984.9062263270052</v>
      </c>
      <c r="U18" s="14">
        <f t="shared" si="11"/>
        <v>5034.7552885902751</v>
      </c>
      <c r="V18" s="14">
        <f t="shared" si="11"/>
        <v>5085.1028414761777</v>
      </c>
      <c r="W18" s="14">
        <f t="shared" si="11"/>
        <v>5135.9538698909391</v>
      </c>
      <c r="X18" s="14">
        <f t="shared" si="11"/>
        <v>5187.3134085898482</v>
      </c>
      <c r="Y18" s="14">
        <f t="shared" si="11"/>
        <v>5239.1865426757468</v>
      </c>
      <c r="Z18" s="14">
        <f t="shared" si="11"/>
        <v>5291.578408102504</v>
      </c>
      <c r="AA18" s="14">
        <f t="shared" si="11"/>
        <v>5344.4941921835289</v>
      </c>
      <c r="AB18" s="14">
        <f t="shared" si="11"/>
        <v>5397.9391341053642</v>
      </c>
      <c r="AC18" s="14">
        <f t="shared" si="11"/>
        <v>5451.9185254464182</v>
      </c>
      <c r="AD18" s="14">
        <f t="shared" ref="AD18:AP18" si="12">AC18*100.1%</f>
        <v>5457.370443971864</v>
      </c>
      <c r="AE18" s="14">
        <f t="shared" si="12"/>
        <v>5462.8278144158348</v>
      </c>
      <c r="AF18" s="14">
        <f t="shared" si="12"/>
        <v>5468.2906422302503</v>
      </c>
      <c r="AG18" s="14">
        <f t="shared" si="12"/>
        <v>5473.7589328724798</v>
      </c>
      <c r="AH18" s="14">
        <f t="shared" si="12"/>
        <v>5479.2326918053514</v>
      </c>
      <c r="AI18" s="14">
        <f t="shared" si="12"/>
        <v>5484.7119244971564</v>
      </c>
      <c r="AJ18" s="14">
        <f t="shared" si="12"/>
        <v>5490.1966364216532</v>
      </c>
      <c r="AK18" s="14">
        <f t="shared" si="12"/>
        <v>5495.6868330580746</v>
      </c>
      <c r="AL18" s="14">
        <f t="shared" si="12"/>
        <v>5501.182519891132</v>
      </c>
      <c r="AM18" s="14">
        <f t="shared" si="12"/>
        <v>5506.6837024110228</v>
      </c>
      <c r="AN18" s="14">
        <f t="shared" si="12"/>
        <v>5512.1903861134333</v>
      </c>
      <c r="AO18" s="14">
        <f t="shared" si="12"/>
        <v>5517.702576499546</v>
      </c>
      <c r="AP18" s="14">
        <f t="shared" si="12"/>
        <v>5523.2202790760448</v>
      </c>
    </row>
    <row r="19" spans="1:42" ht="12.75" customHeight="1" x14ac:dyDescent="0.15">
      <c r="A19" s="1"/>
      <c r="B19" s="16"/>
      <c r="C19" s="17"/>
      <c r="D19" s="1"/>
      <c r="E19" s="4">
        <v>0.4</v>
      </c>
      <c r="F19" s="1" t="s">
        <v>9</v>
      </c>
      <c r="G19" s="2"/>
      <c r="H19" s="2">
        <f t="shared" ref="H19:AP19" si="13">H18*$E$19</f>
        <v>1200</v>
      </c>
      <c r="I19" s="2">
        <f t="shared" si="13"/>
        <v>1260</v>
      </c>
      <c r="J19" s="2">
        <f t="shared" si="13"/>
        <v>1323</v>
      </c>
      <c r="K19" s="2">
        <f t="shared" si="13"/>
        <v>1389.15</v>
      </c>
      <c r="L19" s="2">
        <f t="shared" si="13"/>
        <v>1458.6075000000001</v>
      </c>
      <c r="M19" s="2">
        <f t="shared" si="13"/>
        <v>1531.5378750000002</v>
      </c>
      <c r="N19" s="2">
        <f t="shared" si="13"/>
        <v>1608.1147687500004</v>
      </c>
      <c r="O19" s="2">
        <f t="shared" si="13"/>
        <v>1688.5205071875005</v>
      </c>
      <c r="P19" s="2">
        <f t="shared" si="13"/>
        <v>1772.9465325468755</v>
      </c>
      <c r="Q19" s="2">
        <f t="shared" si="13"/>
        <v>1861.5938591742195</v>
      </c>
      <c r="R19" s="2">
        <f t="shared" si="13"/>
        <v>1954.6735521329306</v>
      </c>
      <c r="S19" s="2">
        <f t="shared" si="13"/>
        <v>1974.2202876542597</v>
      </c>
      <c r="T19" s="2">
        <f t="shared" si="13"/>
        <v>1993.9624905308021</v>
      </c>
      <c r="U19" s="2">
        <f t="shared" si="13"/>
        <v>2013.9021154361101</v>
      </c>
      <c r="V19" s="2">
        <f t="shared" si="13"/>
        <v>2034.0411365904711</v>
      </c>
      <c r="W19" s="2">
        <f t="shared" si="13"/>
        <v>2054.3815479563759</v>
      </c>
      <c r="X19" s="2">
        <f t="shared" si="13"/>
        <v>2074.9253634359393</v>
      </c>
      <c r="Y19" s="2">
        <f t="shared" si="13"/>
        <v>2095.6746170702986</v>
      </c>
      <c r="Z19" s="2">
        <f t="shared" si="13"/>
        <v>2116.6313632410015</v>
      </c>
      <c r="AA19" s="2">
        <f t="shared" si="13"/>
        <v>2137.7976768734115</v>
      </c>
      <c r="AB19" s="2">
        <f t="shared" si="13"/>
        <v>2159.1756536421458</v>
      </c>
      <c r="AC19" s="2">
        <f t="shared" si="13"/>
        <v>2180.7674101785674</v>
      </c>
      <c r="AD19" s="2">
        <f t="shared" si="13"/>
        <v>2182.9481775887457</v>
      </c>
      <c r="AE19" s="2">
        <f t="shared" si="13"/>
        <v>2185.1311257663342</v>
      </c>
      <c r="AF19" s="2">
        <f t="shared" si="13"/>
        <v>2187.3162568921002</v>
      </c>
      <c r="AG19" s="2">
        <f t="shared" si="13"/>
        <v>2189.503573148992</v>
      </c>
      <c r="AH19" s="2">
        <f t="shared" si="13"/>
        <v>2191.6930767221406</v>
      </c>
      <c r="AI19" s="2">
        <f t="shared" si="13"/>
        <v>2193.8847697988626</v>
      </c>
      <c r="AJ19" s="2">
        <f t="shared" si="13"/>
        <v>2196.0786545686615</v>
      </c>
      <c r="AK19" s="2">
        <f t="shared" si="13"/>
        <v>2198.2747332232298</v>
      </c>
      <c r="AL19" s="2">
        <f t="shared" si="13"/>
        <v>2200.4730079564529</v>
      </c>
      <c r="AM19" s="2">
        <f t="shared" si="13"/>
        <v>2202.673480964409</v>
      </c>
      <c r="AN19" s="2">
        <f t="shared" si="13"/>
        <v>2204.8761544453732</v>
      </c>
      <c r="AO19" s="2">
        <f t="shared" si="13"/>
        <v>2207.0810305998184</v>
      </c>
      <c r="AP19" s="2">
        <f t="shared" si="13"/>
        <v>2209.2881116304179</v>
      </c>
    </row>
    <row r="20" spans="1:42" ht="12.75" customHeight="1" x14ac:dyDescent="0.15">
      <c r="A20" s="1"/>
      <c r="B20" s="16"/>
      <c r="C20" s="17"/>
      <c r="D20" s="1"/>
      <c r="E20" s="4">
        <v>7.0000000000000007E-2</v>
      </c>
      <c r="F20" s="13" t="s">
        <v>10</v>
      </c>
      <c r="G20" s="2"/>
      <c r="H20" s="2">
        <f t="shared" ref="H20:AP20" si="14">H19*$E$20</f>
        <v>84.000000000000014</v>
      </c>
      <c r="I20" s="2">
        <f t="shared" si="14"/>
        <v>88.2</v>
      </c>
      <c r="J20" s="2">
        <f t="shared" si="14"/>
        <v>92.610000000000014</v>
      </c>
      <c r="K20" s="2">
        <f t="shared" si="14"/>
        <v>97.240500000000011</v>
      </c>
      <c r="L20" s="2">
        <f t="shared" si="14"/>
        <v>102.10252500000001</v>
      </c>
      <c r="M20" s="2">
        <f t="shared" si="14"/>
        <v>107.20765125000003</v>
      </c>
      <c r="N20" s="2">
        <f t="shared" si="14"/>
        <v>112.56803381250003</v>
      </c>
      <c r="O20" s="2">
        <f t="shared" si="14"/>
        <v>118.19643550312504</v>
      </c>
      <c r="P20" s="2">
        <f t="shared" si="14"/>
        <v>124.10625727828129</v>
      </c>
      <c r="Q20" s="2">
        <f t="shared" si="14"/>
        <v>130.31157014219536</v>
      </c>
      <c r="R20" s="2">
        <f t="shared" si="14"/>
        <v>136.82714864930514</v>
      </c>
      <c r="S20" s="2">
        <f t="shared" si="14"/>
        <v>138.1954201357982</v>
      </c>
      <c r="T20" s="2">
        <f t="shared" si="14"/>
        <v>139.57737433715616</v>
      </c>
      <c r="U20" s="2">
        <f t="shared" si="14"/>
        <v>140.97314808052772</v>
      </c>
      <c r="V20" s="2">
        <f t="shared" si="14"/>
        <v>142.382879561333</v>
      </c>
      <c r="W20" s="2">
        <f t="shared" si="14"/>
        <v>143.80670835694633</v>
      </c>
      <c r="X20" s="2">
        <f t="shared" si="14"/>
        <v>145.24477544051575</v>
      </c>
      <c r="Y20" s="2">
        <f t="shared" si="14"/>
        <v>146.69722319492092</v>
      </c>
      <c r="Z20" s="2">
        <f t="shared" si="14"/>
        <v>148.16419542687012</v>
      </c>
      <c r="AA20" s="2">
        <f t="shared" si="14"/>
        <v>149.64583738113882</v>
      </c>
      <c r="AB20" s="2">
        <f t="shared" si="14"/>
        <v>151.14229575495023</v>
      </c>
      <c r="AC20" s="2">
        <f t="shared" si="14"/>
        <v>152.65371871249974</v>
      </c>
      <c r="AD20" s="2">
        <f t="shared" si="14"/>
        <v>152.80637243121222</v>
      </c>
      <c r="AE20" s="2">
        <f t="shared" si="14"/>
        <v>152.9591788036434</v>
      </c>
      <c r="AF20" s="2">
        <f t="shared" si="14"/>
        <v>153.11213798244702</v>
      </c>
      <c r="AG20" s="2">
        <f t="shared" si="14"/>
        <v>153.26525012042944</v>
      </c>
      <c r="AH20" s="2">
        <f t="shared" si="14"/>
        <v>153.41851537054987</v>
      </c>
      <c r="AI20" s="2">
        <f t="shared" si="14"/>
        <v>153.5719338859204</v>
      </c>
      <c r="AJ20" s="2">
        <f t="shared" si="14"/>
        <v>153.72550581980633</v>
      </c>
      <c r="AK20" s="2">
        <f t="shared" si="14"/>
        <v>153.87923132562611</v>
      </c>
      <c r="AL20" s="2">
        <f t="shared" si="14"/>
        <v>154.03311055695173</v>
      </c>
      <c r="AM20" s="2">
        <f t="shared" si="14"/>
        <v>154.18714366750865</v>
      </c>
      <c r="AN20" s="2">
        <f t="shared" si="14"/>
        <v>154.34133081117614</v>
      </c>
      <c r="AO20" s="2">
        <f t="shared" si="14"/>
        <v>154.49567214198731</v>
      </c>
      <c r="AP20" s="2">
        <f t="shared" si="14"/>
        <v>154.65016781412928</v>
      </c>
    </row>
    <row r="21" spans="1:42" ht="12.75" customHeight="1" x14ac:dyDescent="0.15">
      <c r="A21" s="1"/>
      <c r="B21" s="16"/>
      <c r="C21" s="17"/>
      <c r="D21" s="1"/>
      <c r="E21" s="13"/>
      <c r="F21" s="1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spans="1:42" ht="12.75" customHeight="1" x14ac:dyDescent="0.15">
      <c r="A22" s="1"/>
      <c r="B22" s="16"/>
      <c r="C22" s="17"/>
      <c r="D22" s="1"/>
      <c r="E22" s="13"/>
      <c r="F22" s="18" t="s">
        <v>11</v>
      </c>
      <c r="G22" s="19">
        <f t="shared" ref="G22:AP22" si="15">G10+G15+G20</f>
        <v>0</v>
      </c>
      <c r="H22" s="19">
        <f t="shared" si="15"/>
        <v>789</v>
      </c>
      <c r="I22" s="19">
        <f t="shared" si="15"/>
        <v>834.45</v>
      </c>
      <c r="J22" s="19">
        <f t="shared" si="15"/>
        <v>876.17250000000001</v>
      </c>
      <c r="K22" s="19">
        <f t="shared" si="15"/>
        <v>919.98112500000002</v>
      </c>
      <c r="L22" s="19">
        <f t="shared" si="15"/>
        <v>965.98018124999999</v>
      </c>
      <c r="M22" s="19">
        <f t="shared" si="15"/>
        <v>1014.2791903125001</v>
      </c>
      <c r="N22" s="19">
        <f t="shared" si="15"/>
        <v>1064.9931498281251</v>
      </c>
      <c r="O22" s="19">
        <f t="shared" si="15"/>
        <v>1118.2428073195315</v>
      </c>
      <c r="P22" s="19">
        <f t="shared" si="15"/>
        <v>1174.154947685508</v>
      </c>
      <c r="Q22" s="19">
        <f t="shared" si="15"/>
        <v>1232.8626950697835</v>
      </c>
      <c r="R22" s="19">
        <f t="shared" si="15"/>
        <v>1294.505829823273</v>
      </c>
      <c r="S22" s="19">
        <f t="shared" si="15"/>
        <v>1309.1321400755724</v>
      </c>
      <c r="T22" s="19">
        <f t="shared" si="15"/>
        <v>1323.9878161437643</v>
      </c>
      <c r="U22" s="19">
        <f t="shared" si="15"/>
        <v>1339.0770611286471</v>
      </c>
      <c r="V22" s="19">
        <f t="shared" si="15"/>
        <v>1354.4041595878202</v>
      </c>
      <c r="W22" s="19">
        <f t="shared" si="15"/>
        <v>1369.9734791449559</v>
      </c>
      <c r="X22" s="19">
        <f t="shared" si="15"/>
        <v>1385.7894721310834</v>
      </c>
      <c r="Y22" s="19">
        <f t="shared" si="15"/>
        <v>1401.8566772585316</v>
      </c>
      <c r="Z22" s="19">
        <f t="shared" si="15"/>
        <v>1418.1797213281809</v>
      </c>
      <c r="AA22" s="19">
        <f t="shared" si="15"/>
        <v>1434.7633209706855</v>
      </c>
      <c r="AB22" s="19">
        <f t="shared" si="15"/>
        <v>1451.6122844223491</v>
      </c>
      <c r="AC22" s="19">
        <f t="shared" si="15"/>
        <v>1468.7315133363381</v>
      </c>
      <c r="AD22" s="19">
        <f t="shared" si="15"/>
        <v>1481.9644940186024</v>
      </c>
      <c r="AE22" s="19">
        <f t="shared" si="15"/>
        <v>1495.4459926649281</v>
      </c>
      <c r="AF22" s="19">
        <f t="shared" si="15"/>
        <v>1509.1809634929457</v>
      </c>
      <c r="AG22" s="19">
        <f t="shared" si="15"/>
        <v>1523.1744597884988</v>
      </c>
      <c r="AH22" s="19">
        <f t="shared" si="15"/>
        <v>1537.4316358869883</v>
      </c>
      <c r="AI22" s="19">
        <f t="shared" si="15"/>
        <v>1551.9577491943505</v>
      </c>
      <c r="AJ22" s="19">
        <f t="shared" si="15"/>
        <v>1566.7581622484497</v>
      </c>
      <c r="AK22" s="19">
        <f t="shared" si="15"/>
        <v>1581.8383448217007</v>
      </c>
      <c r="AL22" s="19">
        <f t="shared" si="15"/>
        <v>1597.2038760657451</v>
      </c>
      <c r="AM22" s="19">
        <f t="shared" si="15"/>
        <v>1612.8604466990184</v>
      </c>
      <c r="AN22" s="19">
        <f t="shared" si="15"/>
        <v>1628.813861238069</v>
      </c>
      <c r="AO22" s="19">
        <f t="shared" si="15"/>
        <v>1645.0700402735054</v>
      </c>
      <c r="AP22" s="19">
        <f t="shared" si="15"/>
        <v>1661.6350227914611</v>
      </c>
    </row>
    <row r="23" spans="1:42" ht="12.75" customHeight="1" x14ac:dyDescent="0.15">
      <c r="A23" s="1"/>
      <c r="B23" s="16"/>
      <c r="C23" s="17"/>
      <c r="D23" s="1"/>
      <c r="E23" s="4">
        <v>0.75</v>
      </c>
      <c r="F23" s="1" t="s">
        <v>12</v>
      </c>
      <c r="G23" s="2">
        <f t="shared" ref="G23:AP23" si="16">G22*$E23</f>
        <v>0</v>
      </c>
      <c r="H23" s="2">
        <f t="shared" si="16"/>
        <v>591.75</v>
      </c>
      <c r="I23" s="2">
        <f t="shared" si="16"/>
        <v>625.83750000000009</v>
      </c>
      <c r="J23" s="2">
        <f t="shared" si="16"/>
        <v>657.12937499999998</v>
      </c>
      <c r="K23" s="2">
        <f t="shared" si="16"/>
        <v>689.98584374999996</v>
      </c>
      <c r="L23" s="2">
        <f t="shared" si="16"/>
        <v>724.48513593749999</v>
      </c>
      <c r="M23" s="2">
        <f t="shared" si="16"/>
        <v>760.70939273437511</v>
      </c>
      <c r="N23" s="2">
        <f t="shared" si="16"/>
        <v>798.74486237109386</v>
      </c>
      <c r="O23" s="2">
        <f t="shared" si="16"/>
        <v>838.68210548964862</v>
      </c>
      <c r="P23" s="2">
        <f t="shared" si="16"/>
        <v>880.61621076413098</v>
      </c>
      <c r="Q23" s="2">
        <f t="shared" si="16"/>
        <v>924.64702130233763</v>
      </c>
      <c r="R23" s="2">
        <f t="shared" si="16"/>
        <v>970.87937236745472</v>
      </c>
      <c r="S23" s="2">
        <f t="shared" si="16"/>
        <v>981.84910505667926</v>
      </c>
      <c r="T23" s="2">
        <f t="shared" si="16"/>
        <v>992.9908621078232</v>
      </c>
      <c r="U23" s="2">
        <f t="shared" si="16"/>
        <v>1004.3077958464853</v>
      </c>
      <c r="V23" s="2">
        <f t="shared" si="16"/>
        <v>1015.8031196908652</v>
      </c>
      <c r="W23" s="2">
        <f t="shared" si="16"/>
        <v>1027.4801093587171</v>
      </c>
      <c r="X23" s="2">
        <f t="shared" si="16"/>
        <v>1039.3421040983126</v>
      </c>
      <c r="Y23" s="2">
        <f t="shared" si="16"/>
        <v>1051.3925079438986</v>
      </c>
      <c r="Z23" s="2">
        <f t="shared" si="16"/>
        <v>1063.6347909961357</v>
      </c>
      <c r="AA23" s="2">
        <f t="shared" si="16"/>
        <v>1076.0724907280141</v>
      </c>
      <c r="AB23" s="2">
        <f t="shared" si="16"/>
        <v>1088.7092133167619</v>
      </c>
      <c r="AC23" s="2">
        <f t="shared" si="16"/>
        <v>1101.5486350022536</v>
      </c>
      <c r="AD23" s="2">
        <f t="shared" si="16"/>
        <v>1111.4733705139517</v>
      </c>
      <c r="AE23" s="2">
        <f t="shared" si="16"/>
        <v>1121.5844944986961</v>
      </c>
      <c r="AF23" s="2">
        <f t="shared" si="16"/>
        <v>1131.8857226197092</v>
      </c>
      <c r="AG23" s="2">
        <f t="shared" si="16"/>
        <v>1142.380844841374</v>
      </c>
      <c r="AH23" s="2">
        <f t="shared" si="16"/>
        <v>1153.0737269152412</v>
      </c>
      <c r="AI23" s="2">
        <f t="shared" si="16"/>
        <v>1163.9683118957628</v>
      </c>
      <c r="AJ23" s="2">
        <f t="shared" si="16"/>
        <v>1175.0686216863373</v>
      </c>
      <c r="AK23" s="2">
        <f t="shared" si="16"/>
        <v>1186.3787586162755</v>
      </c>
      <c r="AL23" s="2">
        <f t="shared" si="16"/>
        <v>1197.9029070493089</v>
      </c>
      <c r="AM23" s="2">
        <f t="shared" si="16"/>
        <v>1209.6453350242639</v>
      </c>
      <c r="AN23" s="2">
        <f t="shared" si="16"/>
        <v>1221.6103959285517</v>
      </c>
      <c r="AO23" s="2">
        <f t="shared" si="16"/>
        <v>1233.802530205129</v>
      </c>
      <c r="AP23" s="2">
        <f t="shared" si="16"/>
        <v>1246.2262670935959</v>
      </c>
    </row>
    <row r="24" spans="1:42" ht="12.75" customHeight="1" x14ac:dyDescent="0.15">
      <c r="A24" s="1"/>
      <c r="B24" s="16"/>
      <c r="C24" s="17"/>
      <c r="D24" s="1"/>
      <c r="E24" s="20">
        <f>100%-E23</f>
        <v>0.25</v>
      </c>
      <c r="F24" s="1" t="s">
        <v>13</v>
      </c>
      <c r="G24" s="2">
        <f t="shared" ref="G24:AP24" si="17">G22*$E24</f>
        <v>0</v>
      </c>
      <c r="H24" s="2">
        <f t="shared" si="17"/>
        <v>197.25</v>
      </c>
      <c r="I24" s="2">
        <f t="shared" si="17"/>
        <v>208.61250000000001</v>
      </c>
      <c r="J24" s="2">
        <f t="shared" si="17"/>
        <v>219.043125</v>
      </c>
      <c r="K24" s="2">
        <f t="shared" si="17"/>
        <v>229.99528125000001</v>
      </c>
      <c r="L24" s="2">
        <f t="shared" si="17"/>
        <v>241.4950453125</v>
      </c>
      <c r="M24" s="2">
        <f t="shared" si="17"/>
        <v>253.56979757812502</v>
      </c>
      <c r="N24" s="2">
        <f t="shared" si="17"/>
        <v>266.24828745703127</v>
      </c>
      <c r="O24" s="2">
        <f t="shared" si="17"/>
        <v>279.56070182988287</v>
      </c>
      <c r="P24" s="2">
        <f t="shared" si="17"/>
        <v>293.53873692137699</v>
      </c>
      <c r="Q24" s="2">
        <f t="shared" si="17"/>
        <v>308.21567376744588</v>
      </c>
      <c r="R24" s="2">
        <f t="shared" si="17"/>
        <v>323.62645745581824</v>
      </c>
      <c r="S24" s="2">
        <f t="shared" si="17"/>
        <v>327.28303501889309</v>
      </c>
      <c r="T24" s="2">
        <f t="shared" si="17"/>
        <v>330.99695403594109</v>
      </c>
      <c r="U24" s="2">
        <f t="shared" si="17"/>
        <v>334.76926528216177</v>
      </c>
      <c r="V24" s="2">
        <f t="shared" si="17"/>
        <v>338.60103989695506</v>
      </c>
      <c r="W24" s="2">
        <f t="shared" si="17"/>
        <v>342.49336978623899</v>
      </c>
      <c r="X24" s="2">
        <f t="shared" si="17"/>
        <v>346.44736803277084</v>
      </c>
      <c r="Y24" s="2">
        <f t="shared" si="17"/>
        <v>350.4641693146329</v>
      </c>
      <c r="Z24" s="2">
        <f t="shared" si="17"/>
        <v>354.54493033204523</v>
      </c>
      <c r="AA24" s="2">
        <f t="shared" si="17"/>
        <v>358.69083024267138</v>
      </c>
      <c r="AB24" s="2">
        <f t="shared" si="17"/>
        <v>362.90307110558729</v>
      </c>
      <c r="AC24" s="2">
        <f t="shared" si="17"/>
        <v>367.18287833408453</v>
      </c>
      <c r="AD24" s="2">
        <f t="shared" si="17"/>
        <v>370.4911235046506</v>
      </c>
      <c r="AE24" s="2">
        <f t="shared" si="17"/>
        <v>373.86149816623202</v>
      </c>
      <c r="AF24" s="2">
        <f t="shared" si="17"/>
        <v>377.29524087323642</v>
      </c>
      <c r="AG24" s="2">
        <f t="shared" si="17"/>
        <v>380.79361494712469</v>
      </c>
      <c r="AH24" s="2">
        <f t="shared" si="17"/>
        <v>384.35790897174707</v>
      </c>
      <c r="AI24" s="2">
        <f t="shared" si="17"/>
        <v>387.98943729858763</v>
      </c>
      <c r="AJ24" s="2">
        <f t="shared" si="17"/>
        <v>391.68954056211243</v>
      </c>
      <c r="AK24" s="2">
        <f t="shared" si="17"/>
        <v>395.45958620542518</v>
      </c>
      <c r="AL24" s="2">
        <f t="shared" si="17"/>
        <v>399.30096901643628</v>
      </c>
      <c r="AM24" s="2">
        <f t="shared" si="17"/>
        <v>403.21511167475461</v>
      </c>
      <c r="AN24" s="2">
        <f t="shared" si="17"/>
        <v>407.20346530951724</v>
      </c>
      <c r="AO24" s="2">
        <f t="shared" si="17"/>
        <v>411.26751006837634</v>
      </c>
      <c r="AP24" s="2">
        <f t="shared" si="17"/>
        <v>415.40875569786527</v>
      </c>
    </row>
    <row r="25" spans="1:42" ht="12.75" customHeight="1" x14ac:dyDescent="0.1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2.75" customHeight="1" x14ac:dyDescent="0.15">
      <c r="A26" s="1"/>
      <c r="B26" s="21" t="s">
        <v>14</v>
      </c>
      <c r="C26" s="22"/>
      <c r="D26" s="1"/>
      <c r="E26" s="23" t="s">
        <v>15</v>
      </c>
      <c r="F26" s="24" t="s">
        <v>16</v>
      </c>
      <c r="G26" s="24">
        <f t="shared" ref="G26:AP26" si="18">G27+G28</f>
        <v>0</v>
      </c>
      <c r="H26" s="24">
        <f t="shared" si="18"/>
        <v>619365</v>
      </c>
      <c r="I26" s="24">
        <f t="shared" si="18"/>
        <v>655043.25</v>
      </c>
      <c r="J26" s="24">
        <f t="shared" si="18"/>
        <v>687795.41249999998</v>
      </c>
      <c r="K26" s="24">
        <f t="shared" si="18"/>
        <v>722185.18312499998</v>
      </c>
      <c r="L26" s="24">
        <f t="shared" si="18"/>
        <v>758294.44228124991</v>
      </c>
      <c r="M26" s="24">
        <f t="shared" si="18"/>
        <v>796209.16439531255</v>
      </c>
      <c r="N26" s="24">
        <f t="shared" si="18"/>
        <v>836019.62261507823</v>
      </c>
      <c r="O26" s="24">
        <f t="shared" si="18"/>
        <v>877820.60374583222</v>
      </c>
      <c r="P26" s="24">
        <f t="shared" si="18"/>
        <v>921711.63393312367</v>
      </c>
      <c r="Q26" s="24">
        <f t="shared" si="18"/>
        <v>967797.21562978008</v>
      </c>
      <c r="R26" s="24">
        <f t="shared" si="18"/>
        <v>1016187.0764112693</v>
      </c>
      <c r="S26" s="24">
        <f t="shared" si="18"/>
        <v>1027668.7299593242</v>
      </c>
      <c r="T26" s="24">
        <f t="shared" si="18"/>
        <v>1039330.435672855</v>
      </c>
      <c r="U26" s="24">
        <f t="shared" si="18"/>
        <v>1051175.492985988</v>
      </c>
      <c r="V26" s="24">
        <f t="shared" si="18"/>
        <v>1063207.265276439</v>
      </c>
      <c r="W26" s="24">
        <f t="shared" si="18"/>
        <v>1075429.1811287906</v>
      </c>
      <c r="X26" s="24">
        <f t="shared" si="18"/>
        <v>1087844.7356229005</v>
      </c>
      <c r="Y26" s="24">
        <f t="shared" si="18"/>
        <v>1100457.4916479473</v>
      </c>
      <c r="Z26" s="24">
        <f t="shared" si="18"/>
        <v>1113271.0812426219</v>
      </c>
      <c r="AA26" s="24">
        <f t="shared" si="18"/>
        <v>1126289.2069619882</v>
      </c>
      <c r="AB26" s="24">
        <f t="shared" si="18"/>
        <v>1139515.643271544</v>
      </c>
      <c r="AC26" s="24">
        <f t="shared" si="18"/>
        <v>1152954.2379690255</v>
      </c>
      <c r="AD26" s="24">
        <f t="shared" si="18"/>
        <v>1163342.127804603</v>
      </c>
      <c r="AE26" s="24">
        <f t="shared" si="18"/>
        <v>1173925.1042419686</v>
      </c>
      <c r="AF26" s="24">
        <f t="shared" si="18"/>
        <v>1184707.0563419624</v>
      </c>
      <c r="AG26" s="24">
        <f t="shared" si="18"/>
        <v>1195691.9509339714</v>
      </c>
      <c r="AH26" s="24">
        <f t="shared" si="18"/>
        <v>1206883.8341712859</v>
      </c>
      <c r="AI26" s="24">
        <f t="shared" si="18"/>
        <v>1218286.8331175651</v>
      </c>
      <c r="AJ26" s="24">
        <f t="shared" si="18"/>
        <v>1229905.1573650329</v>
      </c>
      <c r="AK26" s="24">
        <f t="shared" si="18"/>
        <v>1241743.1006850351</v>
      </c>
      <c r="AL26" s="24">
        <f t="shared" si="18"/>
        <v>1253805.04271161</v>
      </c>
      <c r="AM26" s="24">
        <f t="shared" si="18"/>
        <v>1266095.4506587295</v>
      </c>
      <c r="AN26" s="24">
        <f t="shared" si="18"/>
        <v>1278618.8810718842</v>
      </c>
      <c r="AO26" s="24">
        <f t="shared" si="18"/>
        <v>1291379.9816147017</v>
      </c>
      <c r="AP26" s="24">
        <f t="shared" si="18"/>
        <v>1304383.492891297</v>
      </c>
    </row>
    <row r="27" spans="1:42" ht="12.75" customHeight="1" x14ac:dyDescent="0.15">
      <c r="A27" s="1"/>
      <c r="B27" s="1" t="s">
        <v>17</v>
      </c>
      <c r="C27" s="2">
        <f>G64</f>
        <v>7000000</v>
      </c>
      <c r="D27" s="1"/>
      <c r="E27" s="14">
        <v>730</v>
      </c>
      <c r="F27" s="25" t="s">
        <v>18</v>
      </c>
      <c r="G27" s="2">
        <f t="shared" ref="G27:AP27" si="19">$E$27*G23</f>
        <v>0</v>
      </c>
      <c r="H27" s="2">
        <f t="shared" si="19"/>
        <v>431977.5</v>
      </c>
      <c r="I27" s="2">
        <f t="shared" si="19"/>
        <v>456861.37500000006</v>
      </c>
      <c r="J27" s="2">
        <f t="shared" si="19"/>
        <v>479704.44374999998</v>
      </c>
      <c r="K27" s="2">
        <f t="shared" si="19"/>
        <v>503689.66593749996</v>
      </c>
      <c r="L27" s="2">
        <f t="shared" si="19"/>
        <v>528874.14923437499</v>
      </c>
      <c r="M27" s="2">
        <f t="shared" si="19"/>
        <v>555317.8566960938</v>
      </c>
      <c r="N27" s="2">
        <f t="shared" si="19"/>
        <v>583083.74953089852</v>
      </c>
      <c r="O27" s="2">
        <f t="shared" si="19"/>
        <v>612237.93700744351</v>
      </c>
      <c r="P27" s="2">
        <f t="shared" si="19"/>
        <v>642849.8338578156</v>
      </c>
      <c r="Q27" s="2">
        <f t="shared" si="19"/>
        <v>674992.32555070648</v>
      </c>
      <c r="R27" s="2">
        <f t="shared" si="19"/>
        <v>708741.94182824192</v>
      </c>
      <c r="S27" s="2">
        <f t="shared" si="19"/>
        <v>716749.84669137583</v>
      </c>
      <c r="T27" s="2">
        <f t="shared" si="19"/>
        <v>724883.32933871099</v>
      </c>
      <c r="U27" s="2">
        <f t="shared" si="19"/>
        <v>733144.69096793432</v>
      </c>
      <c r="V27" s="2">
        <f t="shared" si="19"/>
        <v>741536.27737433161</v>
      </c>
      <c r="W27" s="2">
        <f t="shared" si="19"/>
        <v>750060.47983186343</v>
      </c>
      <c r="X27" s="2">
        <f t="shared" si="19"/>
        <v>758719.73599176819</v>
      </c>
      <c r="Y27" s="2">
        <f t="shared" si="19"/>
        <v>767516.53079904604</v>
      </c>
      <c r="Z27" s="2">
        <f t="shared" si="19"/>
        <v>776453.39742717904</v>
      </c>
      <c r="AA27" s="2">
        <f t="shared" si="19"/>
        <v>785532.91823145037</v>
      </c>
      <c r="AB27" s="2">
        <f t="shared" si="19"/>
        <v>794757.7257212362</v>
      </c>
      <c r="AC27" s="2">
        <f t="shared" si="19"/>
        <v>804130.50355164509</v>
      </c>
      <c r="AD27" s="2">
        <f t="shared" si="19"/>
        <v>811375.56047518482</v>
      </c>
      <c r="AE27" s="2">
        <f t="shared" si="19"/>
        <v>818756.68098404817</v>
      </c>
      <c r="AF27" s="2">
        <f t="shared" si="19"/>
        <v>826276.57751238777</v>
      </c>
      <c r="AG27" s="2">
        <f t="shared" si="19"/>
        <v>833938.01673420309</v>
      </c>
      <c r="AH27" s="2">
        <f t="shared" si="19"/>
        <v>841743.82064812607</v>
      </c>
      <c r="AI27" s="2">
        <f t="shared" si="19"/>
        <v>849696.86768390681</v>
      </c>
      <c r="AJ27" s="2">
        <f t="shared" si="19"/>
        <v>857800.09383102623</v>
      </c>
      <c r="AK27" s="2">
        <f t="shared" si="19"/>
        <v>866056.49378988112</v>
      </c>
      <c r="AL27" s="2">
        <f t="shared" si="19"/>
        <v>874469.1221459955</v>
      </c>
      <c r="AM27" s="2">
        <f t="shared" si="19"/>
        <v>883041.09456771263</v>
      </c>
      <c r="AN27" s="2">
        <f t="shared" si="19"/>
        <v>891775.58902784274</v>
      </c>
      <c r="AO27" s="2">
        <f t="shared" si="19"/>
        <v>900675.8470497441</v>
      </c>
      <c r="AP27" s="2">
        <f t="shared" si="19"/>
        <v>909745.17497832503</v>
      </c>
    </row>
    <row r="28" spans="1:42" ht="15" customHeight="1" x14ac:dyDescent="0.15">
      <c r="A28" s="1"/>
      <c r="B28" s="1" t="s">
        <v>19</v>
      </c>
      <c r="C28" s="2">
        <f>AP68</f>
        <v>7471537.2899415242</v>
      </c>
      <c r="D28" s="1"/>
      <c r="E28" s="14">
        <v>950</v>
      </c>
      <c r="F28" s="25" t="s">
        <v>5</v>
      </c>
      <c r="G28" s="2">
        <f t="shared" ref="G28:AP28" si="20">$E$28*G24</f>
        <v>0</v>
      </c>
      <c r="H28" s="2">
        <f t="shared" si="20"/>
        <v>187387.5</v>
      </c>
      <c r="I28" s="2">
        <f t="shared" si="20"/>
        <v>198181.875</v>
      </c>
      <c r="J28" s="2">
        <f t="shared" si="20"/>
        <v>208090.96875</v>
      </c>
      <c r="K28" s="2">
        <f t="shared" si="20"/>
        <v>218495.51718749999</v>
      </c>
      <c r="L28" s="2">
        <f t="shared" si="20"/>
        <v>229420.29304687498</v>
      </c>
      <c r="M28" s="2">
        <f t="shared" si="20"/>
        <v>240891.30769921877</v>
      </c>
      <c r="N28" s="2">
        <f t="shared" si="20"/>
        <v>252935.87308417971</v>
      </c>
      <c r="O28" s="2">
        <f t="shared" si="20"/>
        <v>265582.66673838871</v>
      </c>
      <c r="P28" s="2">
        <f t="shared" si="20"/>
        <v>278861.80007530813</v>
      </c>
      <c r="Q28" s="2">
        <f t="shared" si="20"/>
        <v>292804.89007907361</v>
      </c>
      <c r="R28" s="2">
        <f t="shared" si="20"/>
        <v>307445.13458302733</v>
      </c>
      <c r="S28" s="2">
        <f t="shared" si="20"/>
        <v>310918.88326794846</v>
      </c>
      <c r="T28" s="2">
        <f t="shared" si="20"/>
        <v>314447.10633414402</v>
      </c>
      <c r="U28" s="2">
        <f t="shared" si="20"/>
        <v>318030.80201805366</v>
      </c>
      <c r="V28" s="2">
        <f t="shared" si="20"/>
        <v>321670.9879021073</v>
      </c>
      <c r="W28" s="2">
        <f t="shared" si="20"/>
        <v>325368.70129692706</v>
      </c>
      <c r="X28" s="2">
        <f t="shared" si="20"/>
        <v>329124.99963113229</v>
      </c>
      <c r="Y28" s="2">
        <f t="shared" si="20"/>
        <v>332940.96084890125</v>
      </c>
      <c r="Z28" s="2">
        <f t="shared" si="20"/>
        <v>336817.68381544296</v>
      </c>
      <c r="AA28" s="2">
        <f t="shared" si="20"/>
        <v>340756.28873053781</v>
      </c>
      <c r="AB28" s="2">
        <f t="shared" si="20"/>
        <v>344757.91755030793</v>
      </c>
      <c r="AC28" s="2">
        <f t="shared" si="20"/>
        <v>348823.7344173803</v>
      </c>
      <c r="AD28" s="2">
        <f t="shared" si="20"/>
        <v>351966.56732941809</v>
      </c>
      <c r="AE28" s="2">
        <f t="shared" si="20"/>
        <v>355168.42325792043</v>
      </c>
      <c r="AF28" s="2">
        <f t="shared" si="20"/>
        <v>358430.4788295746</v>
      </c>
      <c r="AG28" s="2">
        <f t="shared" si="20"/>
        <v>361753.93419976847</v>
      </c>
      <c r="AH28" s="2">
        <f t="shared" si="20"/>
        <v>365140.01352315972</v>
      </c>
      <c r="AI28" s="2">
        <f t="shared" si="20"/>
        <v>368589.96543365828</v>
      </c>
      <c r="AJ28" s="2">
        <f t="shared" si="20"/>
        <v>372105.06353400683</v>
      </c>
      <c r="AK28" s="2">
        <f t="shared" si="20"/>
        <v>375686.60689515393</v>
      </c>
      <c r="AL28" s="2">
        <f t="shared" si="20"/>
        <v>379335.92056561448</v>
      </c>
      <c r="AM28" s="2">
        <f t="shared" si="20"/>
        <v>383054.3560910169</v>
      </c>
      <c r="AN28" s="2">
        <f t="shared" si="20"/>
        <v>386843.29204404139</v>
      </c>
      <c r="AO28" s="2">
        <f t="shared" si="20"/>
        <v>390704.13456495752</v>
      </c>
      <c r="AP28" s="2">
        <f t="shared" si="20"/>
        <v>394638.31791297201</v>
      </c>
    </row>
    <row r="29" spans="1:42" ht="12.75" customHeight="1" x14ac:dyDescent="0.15">
      <c r="A29" s="1"/>
      <c r="B29" s="1"/>
      <c r="C29" s="2"/>
      <c r="D29" s="1"/>
      <c r="E29" s="1"/>
      <c r="F29" s="1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spans="1:42" ht="12.75" customHeight="1" x14ac:dyDescent="0.15">
      <c r="A30" s="1"/>
      <c r="B30" s="1" t="s">
        <v>20</v>
      </c>
      <c r="C30" s="2">
        <f>AVERAGE(H26:AP26)</f>
        <v>1052695.4319995921</v>
      </c>
      <c r="D30" s="1"/>
      <c r="E30" s="23" t="s">
        <v>21</v>
      </c>
      <c r="F30" s="15" t="s">
        <v>22</v>
      </c>
      <c r="G30" s="26">
        <f t="shared" ref="G30:AP30" si="21">SUM(G31:G39)</f>
        <v>0</v>
      </c>
      <c r="H30" s="26">
        <f t="shared" si="21"/>
        <v>185809.49999999997</v>
      </c>
      <c r="I30" s="26">
        <f t="shared" si="21"/>
        <v>196512.97500000001</v>
      </c>
      <c r="J30" s="26">
        <f t="shared" si="21"/>
        <v>206338.62375000003</v>
      </c>
      <c r="K30" s="26">
        <f t="shared" si="21"/>
        <v>216655.55493749998</v>
      </c>
      <c r="L30" s="26">
        <f t="shared" si="21"/>
        <v>227488.332684375</v>
      </c>
      <c r="M30" s="26">
        <f t="shared" si="21"/>
        <v>238862.74931859376</v>
      </c>
      <c r="N30" s="26">
        <f t="shared" si="21"/>
        <v>250805.88678452349</v>
      </c>
      <c r="O30" s="26">
        <f t="shared" si="21"/>
        <v>263346.18112374964</v>
      </c>
      <c r="P30" s="26">
        <f t="shared" si="21"/>
        <v>276513.4901799371</v>
      </c>
      <c r="Q30" s="26">
        <f t="shared" si="21"/>
        <v>290339.16468893399</v>
      </c>
      <c r="R30" s="26">
        <f t="shared" si="21"/>
        <v>304856.1229233807</v>
      </c>
      <c r="S30" s="26">
        <f t="shared" si="21"/>
        <v>308300.61898779724</v>
      </c>
      <c r="T30" s="26">
        <f t="shared" si="21"/>
        <v>311799.13070185657</v>
      </c>
      <c r="U30" s="26">
        <f t="shared" si="21"/>
        <v>315352.6478957964</v>
      </c>
      <c r="V30" s="26">
        <f t="shared" si="21"/>
        <v>318962.17958293168</v>
      </c>
      <c r="W30" s="26">
        <f t="shared" si="21"/>
        <v>322628.75433863711</v>
      </c>
      <c r="X30" s="26">
        <f t="shared" si="21"/>
        <v>326353.42068687017</v>
      </c>
      <c r="Y30" s="26">
        <f t="shared" si="21"/>
        <v>330137.24749438412</v>
      </c>
      <c r="Z30" s="26">
        <f t="shared" si="21"/>
        <v>333981.32437278662</v>
      </c>
      <c r="AA30" s="26">
        <f t="shared" si="21"/>
        <v>337886.76208859641</v>
      </c>
      <c r="AB30" s="26">
        <f t="shared" si="21"/>
        <v>341854.69298146322</v>
      </c>
      <c r="AC30" s="26">
        <f t="shared" si="21"/>
        <v>345886.27139070764</v>
      </c>
      <c r="AD30" s="26">
        <f t="shared" si="21"/>
        <v>349002.63834138087</v>
      </c>
      <c r="AE30" s="26">
        <f t="shared" si="21"/>
        <v>352177.53127259057</v>
      </c>
      <c r="AF30" s="26">
        <f t="shared" si="21"/>
        <v>355412.11690258875</v>
      </c>
      <c r="AG30" s="26">
        <f t="shared" si="21"/>
        <v>358707.5852801915</v>
      </c>
      <c r="AH30" s="26">
        <f t="shared" si="21"/>
        <v>362065.15025138576</v>
      </c>
      <c r="AI30" s="26">
        <f t="shared" si="21"/>
        <v>365486.04993526952</v>
      </c>
      <c r="AJ30" s="26">
        <f t="shared" si="21"/>
        <v>368971.54720950988</v>
      </c>
      <c r="AK30" s="26">
        <f t="shared" si="21"/>
        <v>372522.93020551052</v>
      </c>
      <c r="AL30" s="26">
        <f t="shared" si="21"/>
        <v>376141.51281348302</v>
      </c>
      <c r="AM30" s="26">
        <f t="shared" si="21"/>
        <v>379828.63519761886</v>
      </c>
      <c r="AN30" s="26">
        <f t="shared" si="21"/>
        <v>383585.66432156519</v>
      </c>
      <c r="AO30" s="26">
        <f t="shared" si="21"/>
        <v>387413.99448441045</v>
      </c>
      <c r="AP30" s="26">
        <f t="shared" si="21"/>
        <v>391315.04786738916</v>
      </c>
    </row>
    <row r="31" spans="1:42" ht="12.75" customHeight="1" x14ac:dyDescent="0.15">
      <c r="A31" s="1"/>
      <c r="B31" s="1" t="s">
        <v>23</v>
      </c>
      <c r="C31" s="2">
        <f>AVERAGE(H59:AP59)</f>
        <v>246027.57647973884</v>
      </c>
      <c r="D31" s="1"/>
      <c r="E31" s="4">
        <v>0.14299999999999999</v>
      </c>
      <c r="F31" s="27" t="s">
        <v>24</v>
      </c>
      <c r="G31" s="28">
        <f t="shared" ref="G31:AP31" si="22">G27*$E$31</f>
        <v>0</v>
      </c>
      <c r="H31" s="28">
        <f t="shared" si="22"/>
        <v>61772.782499999994</v>
      </c>
      <c r="I31" s="28">
        <f t="shared" si="22"/>
        <v>65331.176625</v>
      </c>
      <c r="J31" s="28">
        <f t="shared" si="22"/>
        <v>68597.735456249997</v>
      </c>
      <c r="K31" s="28">
        <f t="shared" si="22"/>
        <v>72027.622229062486</v>
      </c>
      <c r="L31" s="28">
        <f t="shared" si="22"/>
        <v>75629.003340515614</v>
      </c>
      <c r="M31" s="28">
        <f t="shared" si="22"/>
        <v>79410.453507541402</v>
      </c>
      <c r="N31" s="28">
        <f t="shared" si="22"/>
        <v>83380.976182918486</v>
      </c>
      <c r="O31" s="28">
        <f t="shared" si="22"/>
        <v>87550.024992064413</v>
      </c>
      <c r="P31" s="28">
        <f t="shared" si="22"/>
        <v>91927.526241667627</v>
      </c>
      <c r="Q31" s="28">
        <f t="shared" si="22"/>
        <v>96523.902553751017</v>
      </c>
      <c r="R31" s="28">
        <f t="shared" si="22"/>
        <v>101350.09768143858</v>
      </c>
      <c r="S31" s="28">
        <f t="shared" si="22"/>
        <v>102495.22807686674</v>
      </c>
      <c r="T31" s="28">
        <f t="shared" si="22"/>
        <v>103658.31609543566</v>
      </c>
      <c r="U31" s="28">
        <f t="shared" si="22"/>
        <v>104839.6908084146</v>
      </c>
      <c r="V31" s="28">
        <f t="shared" si="22"/>
        <v>106039.68766452941</v>
      </c>
      <c r="W31" s="28">
        <f t="shared" si="22"/>
        <v>107258.64861595647</v>
      </c>
      <c r="X31" s="28">
        <f t="shared" si="22"/>
        <v>108496.92224682284</v>
      </c>
      <c r="Y31" s="28">
        <f t="shared" si="22"/>
        <v>109754.86390426358</v>
      </c>
      <c r="Z31" s="28">
        <f t="shared" si="22"/>
        <v>111032.8358320866</v>
      </c>
      <c r="AA31" s="28">
        <f t="shared" si="22"/>
        <v>112331.2073070974</v>
      </c>
      <c r="AB31" s="28">
        <f t="shared" si="22"/>
        <v>113650.35477813677</v>
      </c>
      <c r="AC31" s="28">
        <f t="shared" si="22"/>
        <v>114990.66200788524</v>
      </c>
      <c r="AD31" s="28">
        <f t="shared" si="22"/>
        <v>116026.70514795142</v>
      </c>
      <c r="AE31" s="28">
        <f t="shared" si="22"/>
        <v>117082.20538071888</v>
      </c>
      <c r="AF31" s="28">
        <f t="shared" si="22"/>
        <v>118157.55058427145</v>
      </c>
      <c r="AG31" s="28">
        <f t="shared" si="22"/>
        <v>119253.13639299103</v>
      </c>
      <c r="AH31" s="28">
        <f t="shared" si="22"/>
        <v>120369.36635268202</v>
      </c>
      <c r="AI31" s="28">
        <f t="shared" si="22"/>
        <v>121506.65207879867</v>
      </c>
      <c r="AJ31" s="28">
        <f t="shared" si="22"/>
        <v>122665.41341783674</v>
      </c>
      <c r="AK31" s="28">
        <f t="shared" si="22"/>
        <v>123846.07861195299</v>
      </c>
      <c r="AL31" s="28">
        <f t="shared" si="22"/>
        <v>125049.08446687735</v>
      </c>
      <c r="AM31" s="28">
        <f t="shared" si="22"/>
        <v>126274.8765231829</v>
      </c>
      <c r="AN31" s="28">
        <f t="shared" si="22"/>
        <v>127523.9092309815</v>
      </c>
      <c r="AO31" s="28">
        <f t="shared" si="22"/>
        <v>128796.6461281134</v>
      </c>
      <c r="AP31" s="28">
        <f t="shared" si="22"/>
        <v>130093.56002190047</v>
      </c>
    </row>
    <row r="32" spans="1:42" ht="12.75" customHeight="1" x14ac:dyDescent="0.15">
      <c r="A32" s="1"/>
      <c r="B32" s="1"/>
      <c r="C32" s="2"/>
      <c r="D32" s="1"/>
      <c r="E32" s="4">
        <v>0.14299999999999999</v>
      </c>
      <c r="F32" s="27" t="s">
        <v>25</v>
      </c>
      <c r="G32" s="28">
        <f t="shared" ref="G32:AP32" si="23">G28*$E$32</f>
        <v>0</v>
      </c>
      <c r="H32" s="28">
        <f t="shared" si="23"/>
        <v>26796.412499999999</v>
      </c>
      <c r="I32" s="28">
        <f t="shared" si="23"/>
        <v>28340.008124999997</v>
      </c>
      <c r="J32" s="28">
        <f t="shared" si="23"/>
        <v>29757.008531249998</v>
      </c>
      <c r="K32" s="28">
        <f t="shared" si="23"/>
        <v>31244.858957812496</v>
      </c>
      <c r="L32" s="28">
        <f t="shared" si="23"/>
        <v>32807.101905703123</v>
      </c>
      <c r="M32" s="28">
        <f t="shared" si="23"/>
        <v>34447.457000988281</v>
      </c>
      <c r="N32" s="28">
        <f t="shared" si="23"/>
        <v>36169.829851037692</v>
      </c>
      <c r="O32" s="28">
        <f t="shared" si="23"/>
        <v>37978.321343589581</v>
      </c>
      <c r="P32" s="28">
        <f t="shared" si="23"/>
        <v>39877.237410769056</v>
      </c>
      <c r="Q32" s="28">
        <f t="shared" si="23"/>
        <v>41871.099281307521</v>
      </c>
      <c r="R32" s="28">
        <f t="shared" si="23"/>
        <v>43964.654245372905</v>
      </c>
      <c r="S32" s="28">
        <f t="shared" si="23"/>
        <v>44461.400307316624</v>
      </c>
      <c r="T32" s="28">
        <f t="shared" si="23"/>
        <v>44965.936205782593</v>
      </c>
      <c r="U32" s="28">
        <f t="shared" si="23"/>
        <v>45478.404688581672</v>
      </c>
      <c r="V32" s="28">
        <f t="shared" si="23"/>
        <v>45998.951270001337</v>
      </c>
      <c r="W32" s="28">
        <f t="shared" si="23"/>
        <v>46527.724285460565</v>
      </c>
      <c r="X32" s="28">
        <f t="shared" si="23"/>
        <v>47064.874947251912</v>
      </c>
      <c r="Y32" s="28">
        <f t="shared" si="23"/>
        <v>47610.557401392871</v>
      </c>
      <c r="Z32" s="28">
        <f t="shared" si="23"/>
        <v>48164.928785608339</v>
      </c>
      <c r="AA32" s="28">
        <f t="shared" si="23"/>
        <v>48728.149288466906</v>
      </c>
      <c r="AB32" s="28">
        <f t="shared" si="23"/>
        <v>49300.382209694028</v>
      </c>
      <c r="AC32" s="28">
        <f t="shared" si="23"/>
        <v>49881.794021685382</v>
      </c>
      <c r="AD32" s="28">
        <f t="shared" si="23"/>
        <v>50331.219128106779</v>
      </c>
      <c r="AE32" s="28">
        <f t="shared" si="23"/>
        <v>50789.084525882616</v>
      </c>
      <c r="AF32" s="28">
        <f t="shared" si="23"/>
        <v>51255.558472629164</v>
      </c>
      <c r="AG32" s="28">
        <f t="shared" si="23"/>
        <v>51730.812590566886</v>
      </c>
      <c r="AH32" s="28">
        <f t="shared" si="23"/>
        <v>52215.021933811833</v>
      </c>
      <c r="AI32" s="28">
        <f t="shared" si="23"/>
        <v>52708.365057013129</v>
      </c>
      <c r="AJ32" s="28">
        <f t="shared" si="23"/>
        <v>53211.024085362973</v>
      </c>
      <c r="AK32" s="28">
        <f t="shared" si="23"/>
        <v>53723.184786007005</v>
      </c>
      <c r="AL32" s="28">
        <f t="shared" si="23"/>
        <v>54245.036640882863</v>
      </c>
      <c r="AM32" s="28">
        <f t="shared" si="23"/>
        <v>54776.772921015414</v>
      </c>
      <c r="AN32" s="28">
        <f t="shared" si="23"/>
        <v>55318.590762297914</v>
      </c>
      <c r="AO32" s="28">
        <f t="shared" si="23"/>
        <v>55870.691242788918</v>
      </c>
      <c r="AP32" s="28">
        <f t="shared" si="23"/>
        <v>56433.279461554994</v>
      </c>
    </row>
    <row r="33" spans="1:42" ht="12.75" customHeight="1" x14ac:dyDescent="0.15">
      <c r="A33" s="15"/>
      <c r="B33" s="15"/>
      <c r="C33" s="15"/>
      <c r="D33" s="29"/>
      <c r="E33" s="4">
        <v>0.03</v>
      </c>
      <c r="F33" s="27" t="s">
        <v>26</v>
      </c>
      <c r="G33" s="28">
        <f t="shared" ref="G33:AP38" si="24">G$26*$E33</f>
        <v>0</v>
      </c>
      <c r="H33" s="28">
        <f t="shared" si="24"/>
        <v>18580.95</v>
      </c>
      <c r="I33" s="28">
        <f t="shared" si="24"/>
        <v>19651.297500000001</v>
      </c>
      <c r="J33" s="28">
        <f t="shared" si="24"/>
        <v>20633.862374999997</v>
      </c>
      <c r="K33" s="28">
        <f t="shared" si="24"/>
        <v>21665.555493749998</v>
      </c>
      <c r="L33" s="28">
        <f t="shared" si="24"/>
        <v>22748.833268437498</v>
      </c>
      <c r="M33" s="28">
        <f t="shared" si="24"/>
        <v>23886.274931859374</v>
      </c>
      <c r="N33" s="28">
        <f t="shared" si="24"/>
        <v>25080.588678452346</v>
      </c>
      <c r="O33" s="28">
        <f t="shared" si="24"/>
        <v>26334.618112374967</v>
      </c>
      <c r="P33" s="28">
        <f t="shared" si="24"/>
        <v>27651.349017993711</v>
      </c>
      <c r="Q33" s="28">
        <f t="shared" si="24"/>
        <v>29033.9164688934</v>
      </c>
      <c r="R33" s="28">
        <f t="shared" si="24"/>
        <v>30485.612292338075</v>
      </c>
      <c r="S33" s="28">
        <f t="shared" si="24"/>
        <v>30830.061898779724</v>
      </c>
      <c r="T33" s="28">
        <f t="shared" si="24"/>
        <v>31179.913070185648</v>
      </c>
      <c r="U33" s="28">
        <f t="shared" si="24"/>
        <v>31535.26478957964</v>
      </c>
      <c r="V33" s="28">
        <f t="shared" si="24"/>
        <v>31896.217958293171</v>
      </c>
      <c r="W33" s="28">
        <f t="shared" si="24"/>
        <v>32262.875433863715</v>
      </c>
      <c r="X33" s="28">
        <f t="shared" si="24"/>
        <v>32635.342068687016</v>
      </c>
      <c r="Y33" s="28">
        <f t="shared" si="24"/>
        <v>33013.724749438421</v>
      </c>
      <c r="Z33" s="28">
        <f t="shared" si="24"/>
        <v>33398.132437278655</v>
      </c>
      <c r="AA33" s="28">
        <f t="shared" si="24"/>
        <v>33788.676208859644</v>
      </c>
      <c r="AB33" s="28">
        <f t="shared" si="24"/>
        <v>34185.469298146316</v>
      </c>
      <c r="AC33" s="28">
        <f t="shared" si="24"/>
        <v>34588.627139070762</v>
      </c>
      <c r="AD33" s="28">
        <f t="shared" si="24"/>
        <v>34900.263834138088</v>
      </c>
      <c r="AE33" s="28">
        <f t="shared" si="24"/>
        <v>35217.753127259057</v>
      </c>
      <c r="AF33" s="28">
        <f t="shared" si="24"/>
        <v>35541.211690258868</v>
      </c>
      <c r="AG33" s="28">
        <f t="shared" si="24"/>
        <v>35870.758528019142</v>
      </c>
      <c r="AH33" s="28">
        <f t="shared" si="24"/>
        <v>36206.515025138571</v>
      </c>
      <c r="AI33" s="28">
        <f t="shared" si="24"/>
        <v>36548.604993526955</v>
      </c>
      <c r="AJ33" s="28">
        <f t="shared" si="24"/>
        <v>36897.154720950988</v>
      </c>
      <c r="AK33" s="28">
        <f t="shared" si="24"/>
        <v>37252.293020551049</v>
      </c>
      <c r="AL33" s="28">
        <f t="shared" si="24"/>
        <v>37614.151281348299</v>
      </c>
      <c r="AM33" s="28">
        <f t="shared" si="24"/>
        <v>37982.863519761886</v>
      </c>
      <c r="AN33" s="28">
        <f t="shared" si="24"/>
        <v>38358.566432156527</v>
      </c>
      <c r="AO33" s="28">
        <f t="shared" si="24"/>
        <v>38741.39944844105</v>
      </c>
      <c r="AP33" s="28">
        <f t="shared" si="24"/>
        <v>39131.504786738908</v>
      </c>
    </row>
    <row r="34" spans="1:42" ht="12.75" customHeight="1" x14ac:dyDescent="0.15">
      <c r="A34" s="15"/>
      <c r="B34" s="11" t="s">
        <v>27</v>
      </c>
      <c r="C34" s="30">
        <f>(C28-C27)/C27</f>
        <v>6.7362469991646301E-2</v>
      </c>
      <c r="D34" s="29"/>
      <c r="E34" s="4">
        <v>0.02</v>
      </c>
      <c r="F34" s="27" t="s">
        <v>28</v>
      </c>
      <c r="G34" s="28">
        <f t="shared" si="24"/>
        <v>0</v>
      </c>
      <c r="H34" s="28">
        <f t="shared" si="24"/>
        <v>12387.300000000001</v>
      </c>
      <c r="I34" s="28">
        <f t="shared" si="24"/>
        <v>13100.865</v>
      </c>
      <c r="J34" s="28">
        <f t="shared" si="24"/>
        <v>13755.90825</v>
      </c>
      <c r="K34" s="28">
        <f t="shared" si="24"/>
        <v>14443.7036625</v>
      </c>
      <c r="L34" s="28">
        <f t="shared" si="24"/>
        <v>15165.888845624999</v>
      </c>
      <c r="M34" s="28">
        <f t="shared" si="24"/>
        <v>15924.183287906251</v>
      </c>
      <c r="N34" s="28">
        <f t="shared" si="24"/>
        <v>16720.392452301567</v>
      </c>
      <c r="O34" s="28">
        <f t="shared" si="24"/>
        <v>17556.412074916643</v>
      </c>
      <c r="P34" s="28">
        <f t="shared" si="24"/>
        <v>18434.232678662473</v>
      </c>
      <c r="Q34" s="28">
        <f t="shared" si="24"/>
        <v>19355.944312595602</v>
      </c>
      <c r="R34" s="28">
        <f t="shared" si="24"/>
        <v>20323.741528225386</v>
      </c>
      <c r="S34" s="28">
        <f t="shared" si="24"/>
        <v>20553.374599186485</v>
      </c>
      <c r="T34" s="28">
        <f t="shared" si="24"/>
        <v>20786.608713457099</v>
      </c>
      <c r="U34" s="28">
        <f t="shared" si="24"/>
        <v>21023.509859719761</v>
      </c>
      <c r="V34" s="28">
        <f t="shared" si="24"/>
        <v>21264.145305528782</v>
      </c>
      <c r="W34" s="28">
        <f t="shared" si="24"/>
        <v>21508.583622575814</v>
      </c>
      <c r="X34" s="28">
        <f t="shared" si="24"/>
        <v>21756.894712458012</v>
      </c>
      <c r="Y34" s="28">
        <f t="shared" si="24"/>
        <v>22009.149832958949</v>
      </c>
      <c r="Z34" s="28">
        <f t="shared" si="24"/>
        <v>22265.421624852439</v>
      </c>
      <c r="AA34" s="28">
        <f t="shared" si="24"/>
        <v>22525.784139239764</v>
      </c>
      <c r="AB34" s="28">
        <f t="shared" si="24"/>
        <v>22790.312865430882</v>
      </c>
      <c r="AC34" s="28">
        <f t="shared" si="24"/>
        <v>23059.084759380512</v>
      </c>
      <c r="AD34" s="28">
        <f t="shared" si="24"/>
        <v>23266.842556092059</v>
      </c>
      <c r="AE34" s="28">
        <f t="shared" si="24"/>
        <v>23478.502084839372</v>
      </c>
      <c r="AF34" s="28">
        <f t="shared" si="24"/>
        <v>23694.141126839248</v>
      </c>
      <c r="AG34" s="28">
        <f t="shared" si="24"/>
        <v>23913.839018679428</v>
      </c>
      <c r="AH34" s="28">
        <f t="shared" si="24"/>
        <v>24137.676683425718</v>
      </c>
      <c r="AI34" s="28">
        <f t="shared" si="24"/>
        <v>24365.736662351304</v>
      </c>
      <c r="AJ34" s="28">
        <f t="shared" si="24"/>
        <v>24598.103147300659</v>
      </c>
      <c r="AK34" s="28">
        <f t="shared" si="24"/>
        <v>24834.862013700702</v>
      </c>
      <c r="AL34" s="28">
        <f t="shared" si="24"/>
        <v>25076.100854232202</v>
      </c>
      <c r="AM34" s="28">
        <f t="shared" si="24"/>
        <v>25321.909013174591</v>
      </c>
      <c r="AN34" s="28">
        <f t="shared" si="24"/>
        <v>25572.377621437685</v>
      </c>
      <c r="AO34" s="28">
        <f t="shared" si="24"/>
        <v>25827.599632294034</v>
      </c>
      <c r="AP34" s="28">
        <f t="shared" si="24"/>
        <v>26087.669857825938</v>
      </c>
    </row>
    <row r="35" spans="1:42" ht="12.75" customHeight="1" x14ac:dyDescent="0.15">
      <c r="A35" s="15"/>
      <c r="B35" s="11" t="s">
        <v>29</v>
      </c>
      <c r="C35" s="31">
        <f>MIN(G70:AP70)</f>
        <v>35</v>
      </c>
      <c r="D35" s="29"/>
      <c r="E35" s="4">
        <v>1.7000000000000001E-2</v>
      </c>
      <c r="F35" s="27" t="s">
        <v>30</v>
      </c>
      <c r="G35" s="28">
        <f t="shared" si="24"/>
        <v>0</v>
      </c>
      <c r="H35" s="28">
        <f t="shared" si="24"/>
        <v>10529.205</v>
      </c>
      <c r="I35" s="28">
        <f t="shared" si="24"/>
        <v>11135.735250000002</v>
      </c>
      <c r="J35" s="28">
        <f t="shared" si="24"/>
        <v>11692.5220125</v>
      </c>
      <c r="K35" s="28">
        <f t="shared" si="24"/>
        <v>12277.148113125</v>
      </c>
      <c r="L35" s="28">
        <f t="shared" si="24"/>
        <v>12891.005518781249</v>
      </c>
      <c r="M35" s="28">
        <f t="shared" si="24"/>
        <v>13535.555794720314</v>
      </c>
      <c r="N35" s="28">
        <f t="shared" si="24"/>
        <v>14212.333584456332</v>
      </c>
      <c r="O35" s="28">
        <f t="shared" si="24"/>
        <v>14922.950263679149</v>
      </c>
      <c r="P35" s="28">
        <f t="shared" si="24"/>
        <v>15669.097776863104</v>
      </c>
      <c r="Q35" s="28">
        <f t="shared" si="24"/>
        <v>16452.552665706262</v>
      </c>
      <c r="R35" s="28">
        <f t="shared" si="24"/>
        <v>17275.180298991578</v>
      </c>
      <c r="S35" s="28">
        <f t="shared" si="24"/>
        <v>17470.368409308514</v>
      </c>
      <c r="T35" s="28">
        <f t="shared" si="24"/>
        <v>17668.617406438538</v>
      </c>
      <c r="U35" s="28">
        <f t="shared" si="24"/>
        <v>17869.983380761798</v>
      </c>
      <c r="V35" s="28">
        <f t="shared" si="24"/>
        <v>18074.523509699466</v>
      </c>
      <c r="W35" s="28">
        <f t="shared" si="24"/>
        <v>18282.29607918944</v>
      </c>
      <c r="X35" s="28">
        <f t="shared" si="24"/>
        <v>18493.360505589309</v>
      </c>
      <c r="Y35" s="28">
        <f t="shared" si="24"/>
        <v>18707.777358015108</v>
      </c>
      <c r="Z35" s="28">
        <f t="shared" si="24"/>
        <v>18925.608381124573</v>
      </c>
      <c r="AA35" s="28">
        <f t="shared" si="24"/>
        <v>19146.916518353803</v>
      </c>
      <c r="AB35" s="28">
        <f t="shared" si="24"/>
        <v>19371.765935616251</v>
      </c>
      <c r="AC35" s="28">
        <f t="shared" si="24"/>
        <v>19600.222045473434</v>
      </c>
      <c r="AD35" s="28">
        <f t="shared" si="24"/>
        <v>19776.816172678253</v>
      </c>
      <c r="AE35" s="28">
        <f t="shared" si="24"/>
        <v>19956.726772113467</v>
      </c>
      <c r="AF35" s="28">
        <f t="shared" si="24"/>
        <v>20140.019957813362</v>
      </c>
      <c r="AG35" s="28">
        <f t="shared" si="24"/>
        <v>20326.763165877517</v>
      </c>
      <c r="AH35" s="28">
        <f t="shared" si="24"/>
        <v>20517.02518091186</v>
      </c>
      <c r="AI35" s="28">
        <f t="shared" si="24"/>
        <v>20710.876162998607</v>
      </c>
      <c r="AJ35" s="28">
        <f t="shared" si="24"/>
        <v>20908.387675205562</v>
      </c>
      <c r="AK35" s="28">
        <f t="shared" si="24"/>
        <v>21109.632711645598</v>
      </c>
      <c r="AL35" s="28">
        <f t="shared" si="24"/>
        <v>21314.68572609737</v>
      </c>
      <c r="AM35" s="28">
        <f t="shared" si="24"/>
        <v>21523.622661198402</v>
      </c>
      <c r="AN35" s="28">
        <f t="shared" si="24"/>
        <v>21736.520978222034</v>
      </c>
      <c r="AO35" s="28">
        <f t="shared" si="24"/>
        <v>21953.459687449929</v>
      </c>
      <c r="AP35" s="28">
        <f t="shared" si="24"/>
        <v>22174.519379152051</v>
      </c>
    </row>
    <row r="36" spans="1:42" ht="12.75" customHeight="1" x14ac:dyDescent="0.15">
      <c r="A36" s="15"/>
      <c r="B36" s="11" t="s">
        <v>31</v>
      </c>
      <c r="C36" s="31">
        <f>MIN(G75:AP75)</f>
        <v>0</v>
      </c>
      <c r="D36" s="29"/>
      <c r="E36" s="4">
        <v>0.05</v>
      </c>
      <c r="F36" s="27" t="s">
        <v>32</v>
      </c>
      <c r="G36" s="28">
        <f t="shared" si="24"/>
        <v>0</v>
      </c>
      <c r="H36" s="28">
        <f t="shared" si="24"/>
        <v>30968.25</v>
      </c>
      <c r="I36" s="28">
        <f t="shared" si="24"/>
        <v>32752.162500000002</v>
      </c>
      <c r="J36" s="28">
        <f t="shared" si="24"/>
        <v>34389.770624999997</v>
      </c>
      <c r="K36" s="28">
        <f t="shared" si="24"/>
        <v>36109.259156250002</v>
      </c>
      <c r="L36" s="28">
        <f t="shared" si="24"/>
        <v>37914.722114062497</v>
      </c>
      <c r="M36" s="28">
        <f t="shared" si="24"/>
        <v>39810.458219765627</v>
      </c>
      <c r="N36" s="28">
        <f t="shared" si="24"/>
        <v>41800.981130753913</v>
      </c>
      <c r="O36" s="28">
        <f t="shared" si="24"/>
        <v>43891.030187291617</v>
      </c>
      <c r="P36" s="28">
        <f t="shared" si="24"/>
        <v>46085.581696656183</v>
      </c>
      <c r="Q36" s="28">
        <f t="shared" si="24"/>
        <v>48389.860781489006</v>
      </c>
      <c r="R36" s="28">
        <f t="shared" si="24"/>
        <v>50809.353820563469</v>
      </c>
      <c r="S36" s="28">
        <f t="shared" si="24"/>
        <v>51383.436497966213</v>
      </c>
      <c r="T36" s="28">
        <f t="shared" si="24"/>
        <v>51966.521783642755</v>
      </c>
      <c r="U36" s="28">
        <f t="shared" si="24"/>
        <v>52558.774649299405</v>
      </c>
      <c r="V36" s="28">
        <f t="shared" si="24"/>
        <v>53160.363263821957</v>
      </c>
      <c r="W36" s="28">
        <f t="shared" si="24"/>
        <v>53771.459056439533</v>
      </c>
      <c r="X36" s="28">
        <f t="shared" si="24"/>
        <v>54392.236781145031</v>
      </c>
      <c r="Y36" s="28">
        <f t="shared" si="24"/>
        <v>55022.874582397373</v>
      </c>
      <c r="Z36" s="28">
        <f t="shared" si="24"/>
        <v>55663.554062131094</v>
      </c>
      <c r="AA36" s="28">
        <f t="shared" si="24"/>
        <v>56314.460348099412</v>
      </c>
      <c r="AB36" s="28">
        <f t="shared" si="24"/>
        <v>56975.782163577205</v>
      </c>
      <c r="AC36" s="28">
        <f t="shared" si="24"/>
        <v>57647.711898451278</v>
      </c>
      <c r="AD36" s="28">
        <f t="shared" si="24"/>
        <v>58167.106390230154</v>
      </c>
      <c r="AE36" s="28">
        <f t="shared" si="24"/>
        <v>58696.255212098433</v>
      </c>
      <c r="AF36" s="28">
        <f t="shared" si="24"/>
        <v>59235.352817098123</v>
      </c>
      <c r="AG36" s="28">
        <f t="shared" si="24"/>
        <v>59784.597546698576</v>
      </c>
      <c r="AH36" s="28">
        <f t="shared" si="24"/>
        <v>60344.191708564293</v>
      </c>
      <c r="AI36" s="28">
        <f t="shared" si="24"/>
        <v>60914.341655878263</v>
      </c>
      <c r="AJ36" s="28">
        <f t="shared" si="24"/>
        <v>61495.257868251647</v>
      </c>
      <c r="AK36" s="28">
        <f t="shared" si="24"/>
        <v>62087.155034251758</v>
      </c>
      <c r="AL36" s="28">
        <f t="shared" si="24"/>
        <v>62690.2521355805</v>
      </c>
      <c r="AM36" s="28">
        <f t="shared" si="24"/>
        <v>63304.772532936477</v>
      </c>
      <c r="AN36" s="28">
        <f t="shared" si="24"/>
        <v>63930.944053594212</v>
      </c>
      <c r="AO36" s="28">
        <f t="shared" si="24"/>
        <v>64568.999080735084</v>
      </c>
      <c r="AP36" s="28">
        <f t="shared" si="24"/>
        <v>65219.174644564853</v>
      </c>
    </row>
    <row r="37" spans="1:42" ht="12.75" customHeight="1" x14ac:dyDescent="0.15">
      <c r="A37" s="15"/>
      <c r="B37" s="29"/>
      <c r="C37" s="32"/>
      <c r="D37" s="29"/>
      <c r="E37" s="4">
        <v>0.02</v>
      </c>
      <c r="F37" s="27" t="s">
        <v>33</v>
      </c>
      <c r="G37" s="28">
        <f t="shared" si="24"/>
        <v>0</v>
      </c>
      <c r="H37" s="28">
        <f t="shared" si="24"/>
        <v>12387.300000000001</v>
      </c>
      <c r="I37" s="28">
        <f t="shared" si="24"/>
        <v>13100.865</v>
      </c>
      <c r="J37" s="28">
        <f t="shared" si="24"/>
        <v>13755.90825</v>
      </c>
      <c r="K37" s="28">
        <f t="shared" si="24"/>
        <v>14443.7036625</v>
      </c>
      <c r="L37" s="28">
        <f t="shared" si="24"/>
        <v>15165.888845624999</v>
      </c>
      <c r="M37" s="28">
        <f t="shared" si="24"/>
        <v>15924.183287906251</v>
      </c>
      <c r="N37" s="28">
        <f t="shared" si="24"/>
        <v>16720.392452301567</v>
      </c>
      <c r="O37" s="28">
        <f t="shared" si="24"/>
        <v>17556.412074916643</v>
      </c>
      <c r="P37" s="28">
        <f t="shared" si="24"/>
        <v>18434.232678662473</v>
      </c>
      <c r="Q37" s="28">
        <f t="shared" si="24"/>
        <v>19355.944312595602</v>
      </c>
      <c r="R37" s="28">
        <f t="shared" si="24"/>
        <v>20323.741528225386</v>
      </c>
      <c r="S37" s="28">
        <f t="shared" si="24"/>
        <v>20553.374599186485</v>
      </c>
      <c r="T37" s="28">
        <f t="shared" si="24"/>
        <v>20786.608713457099</v>
      </c>
      <c r="U37" s="28">
        <f t="shared" si="24"/>
        <v>21023.509859719761</v>
      </c>
      <c r="V37" s="28">
        <f t="shared" si="24"/>
        <v>21264.145305528782</v>
      </c>
      <c r="W37" s="28">
        <f t="shared" si="24"/>
        <v>21508.583622575814</v>
      </c>
      <c r="X37" s="28">
        <f t="shared" si="24"/>
        <v>21756.894712458012</v>
      </c>
      <c r="Y37" s="28">
        <f t="shared" si="24"/>
        <v>22009.149832958949</v>
      </c>
      <c r="Z37" s="28">
        <f t="shared" si="24"/>
        <v>22265.421624852439</v>
      </c>
      <c r="AA37" s="28">
        <f t="shared" si="24"/>
        <v>22525.784139239764</v>
      </c>
      <c r="AB37" s="28">
        <f t="shared" si="24"/>
        <v>22790.312865430882</v>
      </c>
      <c r="AC37" s="28">
        <f t="shared" si="24"/>
        <v>23059.084759380512</v>
      </c>
      <c r="AD37" s="28">
        <f t="shared" si="24"/>
        <v>23266.842556092059</v>
      </c>
      <c r="AE37" s="28">
        <f t="shared" si="24"/>
        <v>23478.502084839372</v>
      </c>
      <c r="AF37" s="28">
        <f t="shared" si="24"/>
        <v>23694.141126839248</v>
      </c>
      <c r="AG37" s="28">
        <f t="shared" si="24"/>
        <v>23913.839018679428</v>
      </c>
      <c r="AH37" s="28">
        <f t="shared" si="24"/>
        <v>24137.676683425718</v>
      </c>
      <c r="AI37" s="28">
        <f t="shared" si="24"/>
        <v>24365.736662351304</v>
      </c>
      <c r="AJ37" s="28">
        <f t="shared" si="24"/>
        <v>24598.103147300659</v>
      </c>
      <c r="AK37" s="28">
        <f t="shared" si="24"/>
        <v>24834.862013700702</v>
      </c>
      <c r="AL37" s="28">
        <f t="shared" si="24"/>
        <v>25076.100854232202</v>
      </c>
      <c r="AM37" s="28">
        <f t="shared" si="24"/>
        <v>25321.909013174591</v>
      </c>
      <c r="AN37" s="28">
        <f t="shared" si="24"/>
        <v>25572.377621437685</v>
      </c>
      <c r="AO37" s="28">
        <f t="shared" si="24"/>
        <v>25827.599632294034</v>
      </c>
      <c r="AP37" s="28">
        <f t="shared" si="24"/>
        <v>26087.669857825938</v>
      </c>
    </row>
    <row r="38" spans="1:42" ht="12.75" customHeight="1" x14ac:dyDescent="0.15">
      <c r="A38" s="15"/>
      <c r="B38" s="29"/>
      <c r="C38" s="32"/>
      <c r="D38" s="29"/>
      <c r="E38" s="4">
        <v>0.02</v>
      </c>
      <c r="F38" s="27" t="s">
        <v>34</v>
      </c>
      <c r="G38" s="28">
        <f t="shared" si="24"/>
        <v>0</v>
      </c>
      <c r="H38" s="28">
        <f t="shared" si="24"/>
        <v>12387.300000000001</v>
      </c>
      <c r="I38" s="28">
        <f t="shared" si="24"/>
        <v>13100.865</v>
      </c>
      <c r="J38" s="28">
        <f t="shared" si="24"/>
        <v>13755.90825</v>
      </c>
      <c r="K38" s="28">
        <f t="shared" si="24"/>
        <v>14443.7036625</v>
      </c>
      <c r="L38" s="28">
        <f t="shared" si="24"/>
        <v>15165.888845624999</v>
      </c>
      <c r="M38" s="28">
        <f t="shared" si="24"/>
        <v>15924.183287906251</v>
      </c>
      <c r="N38" s="28">
        <f t="shared" si="24"/>
        <v>16720.392452301567</v>
      </c>
      <c r="O38" s="28">
        <f t="shared" si="24"/>
        <v>17556.412074916643</v>
      </c>
      <c r="P38" s="28">
        <f t="shared" si="24"/>
        <v>18434.232678662473</v>
      </c>
      <c r="Q38" s="28">
        <f t="shared" si="24"/>
        <v>19355.944312595602</v>
      </c>
      <c r="R38" s="28">
        <f t="shared" si="24"/>
        <v>20323.741528225386</v>
      </c>
      <c r="S38" s="28">
        <f t="shared" si="24"/>
        <v>20553.374599186485</v>
      </c>
      <c r="T38" s="28">
        <f t="shared" si="24"/>
        <v>20786.608713457099</v>
      </c>
      <c r="U38" s="28">
        <f t="shared" si="24"/>
        <v>21023.509859719761</v>
      </c>
      <c r="V38" s="28">
        <f t="shared" si="24"/>
        <v>21264.145305528782</v>
      </c>
      <c r="W38" s="28">
        <f t="shared" si="24"/>
        <v>21508.583622575814</v>
      </c>
      <c r="X38" s="28">
        <f t="shared" si="24"/>
        <v>21756.894712458012</v>
      </c>
      <c r="Y38" s="28">
        <f t="shared" si="24"/>
        <v>22009.149832958949</v>
      </c>
      <c r="Z38" s="28">
        <f t="shared" si="24"/>
        <v>22265.421624852439</v>
      </c>
      <c r="AA38" s="28">
        <f t="shared" si="24"/>
        <v>22525.784139239764</v>
      </c>
      <c r="AB38" s="28">
        <f t="shared" si="24"/>
        <v>22790.312865430882</v>
      </c>
      <c r="AC38" s="28">
        <f t="shared" si="24"/>
        <v>23059.084759380512</v>
      </c>
      <c r="AD38" s="28">
        <f t="shared" si="24"/>
        <v>23266.842556092059</v>
      </c>
      <c r="AE38" s="28">
        <f t="shared" si="24"/>
        <v>23478.502084839372</v>
      </c>
      <c r="AF38" s="28">
        <f t="shared" si="24"/>
        <v>23694.141126839248</v>
      </c>
      <c r="AG38" s="28">
        <f t="shared" si="24"/>
        <v>23913.839018679428</v>
      </c>
      <c r="AH38" s="28">
        <f t="shared" si="24"/>
        <v>24137.676683425718</v>
      </c>
      <c r="AI38" s="28">
        <f t="shared" si="24"/>
        <v>24365.736662351304</v>
      </c>
      <c r="AJ38" s="28">
        <f t="shared" si="24"/>
        <v>24598.103147300659</v>
      </c>
      <c r="AK38" s="28">
        <f t="shared" si="24"/>
        <v>24834.862013700702</v>
      </c>
      <c r="AL38" s="28">
        <f t="shared" si="24"/>
        <v>25076.100854232202</v>
      </c>
      <c r="AM38" s="28">
        <f t="shared" si="24"/>
        <v>25321.909013174591</v>
      </c>
      <c r="AN38" s="28">
        <f t="shared" si="24"/>
        <v>25572.377621437685</v>
      </c>
      <c r="AO38" s="28">
        <f t="shared" si="24"/>
        <v>25827.599632294034</v>
      </c>
      <c r="AP38" s="28">
        <f t="shared" si="24"/>
        <v>26087.669857825938</v>
      </c>
    </row>
    <row r="39" spans="1:42" ht="12.75" customHeight="1" x14ac:dyDescent="0.15">
      <c r="A39" s="1"/>
      <c r="B39" s="1"/>
      <c r="C39" s="2"/>
      <c r="D39" s="33"/>
      <c r="E39" s="6"/>
      <c r="F39" s="6"/>
      <c r="G39" s="28"/>
      <c r="H39" s="28"/>
      <c r="I39" s="34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</row>
    <row r="40" spans="1:42" ht="12.75" customHeight="1" x14ac:dyDescent="0.15">
      <c r="A40" s="1"/>
      <c r="B40" s="21" t="s">
        <v>35</v>
      </c>
      <c r="C40" s="22"/>
      <c r="D40" s="1"/>
      <c r="E40" s="15"/>
      <c r="F40" s="24" t="s">
        <v>36</v>
      </c>
      <c r="G40" s="24">
        <f t="shared" ref="G40:AP40" si="25">G26-G30</f>
        <v>0</v>
      </c>
      <c r="H40" s="24">
        <f t="shared" si="25"/>
        <v>433555.5</v>
      </c>
      <c r="I40" s="24">
        <f t="shared" si="25"/>
        <v>458530.27500000002</v>
      </c>
      <c r="J40" s="24">
        <f t="shared" si="25"/>
        <v>481456.78874999995</v>
      </c>
      <c r="K40" s="24">
        <f t="shared" si="25"/>
        <v>505529.6281875</v>
      </c>
      <c r="L40" s="24">
        <f t="shared" si="25"/>
        <v>530806.10959687491</v>
      </c>
      <c r="M40" s="24">
        <f t="shared" si="25"/>
        <v>557346.41507671878</v>
      </c>
      <c r="N40" s="24">
        <f t="shared" si="25"/>
        <v>585213.73583055474</v>
      </c>
      <c r="O40" s="24">
        <f t="shared" si="25"/>
        <v>614474.42262208252</v>
      </c>
      <c r="P40" s="24">
        <f t="shared" si="25"/>
        <v>645198.14375318657</v>
      </c>
      <c r="Q40" s="24">
        <f t="shared" si="25"/>
        <v>677458.05094084609</v>
      </c>
      <c r="R40" s="24">
        <f t="shared" si="25"/>
        <v>711330.95348788856</v>
      </c>
      <c r="S40" s="24">
        <f t="shared" si="25"/>
        <v>719368.11097152694</v>
      </c>
      <c r="T40" s="24">
        <f t="shared" si="25"/>
        <v>727531.30497099843</v>
      </c>
      <c r="U40" s="24">
        <f t="shared" si="25"/>
        <v>735822.84509019158</v>
      </c>
      <c r="V40" s="24">
        <f t="shared" si="25"/>
        <v>744245.08569350734</v>
      </c>
      <c r="W40" s="24">
        <f t="shared" si="25"/>
        <v>752800.42679015349</v>
      </c>
      <c r="X40" s="24">
        <f t="shared" si="25"/>
        <v>761491.31493603042</v>
      </c>
      <c r="Y40" s="24">
        <f t="shared" si="25"/>
        <v>770320.24415356317</v>
      </c>
      <c r="Z40" s="24">
        <f t="shared" si="25"/>
        <v>779289.75686983531</v>
      </c>
      <c r="AA40" s="24">
        <f t="shared" si="25"/>
        <v>788402.44487339188</v>
      </c>
      <c r="AB40" s="24">
        <f t="shared" si="25"/>
        <v>797660.95029008086</v>
      </c>
      <c r="AC40" s="24">
        <f t="shared" si="25"/>
        <v>807067.96657831781</v>
      </c>
      <c r="AD40" s="24">
        <f t="shared" si="25"/>
        <v>814339.4894632221</v>
      </c>
      <c r="AE40" s="24">
        <f t="shared" si="25"/>
        <v>821747.57296937797</v>
      </c>
      <c r="AF40" s="24">
        <f t="shared" si="25"/>
        <v>829294.93943937367</v>
      </c>
      <c r="AG40" s="24">
        <f t="shared" si="25"/>
        <v>836984.36565377994</v>
      </c>
      <c r="AH40" s="24">
        <f t="shared" si="25"/>
        <v>844818.6839199001</v>
      </c>
      <c r="AI40" s="24">
        <f t="shared" si="25"/>
        <v>852800.78318229562</v>
      </c>
      <c r="AJ40" s="24">
        <f t="shared" si="25"/>
        <v>860933.61015552306</v>
      </c>
      <c r="AK40" s="24">
        <f t="shared" si="25"/>
        <v>869220.17047952465</v>
      </c>
      <c r="AL40" s="24">
        <f t="shared" si="25"/>
        <v>877663.52989812696</v>
      </c>
      <c r="AM40" s="24">
        <f t="shared" si="25"/>
        <v>886266.81546111067</v>
      </c>
      <c r="AN40" s="24">
        <f t="shared" si="25"/>
        <v>895033.216750319</v>
      </c>
      <c r="AO40" s="24">
        <f t="shared" si="25"/>
        <v>903965.98713029129</v>
      </c>
      <c r="AP40" s="24">
        <f t="shared" si="25"/>
        <v>913068.44502390781</v>
      </c>
    </row>
    <row r="41" spans="1:42" ht="12.75" customHeight="1" x14ac:dyDescent="0.15">
      <c r="A41" s="35"/>
      <c r="B41" s="36"/>
      <c r="C41" s="37"/>
      <c r="D41" s="35"/>
      <c r="E41" s="36"/>
      <c r="F41" s="38" t="s">
        <v>89</v>
      </c>
      <c r="G41" s="38"/>
      <c r="H41" s="38">
        <f t="shared" ref="H41:AP41" si="26">H40/H26</f>
        <v>0.7</v>
      </c>
      <c r="I41" s="38">
        <f t="shared" si="26"/>
        <v>0.70000000000000007</v>
      </c>
      <c r="J41" s="38">
        <f t="shared" si="26"/>
        <v>0.7</v>
      </c>
      <c r="K41" s="38">
        <f t="shared" si="26"/>
        <v>0.70000000000000007</v>
      </c>
      <c r="L41" s="38">
        <f t="shared" si="26"/>
        <v>0.7</v>
      </c>
      <c r="M41" s="38">
        <f t="shared" si="26"/>
        <v>0.7</v>
      </c>
      <c r="N41" s="38">
        <f t="shared" si="26"/>
        <v>0.7</v>
      </c>
      <c r="O41" s="38">
        <f t="shared" si="26"/>
        <v>0.7</v>
      </c>
      <c r="P41" s="38">
        <f t="shared" si="26"/>
        <v>0.7</v>
      </c>
      <c r="Q41" s="38">
        <f t="shared" si="26"/>
        <v>0.70000000000000007</v>
      </c>
      <c r="R41" s="38">
        <f t="shared" si="26"/>
        <v>0.70000000000000007</v>
      </c>
      <c r="S41" s="38">
        <f t="shared" si="26"/>
        <v>0.7</v>
      </c>
      <c r="T41" s="38">
        <f t="shared" si="26"/>
        <v>0.7</v>
      </c>
      <c r="U41" s="38">
        <f t="shared" si="26"/>
        <v>0.7</v>
      </c>
      <c r="V41" s="38">
        <f t="shared" si="26"/>
        <v>0.70000000000000007</v>
      </c>
      <c r="W41" s="38">
        <f t="shared" si="26"/>
        <v>0.70000000000000007</v>
      </c>
      <c r="X41" s="38">
        <f t="shared" si="26"/>
        <v>0.70000000000000007</v>
      </c>
      <c r="Y41" s="38">
        <f t="shared" si="26"/>
        <v>0.70000000000000007</v>
      </c>
      <c r="Z41" s="38">
        <f t="shared" si="26"/>
        <v>0.7</v>
      </c>
      <c r="AA41" s="38">
        <f t="shared" si="26"/>
        <v>0.70000000000000007</v>
      </c>
      <c r="AB41" s="38">
        <f t="shared" si="26"/>
        <v>0.70000000000000007</v>
      </c>
      <c r="AC41" s="38">
        <f t="shared" si="26"/>
        <v>0.7</v>
      </c>
      <c r="AD41" s="38">
        <f t="shared" si="26"/>
        <v>0.70000000000000007</v>
      </c>
      <c r="AE41" s="38">
        <f t="shared" si="26"/>
        <v>0.7</v>
      </c>
      <c r="AF41" s="38">
        <f t="shared" si="26"/>
        <v>0.7</v>
      </c>
      <c r="AG41" s="38">
        <f t="shared" si="26"/>
        <v>0.7</v>
      </c>
      <c r="AH41" s="38">
        <f t="shared" si="26"/>
        <v>0.7</v>
      </c>
      <c r="AI41" s="38">
        <f t="shared" si="26"/>
        <v>0.70000000000000007</v>
      </c>
      <c r="AJ41" s="38">
        <f t="shared" si="26"/>
        <v>0.7</v>
      </c>
      <c r="AK41" s="38">
        <f t="shared" si="26"/>
        <v>0.70000000000000007</v>
      </c>
      <c r="AL41" s="38">
        <f t="shared" si="26"/>
        <v>0.7</v>
      </c>
      <c r="AM41" s="38">
        <f t="shared" si="26"/>
        <v>0.7</v>
      </c>
      <c r="AN41" s="38">
        <f t="shared" si="26"/>
        <v>0.70000000000000007</v>
      </c>
      <c r="AO41" s="38">
        <f t="shared" si="26"/>
        <v>0.70000000000000007</v>
      </c>
      <c r="AP41" s="38">
        <f t="shared" si="26"/>
        <v>0.7</v>
      </c>
    </row>
    <row r="42" spans="1:42" ht="12.75" customHeight="1" x14ac:dyDescent="0.15">
      <c r="A42" s="1"/>
      <c r="B42" s="13" t="s">
        <v>38</v>
      </c>
      <c r="C42" s="14">
        <v>50000</v>
      </c>
      <c r="D42" s="1"/>
      <c r="E42" s="1"/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 ht="12.75" customHeight="1" x14ac:dyDescent="0.15">
      <c r="A43" s="1"/>
      <c r="B43" s="13" t="s">
        <v>39</v>
      </c>
      <c r="C43" s="14">
        <v>950000</v>
      </c>
      <c r="D43" s="1"/>
      <c r="E43" s="23" t="s">
        <v>40</v>
      </c>
      <c r="F43" s="15" t="s">
        <v>41</v>
      </c>
      <c r="G43" s="26">
        <f t="shared" ref="G43:AP43" si="27">SUM(G44:G54)</f>
        <v>0</v>
      </c>
      <c r="H43" s="26">
        <f t="shared" si="27"/>
        <v>427697.5</v>
      </c>
      <c r="I43" s="26">
        <f t="shared" si="27"/>
        <v>427697.5</v>
      </c>
      <c r="J43" s="26">
        <f t="shared" si="27"/>
        <v>427697.5</v>
      </c>
      <c r="K43" s="26">
        <f t="shared" si="27"/>
        <v>427697.5</v>
      </c>
      <c r="L43" s="26">
        <f t="shared" si="27"/>
        <v>427697.5</v>
      </c>
      <c r="M43" s="26">
        <f t="shared" si="27"/>
        <v>427697.5</v>
      </c>
      <c r="N43" s="26">
        <f t="shared" si="27"/>
        <v>427697.5</v>
      </c>
      <c r="O43" s="26">
        <f t="shared" si="27"/>
        <v>427697.5</v>
      </c>
      <c r="P43" s="26">
        <f t="shared" si="27"/>
        <v>427697.5</v>
      </c>
      <c r="Q43" s="26">
        <f t="shared" si="27"/>
        <v>427697.5</v>
      </c>
      <c r="R43" s="26">
        <f t="shared" si="27"/>
        <v>427697.5</v>
      </c>
      <c r="S43" s="26">
        <f t="shared" si="27"/>
        <v>427697.5</v>
      </c>
      <c r="T43" s="26">
        <f t="shared" si="27"/>
        <v>427697.5</v>
      </c>
      <c r="U43" s="26">
        <f t="shared" si="27"/>
        <v>427697.5</v>
      </c>
      <c r="V43" s="26">
        <f t="shared" si="27"/>
        <v>427697.5</v>
      </c>
      <c r="W43" s="26">
        <f t="shared" si="27"/>
        <v>427697.5</v>
      </c>
      <c r="X43" s="26">
        <f t="shared" si="27"/>
        <v>427697.5</v>
      </c>
      <c r="Y43" s="26">
        <f t="shared" si="27"/>
        <v>427697.5</v>
      </c>
      <c r="Z43" s="26">
        <f t="shared" si="27"/>
        <v>427697.5</v>
      </c>
      <c r="AA43" s="26">
        <f t="shared" si="27"/>
        <v>427697.5</v>
      </c>
      <c r="AB43" s="26">
        <f t="shared" si="27"/>
        <v>427697.5</v>
      </c>
      <c r="AC43" s="26">
        <f t="shared" si="27"/>
        <v>427697.5</v>
      </c>
      <c r="AD43" s="26">
        <f t="shared" si="27"/>
        <v>427697.5</v>
      </c>
      <c r="AE43" s="26">
        <f t="shared" si="27"/>
        <v>427697.5</v>
      </c>
      <c r="AF43" s="26">
        <f t="shared" si="27"/>
        <v>427697.5</v>
      </c>
      <c r="AG43" s="26">
        <f t="shared" si="27"/>
        <v>427697.5</v>
      </c>
      <c r="AH43" s="26">
        <f t="shared" si="27"/>
        <v>427697.5</v>
      </c>
      <c r="AI43" s="26">
        <f t="shared" si="27"/>
        <v>427697.5</v>
      </c>
      <c r="AJ43" s="26">
        <f t="shared" si="27"/>
        <v>427697.5</v>
      </c>
      <c r="AK43" s="26">
        <f t="shared" si="27"/>
        <v>427697.5</v>
      </c>
      <c r="AL43" s="26">
        <f t="shared" si="27"/>
        <v>427697.5</v>
      </c>
      <c r="AM43" s="26">
        <f t="shared" si="27"/>
        <v>427697.5</v>
      </c>
      <c r="AN43" s="26">
        <f t="shared" si="27"/>
        <v>427697.5</v>
      </c>
      <c r="AO43" s="26">
        <f t="shared" si="27"/>
        <v>427697.5</v>
      </c>
      <c r="AP43" s="26">
        <f t="shared" si="27"/>
        <v>427697.5</v>
      </c>
    </row>
    <row r="44" spans="1:42" ht="12.75" customHeight="1" x14ac:dyDescent="0.15">
      <c r="A44" s="1"/>
      <c r="B44" s="13" t="s">
        <v>42</v>
      </c>
      <c r="C44" s="14">
        <v>900000</v>
      </c>
      <c r="D44" s="1"/>
      <c r="E44" s="14">
        <v>135000</v>
      </c>
      <c r="F44" s="27" t="s">
        <v>43</v>
      </c>
      <c r="G44" s="28"/>
      <c r="H44" s="28">
        <f t="shared" ref="H44:AP51" si="28">$E44</f>
        <v>135000</v>
      </c>
      <c r="I44" s="28">
        <f t="shared" si="28"/>
        <v>135000</v>
      </c>
      <c r="J44" s="28">
        <f t="shared" si="28"/>
        <v>135000</v>
      </c>
      <c r="K44" s="28">
        <f t="shared" si="28"/>
        <v>135000</v>
      </c>
      <c r="L44" s="28">
        <f t="shared" si="28"/>
        <v>135000</v>
      </c>
      <c r="M44" s="28">
        <f t="shared" si="28"/>
        <v>135000</v>
      </c>
      <c r="N44" s="28">
        <f t="shared" si="28"/>
        <v>135000</v>
      </c>
      <c r="O44" s="28">
        <f t="shared" si="28"/>
        <v>135000</v>
      </c>
      <c r="P44" s="28">
        <f t="shared" si="28"/>
        <v>135000</v>
      </c>
      <c r="Q44" s="28">
        <f t="shared" si="28"/>
        <v>135000</v>
      </c>
      <c r="R44" s="28">
        <f t="shared" si="28"/>
        <v>135000</v>
      </c>
      <c r="S44" s="28">
        <f t="shared" si="28"/>
        <v>135000</v>
      </c>
      <c r="T44" s="28">
        <f t="shared" si="28"/>
        <v>135000</v>
      </c>
      <c r="U44" s="28">
        <f t="shared" si="28"/>
        <v>135000</v>
      </c>
      <c r="V44" s="28">
        <f t="shared" si="28"/>
        <v>135000</v>
      </c>
      <c r="W44" s="28">
        <f t="shared" si="28"/>
        <v>135000</v>
      </c>
      <c r="X44" s="28">
        <f t="shared" si="28"/>
        <v>135000</v>
      </c>
      <c r="Y44" s="28">
        <f t="shared" si="28"/>
        <v>135000</v>
      </c>
      <c r="Z44" s="28">
        <f t="shared" si="28"/>
        <v>135000</v>
      </c>
      <c r="AA44" s="28">
        <f t="shared" si="28"/>
        <v>135000</v>
      </c>
      <c r="AB44" s="28">
        <f t="shared" si="28"/>
        <v>135000</v>
      </c>
      <c r="AC44" s="28">
        <f t="shared" si="28"/>
        <v>135000</v>
      </c>
      <c r="AD44" s="28">
        <f t="shared" si="28"/>
        <v>135000</v>
      </c>
      <c r="AE44" s="28">
        <f t="shared" si="28"/>
        <v>135000</v>
      </c>
      <c r="AF44" s="28">
        <f t="shared" si="28"/>
        <v>135000</v>
      </c>
      <c r="AG44" s="28">
        <f t="shared" si="28"/>
        <v>135000</v>
      </c>
      <c r="AH44" s="28">
        <f t="shared" si="28"/>
        <v>135000</v>
      </c>
      <c r="AI44" s="28">
        <f t="shared" si="28"/>
        <v>135000</v>
      </c>
      <c r="AJ44" s="28">
        <f t="shared" si="28"/>
        <v>135000</v>
      </c>
      <c r="AK44" s="28">
        <f t="shared" si="28"/>
        <v>135000</v>
      </c>
      <c r="AL44" s="28">
        <f t="shared" si="28"/>
        <v>135000</v>
      </c>
      <c r="AM44" s="28">
        <f t="shared" si="28"/>
        <v>135000</v>
      </c>
      <c r="AN44" s="28">
        <f t="shared" si="28"/>
        <v>135000</v>
      </c>
      <c r="AO44" s="28">
        <f t="shared" si="28"/>
        <v>135000</v>
      </c>
      <c r="AP44" s="28">
        <f t="shared" si="28"/>
        <v>135000</v>
      </c>
    </row>
    <row r="45" spans="1:42" ht="12.75" customHeight="1" x14ac:dyDescent="0.15">
      <c r="A45" s="1"/>
      <c r="B45" s="13" t="s">
        <v>44</v>
      </c>
      <c r="C45" s="14">
        <v>700000</v>
      </c>
      <c r="D45" s="1"/>
      <c r="E45" s="14">
        <v>10000</v>
      </c>
      <c r="F45" s="27" t="s">
        <v>45</v>
      </c>
      <c r="G45" s="28"/>
      <c r="H45" s="28">
        <f t="shared" si="28"/>
        <v>10000</v>
      </c>
      <c r="I45" s="28">
        <f t="shared" si="28"/>
        <v>10000</v>
      </c>
      <c r="J45" s="28">
        <f t="shared" si="28"/>
        <v>10000</v>
      </c>
      <c r="K45" s="28">
        <f t="shared" si="28"/>
        <v>10000</v>
      </c>
      <c r="L45" s="28">
        <f t="shared" si="28"/>
        <v>10000</v>
      </c>
      <c r="M45" s="28">
        <f t="shared" si="28"/>
        <v>10000</v>
      </c>
      <c r="N45" s="28">
        <f t="shared" si="28"/>
        <v>10000</v>
      </c>
      <c r="O45" s="28">
        <f t="shared" si="28"/>
        <v>10000</v>
      </c>
      <c r="P45" s="28">
        <f t="shared" si="28"/>
        <v>10000</v>
      </c>
      <c r="Q45" s="28">
        <f t="shared" si="28"/>
        <v>10000</v>
      </c>
      <c r="R45" s="28">
        <f t="shared" si="28"/>
        <v>10000</v>
      </c>
      <c r="S45" s="28">
        <f t="shared" si="28"/>
        <v>10000</v>
      </c>
      <c r="T45" s="28">
        <f t="shared" si="28"/>
        <v>10000</v>
      </c>
      <c r="U45" s="28">
        <f t="shared" si="28"/>
        <v>10000</v>
      </c>
      <c r="V45" s="28">
        <f t="shared" si="28"/>
        <v>10000</v>
      </c>
      <c r="W45" s="28">
        <f t="shared" si="28"/>
        <v>10000</v>
      </c>
      <c r="X45" s="28">
        <f t="shared" si="28"/>
        <v>10000</v>
      </c>
      <c r="Y45" s="28">
        <f t="shared" si="28"/>
        <v>10000</v>
      </c>
      <c r="Z45" s="28">
        <f t="shared" si="28"/>
        <v>10000</v>
      </c>
      <c r="AA45" s="28">
        <f t="shared" si="28"/>
        <v>10000</v>
      </c>
      <c r="AB45" s="28">
        <f t="shared" si="28"/>
        <v>10000</v>
      </c>
      <c r="AC45" s="28">
        <f t="shared" si="28"/>
        <v>10000</v>
      </c>
      <c r="AD45" s="28">
        <f t="shared" si="28"/>
        <v>10000</v>
      </c>
      <c r="AE45" s="28">
        <f t="shared" si="28"/>
        <v>10000</v>
      </c>
      <c r="AF45" s="28">
        <f t="shared" si="28"/>
        <v>10000</v>
      </c>
      <c r="AG45" s="28">
        <f t="shared" si="28"/>
        <v>10000</v>
      </c>
      <c r="AH45" s="28">
        <f t="shared" si="28"/>
        <v>10000</v>
      </c>
      <c r="AI45" s="28">
        <f t="shared" si="28"/>
        <v>10000</v>
      </c>
      <c r="AJ45" s="28">
        <f t="shared" si="28"/>
        <v>10000</v>
      </c>
      <c r="AK45" s="28">
        <f t="shared" si="28"/>
        <v>10000</v>
      </c>
      <c r="AL45" s="28">
        <f t="shared" si="28"/>
        <v>10000</v>
      </c>
      <c r="AM45" s="28">
        <f t="shared" si="28"/>
        <v>10000</v>
      </c>
      <c r="AN45" s="28">
        <f t="shared" si="28"/>
        <v>10000</v>
      </c>
      <c r="AO45" s="28">
        <f t="shared" si="28"/>
        <v>10000</v>
      </c>
      <c r="AP45" s="28">
        <f t="shared" si="28"/>
        <v>10000</v>
      </c>
    </row>
    <row r="46" spans="1:42" ht="12.75" customHeight="1" x14ac:dyDescent="0.15">
      <c r="A46" s="1"/>
      <c r="B46" s="13" t="s">
        <v>46</v>
      </c>
      <c r="C46" s="14">
        <v>250000</v>
      </c>
      <c r="D46" s="1"/>
      <c r="E46" s="14">
        <v>15000</v>
      </c>
      <c r="F46" s="27" t="s">
        <v>47</v>
      </c>
      <c r="G46" s="28"/>
      <c r="H46" s="28">
        <f t="shared" si="28"/>
        <v>15000</v>
      </c>
      <c r="I46" s="28">
        <f t="shared" si="28"/>
        <v>15000</v>
      </c>
      <c r="J46" s="28">
        <f t="shared" si="28"/>
        <v>15000</v>
      </c>
      <c r="K46" s="28">
        <f t="shared" si="28"/>
        <v>15000</v>
      </c>
      <c r="L46" s="28">
        <f t="shared" si="28"/>
        <v>15000</v>
      </c>
      <c r="M46" s="28">
        <f t="shared" si="28"/>
        <v>15000</v>
      </c>
      <c r="N46" s="28">
        <f t="shared" si="28"/>
        <v>15000</v>
      </c>
      <c r="O46" s="28">
        <f t="shared" si="28"/>
        <v>15000</v>
      </c>
      <c r="P46" s="28">
        <f t="shared" si="28"/>
        <v>15000</v>
      </c>
      <c r="Q46" s="28">
        <f t="shared" si="28"/>
        <v>15000</v>
      </c>
      <c r="R46" s="28">
        <f t="shared" si="28"/>
        <v>15000</v>
      </c>
      <c r="S46" s="28">
        <f t="shared" si="28"/>
        <v>15000</v>
      </c>
      <c r="T46" s="28">
        <f t="shared" si="28"/>
        <v>15000</v>
      </c>
      <c r="U46" s="28">
        <f t="shared" si="28"/>
        <v>15000</v>
      </c>
      <c r="V46" s="28">
        <f t="shared" si="28"/>
        <v>15000</v>
      </c>
      <c r="W46" s="28">
        <f t="shared" si="28"/>
        <v>15000</v>
      </c>
      <c r="X46" s="28">
        <f t="shared" si="28"/>
        <v>15000</v>
      </c>
      <c r="Y46" s="28">
        <f t="shared" si="28"/>
        <v>15000</v>
      </c>
      <c r="Z46" s="28">
        <f t="shared" si="28"/>
        <v>15000</v>
      </c>
      <c r="AA46" s="28">
        <f t="shared" si="28"/>
        <v>15000</v>
      </c>
      <c r="AB46" s="28">
        <f t="shared" si="28"/>
        <v>15000</v>
      </c>
      <c r="AC46" s="28">
        <f t="shared" si="28"/>
        <v>15000</v>
      </c>
      <c r="AD46" s="28">
        <f t="shared" si="28"/>
        <v>15000</v>
      </c>
      <c r="AE46" s="28">
        <f t="shared" si="28"/>
        <v>15000</v>
      </c>
      <c r="AF46" s="28">
        <f t="shared" si="28"/>
        <v>15000</v>
      </c>
      <c r="AG46" s="28">
        <f t="shared" si="28"/>
        <v>15000</v>
      </c>
      <c r="AH46" s="28">
        <f t="shared" si="28"/>
        <v>15000</v>
      </c>
      <c r="AI46" s="28">
        <f t="shared" si="28"/>
        <v>15000</v>
      </c>
      <c r="AJ46" s="28">
        <f t="shared" si="28"/>
        <v>15000</v>
      </c>
      <c r="AK46" s="28">
        <f t="shared" si="28"/>
        <v>15000</v>
      </c>
      <c r="AL46" s="28">
        <f t="shared" si="28"/>
        <v>15000</v>
      </c>
      <c r="AM46" s="28">
        <f t="shared" si="28"/>
        <v>15000</v>
      </c>
      <c r="AN46" s="28">
        <f t="shared" si="28"/>
        <v>15000</v>
      </c>
      <c r="AO46" s="28">
        <f t="shared" si="28"/>
        <v>15000</v>
      </c>
      <c r="AP46" s="28">
        <f t="shared" si="28"/>
        <v>15000</v>
      </c>
    </row>
    <row r="47" spans="1:42" ht="12.75" customHeight="1" x14ac:dyDescent="0.15">
      <c r="A47" s="1"/>
      <c r="B47" s="13" t="s">
        <v>48</v>
      </c>
      <c r="C47" s="14">
        <v>440000</v>
      </c>
      <c r="D47" s="1"/>
      <c r="E47" s="14">
        <v>148800</v>
      </c>
      <c r="F47" s="27" t="s">
        <v>49</v>
      </c>
      <c r="G47" s="28"/>
      <c r="H47" s="28">
        <f t="shared" si="28"/>
        <v>148800</v>
      </c>
      <c r="I47" s="28">
        <f t="shared" si="28"/>
        <v>148800</v>
      </c>
      <c r="J47" s="28">
        <f t="shared" si="28"/>
        <v>148800</v>
      </c>
      <c r="K47" s="28">
        <f t="shared" si="28"/>
        <v>148800</v>
      </c>
      <c r="L47" s="28">
        <f t="shared" si="28"/>
        <v>148800</v>
      </c>
      <c r="M47" s="28">
        <f t="shared" si="28"/>
        <v>148800</v>
      </c>
      <c r="N47" s="28">
        <f t="shared" si="28"/>
        <v>148800</v>
      </c>
      <c r="O47" s="28">
        <f t="shared" si="28"/>
        <v>148800</v>
      </c>
      <c r="P47" s="28">
        <f t="shared" si="28"/>
        <v>148800</v>
      </c>
      <c r="Q47" s="28">
        <f t="shared" si="28"/>
        <v>148800</v>
      </c>
      <c r="R47" s="28">
        <f t="shared" si="28"/>
        <v>148800</v>
      </c>
      <c r="S47" s="28">
        <f t="shared" si="28"/>
        <v>148800</v>
      </c>
      <c r="T47" s="28">
        <f t="shared" si="28"/>
        <v>148800</v>
      </c>
      <c r="U47" s="28">
        <f t="shared" si="28"/>
        <v>148800</v>
      </c>
      <c r="V47" s="28">
        <f t="shared" si="28"/>
        <v>148800</v>
      </c>
      <c r="W47" s="28">
        <f t="shared" si="28"/>
        <v>148800</v>
      </c>
      <c r="X47" s="28">
        <f t="shared" si="28"/>
        <v>148800</v>
      </c>
      <c r="Y47" s="28">
        <f t="shared" si="28"/>
        <v>148800</v>
      </c>
      <c r="Z47" s="28">
        <f t="shared" si="28"/>
        <v>148800</v>
      </c>
      <c r="AA47" s="28">
        <f t="shared" si="28"/>
        <v>148800</v>
      </c>
      <c r="AB47" s="28">
        <f t="shared" si="28"/>
        <v>148800</v>
      </c>
      <c r="AC47" s="28">
        <f t="shared" si="28"/>
        <v>148800</v>
      </c>
      <c r="AD47" s="28">
        <f t="shared" si="28"/>
        <v>148800</v>
      </c>
      <c r="AE47" s="28">
        <f t="shared" si="28"/>
        <v>148800</v>
      </c>
      <c r="AF47" s="28">
        <f t="shared" si="28"/>
        <v>148800</v>
      </c>
      <c r="AG47" s="28">
        <f t="shared" si="28"/>
        <v>148800</v>
      </c>
      <c r="AH47" s="28">
        <f t="shared" si="28"/>
        <v>148800</v>
      </c>
      <c r="AI47" s="28">
        <f t="shared" si="28"/>
        <v>148800</v>
      </c>
      <c r="AJ47" s="28">
        <f t="shared" si="28"/>
        <v>148800</v>
      </c>
      <c r="AK47" s="28">
        <f t="shared" si="28"/>
        <v>148800</v>
      </c>
      <c r="AL47" s="28">
        <f t="shared" si="28"/>
        <v>148800</v>
      </c>
      <c r="AM47" s="28">
        <f t="shared" si="28"/>
        <v>148800</v>
      </c>
      <c r="AN47" s="28">
        <f t="shared" si="28"/>
        <v>148800</v>
      </c>
      <c r="AO47" s="28">
        <f t="shared" si="28"/>
        <v>148800</v>
      </c>
      <c r="AP47" s="28">
        <f t="shared" si="28"/>
        <v>148800</v>
      </c>
    </row>
    <row r="48" spans="1:42" ht="12.75" customHeight="1" x14ac:dyDescent="0.15">
      <c r="A48" s="1"/>
      <c r="B48" s="13" t="s">
        <v>50</v>
      </c>
      <c r="C48" s="14">
        <v>500000</v>
      </c>
      <c r="D48" s="1"/>
      <c r="E48" s="14">
        <v>66960</v>
      </c>
      <c r="F48" s="27" t="s">
        <v>51</v>
      </c>
      <c r="G48" s="28"/>
      <c r="H48" s="28">
        <f t="shared" si="28"/>
        <v>66960</v>
      </c>
      <c r="I48" s="28">
        <f t="shared" si="28"/>
        <v>66960</v>
      </c>
      <c r="J48" s="28">
        <f t="shared" si="28"/>
        <v>66960</v>
      </c>
      <c r="K48" s="28">
        <f t="shared" si="28"/>
        <v>66960</v>
      </c>
      <c r="L48" s="28">
        <f t="shared" si="28"/>
        <v>66960</v>
      </c>
      <c r="M48" s="28">
        <f t="shared" si="28"/>
        <v>66960</v>
      </c>
      <c r="N48" s="28">
        <f t="shared" si="28"/>
        <v>66960</v>
      </c>
      <c r="O48" s="28">
        <f t="shared" si="28"/>
        <v>66960</v>
      </c>
      <c r="P48" s="28">
        <f t="shared" si="28"/>
        <v>66960</v>
      </c>
      <c r="Q48" s="28">
        <f t="shared" si="28"/>
        <v>66960</v>
      </c>
      <c r="R48" s="28">
        <f t="shared" si="28"/>
        <v>66960</v>
      </c>
      <c r="S48" s="28">
        <f t="shared" si="28"/>
        <v>66960</v>
      </c>
      <c r="T48" s="28">
        <f t="shared" si="28"/>
        <v>66960</v>
      </c>
      <c r="U48" s="28">
        <f t="shared" si="28"/>
        <v>66960</v>
      </c>
      <c r="V48" s="28">
        <f t="shared" si="28"/>
        <v>66960</v>
      </c>
      <c r="W48" s="28">
        <f t="shared" si="28"/>
        <v>66960</v>
      </c>
      <c r="X48" s="28">
        <f t="shared" si="28"/>
        <v>66960</v>
      </c>
      <c r="Y48" s="28">
        <f t="shared" si="28"/>
        <v>66960</v>
      </c>
      <c r="Z48" s="28">
        <f t="shared" si="28"/>
        <v>66960</v>
      </c>
      <c r="AA48" s="28">
        <f t="shared" si="28"/>
        <v>66960</v>
      </c>
      <c r="AB48" s="28">
        <f t="shared" si="28"/>
        <v>66960</v>
      </c>
      <c r="AC48" s="28">
        <f t="shared" si="28"/>
        <v>66960</v>
      </c>
      <c r="AD48" s="28">
        <f t="shared" si="28"/>
        <v>66960</v>
      </c>
      <c r="AE48" s="28">
        <f t="shared" si="28"/>
        <v>66960</v>
      </c>
      <c r="AF48" s="28">
        <f t="shared" si="28"/>
        <v>66960</v>
      </c>
      <c r="AG48" s="28">
        <f t="shared" si="28"/>
        <v>66960</v>
      </c>
      <c r="AH48" s="28">
        <f t="shared" si="28"/>
        <v>66960</v>
      </c>
      <c r="AI48" s="28">
        <f t="shared" si="28"/>
        <v>66960</v>
      </c>
      <c r="AJ48" s="28">
        <f t="shared" si="28"/>
        <v>66960</v>
      </c>
      <c r="AK48" s="28">
        <f t="shared" si="28"/>
        <v>66960</v>
      </c>
      <c r="AL48" s="28">
        <f t="shared" si="28"/>
        <v>66960</v>
      </c>
      <c r="AM48" s="28">
        <f t="shared" si="28"/>
        <v>66960</v>
      </c>
      <c r="AN48" s="28">
        <f t="shared" si="28"/>
        <v>66960</v>
      </c>
      <c r="AO48" s="28">
        <f t="shared" si="28"/>
        <v>66960</v>
      </c>
      <c r="AP48" s="28">
        <f t="shared" si="28"/>
        <v>66960</v>
      </c>
    </row>
    <row r="49" spans="1:42" ht="12.75" customHeight="1" x14ac:dyDescent="0.15">
      <c r="A49" s="1"/>
      <c r="B49" s="13" t="s">
        <v>52</v>
      </c>
      <c r="C49" s="14">
        <v>1000000</v>
      </c>
      <c r="D49" s="1"/>
      <c r="E49" s="14">
        <v>36000</v>
      </c>
      <c r="F49" s="27" t="s">
        <v>53</v>
      </c>
      <c r="G49" s="28"/>
      <c r="H49" s="28">
        <f t="shared" si="28"/>
        <v>36000</v>
      </c>
      <c r="I49" s="28">
        <f t="shared" si="28"/>
        <v>36000</v>
      </c>
      <c r="J49" s="28">
        <f t="shared" si="28"/>
        <v>36000</v>
      </c>
      <c r="K49" s="28">
        <f t="shared" si="28"/>
        <v>36000</v>
      </c>
      <c r="L49" s="28">
        <f t="shared" si="28"/>
        <v>36000</v>
      </c>
      <c r="M49" s="28">
        <f t="shared" si="28"/>
        <v>36000</v>
      </c>
      <c r="N49" s="28">
        <f t="shared" si="28"/>
        <v>36000</v>
      </c>
      <c r="O49" s="28">
        <f t="shared" si="28"/>
        <v>36000</v>
      </c>
      <c r="P49" s="28">
        <f t="shared" si="28"/>
        <v>36000</v>
      </c>
      <c r="Q49" s="28">
        <f t="shared" si="28"/>
        <v>36000</v>
      </c>
      <c r="R49" s="28">
        <f t="shared" si="28"/>
        <v>36000</v>
      </c>
      <c r="S49" s="28">
        <f t="shared" si="28"/>
        <v>36000</v>
      </c>
      <c r="T49" s="28">
        <f t="shared" si="28"/>
        <v>36000</v>
      </c>
      <c r="U49" s="28">
        <f t="shared" si="28"/>
        <v>36000</v>
      </c>
      <c r="V49" s="28">
        <f t="shared" si="28"/>
        <v>36000</v>
      </c>
      <c r="W49" s="28">
        <f t="shared" si="28"/>
        <v>36000</v>
      </c>
      <c r="X49" s="28">
        <f t="shared" si="28"/>
        <v>36000</v>
      </c>
      <c r="Y49" s="28">
        <f t="shared" si="28"/>
        <v>36000</v>
      </c>
      <c r="Z49" s="28">
        <f t="shared" si="28"/>
        <v>36000</v>
      </c>
      <c r="AA49" s="28">
        <f t="shared" si="28"/>
        <v>36000</v>
      </c>
      <c r="AB49" s="28">
        <f t="shared" si="28"/>
        <v>36000</v>
      </c>
      <c r="AC49" s="28">
        <f t="shared" si="28"/>
        <v>36000</v>
      </c>
      <c r="AD49" s="28">
        <f t="shared" si="28"/>
        <v>36000</v>
      </c>
      <c r="AE49" s="28">
        <f t="shared" si="28"/>
        <v>36000</v>
      </c>
      <c r="AF49" s="28">
        <f t="shared" si="28"/>
        <v>36000</v>
      </c>
      <c r="AG49" s="28">
        <f t="shared" si="28"/>
        <v>36000</v>
      </c>
      <c r="AH49" s="28">
        <f t="shared" si="28"/>
        <v>36000</v>
      </c>
      <c r="AI49" s="28">
        <f t="shared" si="28"/>
        <v>36000</v>
      </c>
      <c r="AJ49" s="28">
        <f t="shared" si="28"/>
        <v>36000</v>
      </c>
      <c r="AK49" s="28">
        <f t="shared" si="28"/>
        <v>36000</v>
      </c>
      <c r="AL49" s="28">
        <f t="shared" si="28"/>
        <v>36000</v>
      </c>
      <c r="AM49" s="28">
        <f t="shared" si="28"/>
        <v>36000</v>
      </c>
      <c r="AN49" s="28">
        <f t="shared" si="28"/>
        <v>36000</v>
      </c>
      <c r="AO49" s="28">
        <f t="shared" si="28"/>
        <v>36000</v>
      </c>
      <c r="AP49" s="28">
        <f t="shared" si="28"/>
        <v>36000</v>
      </c>
    </row>
    <row r="50" spans="1:42" ht="12.75" customHeight="1" x14ac:dyDescent="0.15">
      <c r="A50" s="1"/>
      <c r="B50" s="13" t="s">
        <v>54</v>
      </c>
      <c r="C50" s="14">
        <v>300000</v>
      </c>
      <c r="D50" s="1"/>
      <c r="E50" s="14">
        <f>21875/2</f>
        <v>10937.5</v>
      </c>
      <c r="F50" s="39" t="s">
        <v>55</v>
      </c>
      <c r="G50" s="28"/>
      <c r="H50" s="28">
        <f t="shared" si="28"/>
        <v>10937.5</v>
      </c>
      <c r="I50" s="28">
        <f t="shared" si="28"/>
        <v>10937.5</v>
      </c>
      <c r="J50" s="28">
        <f t="shared" si="28"/>
        <v>10937.5</v>
      </c>
      <c r="K50" s="28">
        <f t="shared" si="28"/>
        <v>10937.5</v>
      </c>
      <c r="L50" s="28">
        <f t="shared" si="28"/>
        <v>10937.5</v>
      </c>
      <c r="M50" s="28">
        <f t="shared" si="28"/>
        <v>10937.5</v>
      </c>
      <c r="N50" s="28">
        <f t="shared" si="28"/>
        <v>10937.5</v>
      </c>
      <c r="O50" s="28">
        <f t="shared" si="28"/>
        <v>10937.5</v>
      </c>
      <c r="P50" s="28">
        <f t="shared" si="28"/>
        <v>10937.5</v>
      </c>
      <c r="Q50" s="28">
        <f t="shared" si="28"/>
        <v>10937.5</v>
      </c>
      <c r="R50" s="28">
        <f t="shared" si="28"/>
        <v>10937.5</v>
      </c>
      <c r="S50" s="28">
        <f t="shared" si="28"/>
        <v>10937.5</v>
      </c>
      <c r="T50" s="28">
        <f t="shared" si="28"/>
        <v>10937.5</v>
      </c>
      <c r="U50" s="28">
        <f t="shared" si="28"/>
        <v>10937.5</v>
      </c>
      <c r="V50" s="28">
        <f t="shared" si="28"/>
        <v>10937.5</v>
      </c>
      <c r="W50" s="28">
        <f t="shared" si="28"/>
        <v>10937.5</v>
      </c>
      <c r="X50" s="28">
        <f t="shared" si="28"/>
        <v>10937.5</v>
      </c>
      <c r="Y50" s="28">
        <f t="shared" si="28"/>
        <v>10937.5</v>
      </c>
      <c r="Z50" s="28">
        <f t="shared" si="28"/>
        <v>10937.5</v>
      </c>
      <c r="AA50" s="28">
        <f t="shared" si="28"/>
        <v>10937.5</v>
      </c>
      <c r="AB50" s="28">
        <f t="shared" si="28"/>
        <v>10937.5</v>
      </c>
      <c r="AC50" s="28">
        <f t="shared" si="28"/>
        <v>10937.5</v>
      </c>
      <c r="AD50" s="28">
        <f t="shared" si="28"/>
        <v>10937.5</v>
      </c>
      <c r="AE50" s="28">
        <f t="shared" si="28"/>
        <v>10937.5</v>
      </c>
      <c r="AF50" s="28">
        <f t="shared" si="28"/>
        <v>10937.5</v>
      </c>
      <c r="AG50" s="28">
        <f t="shared" si="28"/>
        <v>10937.5</v>
      </c>
      <c r="AH50" s="28">
        <f t="shared" si="28"/>
        <v>10937.5</v>
      </c>
      <c r="AI50" s="28">
        <f t="shared" si="28"/>
        <v>10937.5</v>
      </c>
      <c r="AJ50" s="28">
        <f t="shared" si="28"/>
        <v>10937.5</v>
      </c>
      <c r="AK50" s="28">
        <f t="shared" si="28"/>
        <v>10937.5</v>
      </c>
      <c r="AL50" s="28">
        <f t="shared" si="28"/>
        <v>10937.5</v>
      </c>
      <c r="AM50" s="28">
        <f t="shared" si="28"/>
        <v>10937.5</v>
      </c>
      <c r="AN50" s="28">
        <f t="shared" si="28"/>
        <v>10937.5</v>
      </c>
      <c r="AO50" s="28">
        <f t="shared" si="28"/>
        <v>10937.5</v>
      </c>
      <c r="AP50" s="28">
        <f t="shared" si="28"/>
        <v>10937.5</v>
      </c>
    </row>
    <row r="51" spans="1:42" ht="12.75" customHeight="1" x14ac:dyDescent="0.15">
      <c r="A51" s="1"/>
      <c r="B51" s="13" t="s">
        <v>56</v>
      </c>
      <c r="C51" s="14">
        <f>SUM(H31:J31)</f>
        <v>195701.69458124999</v>
      </c>
      <c r="D51" s="1"/>
      <c r="E51" s="14">
        <v>2000</v>
      </c>
      <c r="F51" s="39" t="s">
        <v>57</v>
      </c>
      <c r="G51" s="28"/>
      <c r="H51" s="28">
        <f t="shared" si="28"/>
        <v>2000</v>
      </c>
      <c r="I51" s="28">
        <f t="shared" si="28"/>
        <v>2000</v>
      </c>
      <c r="J51" s="28">
        <f t="shared" si="28"/>
        <v>2000</v>
      </c>
      <c r="K51" s="28">
        <f t="shared" si="28"/>
        <v>2000</v>
      </c>
      <c r="L51" s="28">
        <f t="shared" si="28"/>
        <v>2000</v>
      </c>
      <c r="M51" s="28">
        <f t="shared" si="28"/>
        <v>2000</v>
      </c>
      <c r="N51" s="28">
        <f t="shared" si="28"/>
        <v>2000</v>
      </c>
      <c r="O51" s="28">
        <f t="shared" si="28"/>
        <v>2000</v>
      </c>
      <c r="P51" s="28">
        <f t="shared" si="28"/>
        <v>2000</v>
      </c>
      <c r="Q51" s="28">
        <f t="shared" si="28"/>
        <v>2000</v>
      </c>
      <c r="R51" s="28">
        <f t="shared" ref="R51:AP51" si="29">$E51</f>
        <v>2000</v>
      </c>
      <c r="S51" s="28">
        <f t="shared" si="29"/>
        <v>2000</v>
      </c>
      <c r="T51" s="28">
        <f t="shared" si="29"/>
        <v>2000</v>
      </c>
      <c r="U51" s="28">
        <f t="shared" si="29"/>
        <v>2000</v>
      </c>
      <c r="V51" s="28">
        <f t="shared" si="29"/>
        <v>2000</v>
      </c>
      <c r="W51" s="28">
        <f t="shared" si="29"/>
        <v>2000</v>
      </c>
      <c r="X51" s="28">
        <f t="shared" si="29"/>
        <v>2000</v>
      </c>
      <c r="Y51" s="28">
        <f t="shared" si="29"/>
        <v>2000</v>
      </c>
      <c r="Z51" s="28">
        <f t="shared" si="29"/>
        <v>2000</v>
      </c>
      <c r="AA51" s="28">
        <f t="shared" si="29"/>
        <v>2000</v>
      </c>
      <c r="AB51" s="28">
        <f t="shared" si="29"/>
        <v>2000</v>
      </c>
      <c r="AC51" s="28">
        <f t="shared" si="29"/>
        <v>2000</v>
      </c>
      <c r="AD51" s="28">
        <f t="shared" si="29"/>
        <v>2000</v>
      </c>
      <c r="AE51" s="28">
        <f t="shared" si="29"/>
        <v>2000</v>
      </c>
      <c r="AF51" s="28">
        <f t="shared" si="29"/>
        <v>2000</v>
      </c>
      <c r="AG51" s="28">
        <f t="shared" si="29"/>
        <v>2000</v>
      </c>
      <c r="AH51" s="28">
        <f t="shared" si="29"/>
        <v>2000</v>
      </c>
      <c r="AI51" s="28">
        <f t="shared" si="29"/>
        <v>2000</v>
      </c>
      <c r="AJ51" s="28">
        <f t="shared" si="29"/>
        <v>2000</v>
      </c>
      <c r="AK51" s="28">
        <f t="shared" si="29"/>
        <v>2000</v>
      </c>
      <c r="AL51" s="28">
        <f t="shared" si="29"/>
        <v>2000</v>
      </c>
      <c r="AM51" s="28">
        <f t="shared" si="29"/>
        <v>2000</v>
      </c>
      <c r="AN51" s="28">
        <f t="shared" si="29"/>
        <v>2000</v>
      </c>
      <c r="AO51" s="28">
        <f t="shared" si="29"/>
        <v>2000</v>
      </c>
      <c r="AP51" s="28">
        <f t="shared" si="29"/>
        <v>2000</v>
      </c>
    </row>
    <row r="52" spans="1:42" ht="12.75" customHeight="1" x14ac:dyDescent="0.15">
      <c r="A52" s="1"/>
      <c r="B52" s="13" t="s">
        <v>58</v>
      </c>
      <c r="C52" s="14">
        <f>E44*3</f>
        <v>405000</v>
      </c>
      <c r="D52" s="1"/>
      <c r="E52" s="14">
        <v>3000</v>
      </c>
      <c r="F52" s="39" t="s">
        <v>59</v>
      </c>
      <c r="G52" s="28"/>
      <c r="H52" s="28">
        <f t="shared" ref="H52:AP53" si="30">$E52</f>
        <v>3000</v>
      </c>
      <c r="I52" s="28">
        <f t="shared" si="30"/>
        <v>3000</v>
      </c>
      <c r="J52" s="28">
        <f t="shared" si="30"/>
        <v>3000</v>
      </c>
      <c r="K52" s="28">
        <f t="shared" si="30"/>
        <v>3000</v>
      </c>
      <c r="L52" s="28">
        <f t="shared" si="30"/>
        <v>3000</v>
      </c>
      <c r="M52" s="28">
        <f t="shared" si="30"/>
        <v>3000</v>
      </c>
      <c r="N52" s="28">
        <f t="shared" si="30"/>
        <v>3000</v>
      </c>
      <c r="O52" s="28">
        <f t="shared" si="30"/>
        <v>3000</v>
      </c>
      <c r="P52" s="28">
        <f t="shared" si="30"/>
        <v>3000</v>
      </c>
      <c r="Q52" s="28">
        <f t="shared" si="30"/>
        <v>3000</v>
      </c>
      <c r="R52" s="28">
        <f t="shared" si="30"/>
        <v>3000</v>
      </c>
      <c r="S52" s="28">
        <f t="shared" si="30"/>
        <v>3000</v>
      </c>
      <c r="T52" s="28">
        <f t="shared" si="30"/>
        <v>3000</v>
      </c>
      <c r="U52" s="28">
        <f t="shared" si="30"/>
        <v>3000</v>
      </c>
      <c r="V52" s="28">
        <f t="shared" si="30"/>
        <v>3000</v>
      </c>
      <c r="W52" s="28">
        <f t="shared" si="30"/>
        <v>3000</v>
      </c>
      <c r="X52" s="28">
        <f t="shared" si="30"/>
        <v>3000</v>
      </c>
      <c r="Y52" s="28">
        <f t="shared" si="30"/>
        <v>3000</v>
      </c>
      <c r="Z52" s="28">
        <f t="shared" si="30"/>
        <v>3000</v>
      </c>
      <c r="AA52" s="28">
        <f t="shared" si="30"/>
        <v>3000</v>
      </c>
      <c r="AB52" s="28">
        <f t="shared" si="30"/>
        <v>3000</v>
      </c>
      <c r="AC52" s="28">
        <f t="shared" si="30"/>
        <v>3000</v>
      </c>
      <c r="AD52" s="28">
        <f t="shared" si="30"/>
        <v>3000</v>
      </c>
      <c r="AE52" s="28">
        <f t="shared" si="30"/>
        <v>3000</v>
      </c>
      <c r="AF52" s="28">
        <f t="shared" si="30"/>
        <v>3000</v>
      </c>
      <c r="AG52" s="28">
        <f t="shared" si="30"/>
        <v>3000</v>
      </c>
      <c r="AH52" s="28">
        <f t="shared" si="30"/>
        <v>3000</v>
      </c>
      <c r="AI52" s="28">
        <f t="shared" si="30"/>
        <v>3000</v>
      </c>
      <c r="AJ52" s="28">
        <f t="shared" si="30"/>
        <v>3000</v>
      </c>
      <c r="AK52" s="28">
        <f t="shared" si="30"/>
        <v>3000</v>
      </c>
      <c r="AL52" s="28">
        <f t="shared" si="30"/>
        <v>3000</v>
      </c>
      <c r="AM52" s="28">
        <f t="shared" si="30"/>
        <v>3000</v>
      </c>
      <c r="AN52" s="28">
        <f t="shared" si="30"/>
        <v>3000</v>
      </c>
      <c r="AO52" s="28">
        <f t="shared" si="30"/>
        <v>3000</v>
      </c>
      <c r="AP52" s="28">
        <f t="shared" si="30"/>
        <v>3000</v>
      </c>
    </row>
    <row r="53" spans="1:42" ht="12.75" customHeight="1" x14ac:dyDescent="0.15">
      <c r="A53" s="15"/>
      <c r="B53" s="13" t="s">
        <v>60</v>
      </c>
      <c r="C53" s="14">
        <v>500000</v>
      </c>
      <c r="D53" s="15"/>
      <c r="E53" s="14">
        <v>0</v>
      </c>
      <c r="F53" s="27" t="s">
        <v>61</v>
      </c>
      <c r="G53" s="28"/>
      <c r="H53" s="28">
        <f t="shared" si="30"/>
        <v>0</v>
      </c>
      <c r="I53" s="28">
        <f t="shared" si="30"/>
        <v>0</v>
      </c>
      <c r="J53" s="28">
        <f t="shared" si="30"/>
        <v>0</v>
      </c>
      <c r="K53" s="28">
        <f t="shared" si="30"/>
        <v>0</v>
      </c>
      <c r="L53" s="28">
        <f t="shared" si="30"/>
        <v>0</v>
      </c>
      <c r="M53" s="28">
        <f t="shared" si="30"/>
        <v>0</v>
      </c>
      <c r="N53" s="28">
        <f t="shared" si="30"/>
        <v>0</v>
      </c>
      <c r="O53" s="28">
        <f t="shared" si="30"/>
        <v>0</v>
      </c>
      <c r="P53" s="28">
        <f t="shared" si="30"/>
        <v>0</v>
      </c>
      <c r="Q53" s="28">
        <f t="shared" si="30"/>
        <v>0</v>
      </c>
      <c r="R53" s="28">
        <f t="shared" si="30"/>
        <v>0</v>
      </c>
      <c r="S53" s="28">
        <f t="shared" si="30"/>
        <v>0</v>
      </c>
      <c r="T53" s="28">
        <f t="shared" si="30"/>
        <v>0</v>
      </c>
      <c r="U53" s="28">
        <f t="shared" si="30"/>
        <v>0</v>
      </c>
      <c r="V53" s="28">
        <f t="shared" si="30"/>
        <v>0</v>
      </c>
      <c r="W53" s="28">
        <f t="shared" si="30"/>
        <v>0</v>
      </c>
      <c r="X53" s="28">
        <f t="shared" si="30"/>
        <v>0</v>
      </c>
      <c r="Y53" s="28">
        <f t="shared" si="30"/>
        <v>0</v>
      </c>
      <c r="Z53" s="28">
        <f t="shared" si="30"/>
        <v>0</v>
      </c>
      <c r="AA53" s="28">
        <f t="shared" si="30"/>
        <v>0</v>
      </c>
      <c r="AB53" s="28">
        <f t="shared" si="30"/>
        <v>0</v>
      </c>
      <c r="AC53" s="28">
        <f t="shared" si="30"/>
        <v>0</v>
      </c>
      <c r="AD53" s="28">
        <f t="shared" si="30"/>
        <v>0</v>
      </c>
      <c r="AE53" s="28">
        <f t="shared" si="30"/>
        <v>0</v>
      </c>
      <c r="AF53" s="28">
        <f t="shared" si="30"/>
        <v>0</v>
      </c>
      <c r="AG53" s="28">
        <f t="shared" si="30"/>
        <v>0</v>
      </c>
      <c r="AH53" s="28">
        <f t="shared" si="30"/>
        <v>0</v>
      </c>
      <c r="AI53" s="28">
        <f t="shared" si="30"/>
        <v>0</v>
      </c>
      <c r="AJ53" s="28">
        <f t="shared" si="30"/>
        <v>0</v>
      </c>
      <c r="AK53" s="28">
        <f t="shared" si="30"/>
        <v>0</v>
      </c>
      <c r="AL53" s="28">
        <f t="shared" si="30"/>
        <v>0</v>
      </c>
      <c r="AM53" s="28">
        <f t="shared" si="30"/>
        <v>0</v>
      </c>
      <c r="AN53" s="28">
        <f t="shared" si="30"/>
        <v>0</v>
      </c>
      <c r="AO53" s="28">
        <f t="shared" si="30"/>
        <v>0</v>
      </c>
      <c r="AP53" s="28">
        <f t="shared" si="30"/>
        <v>0</v>
      </c>
    </row>
    <row r="54" spans="1:42" ht="12.75" customHeight="1" x14ac:dyDescent="0.15">
      <c r="A54" s="15"/>
      <c r="B54" s="13" t="s">
        <v>59</v>
      </c>
      <c r="C54" s="14">
        <v>300000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</row>
    <row r="55" spans="1:42" ht="12.75" customHeight="1" x14ac:dyDescent="0.15">
      <c r="A55" s="1"/>
      <c r="B55" s="1"/>
      <c r="C55" s="2"/>
      <c r="D55" s="1"/>
      <c r="E55" s="15"/>
      <c r="F55" s="24" t="s">
        <v>62</v>
      </c>
      <c r="G55" s="24">
        <f t="shared" ref="G55:AP55" si="31">G40-G43</f>
        <v>0</v>
      </c>
      <c r="H55" s="24">
        <f t="shared" si="31"/>
        <v>5858</v>
      </c>
      <c r="I55" s="24">
        <f t="shared" si="31"/>
        <v>30832.775000000023</v>
      </c>
      <c r="J55" s="24">
        <f t="shared" si="31"/>
        <v>53759.288749999949</v>
      </c>
      <c r="K55" s="24">
        <f t="shared" si="31"/>
        <v>77832.128187499999</v>
      </c>
      <c r="L55" s="24">
        <f t="shared" si="31"/>
        <v>103108.60959687491</v>
      </c>
      <c r="M55" s="24">
        <f t="shared" si="31"/>
        <v>129648.91507671878</v>
      </c>
      <c r="N55" s="24">
        <f t="shared" si="31"/>
        <v>157516.23583055474</v>
      </c>
      <c r="O55" s="24">
        <f t="shared" si="31"/>
        <v>186776.92262208252</v>
      </c>
      <c r="P55" s="24">
        <f t="shared" si="31"/>
        <v>217500.64375318657</v>
      </c>
      <c r="Q55" s="24">
        <f t="shared" si="31"/>
        <v>249760.55094084609</v>
      </c>
      <c r="R55" s="24">
        <f t="shared" si="31"/>
        <v>283633.45348788856</v>
      </c>
      <c r="S55" s="24">
        <f t="shared" si="31"/>
        <v>291670.61097152694</v>
      </c>
      <c r="T55" s="24">
        <f t="shared" si="31"/>
        <v>299833.80497099843</v>
      </c>
      <c r="U55" s="24">
        <f t="shared" si="31"/>
        <v>308125.34509019158</v>
      </c>
      <c r="V55" s="24">
        <f t="shared" si="31"/>
        <v>316547.58569350734</v>
      </c>
      <c r="W55" s="24">
        <f t="shared" si="31"/>
        <v>325102.92679015349</v>
      </c>
      <c r="X55" s="24">
        <f t="shared" si="31"/>
        <v>333793.81493603042</v>
      </c>
      <c r="Y55" s="24">
        <f t="shared" si="31"/>
        <v>342622.74415356317</v>
      </c>
      <c r="Z55" s="24">
        <f t="shared" si="31"/>
        <v>351592.25686983531</v>
      </c>
      <c r="AA55" s="24">
        <f t="shared" si="31"/>
        <v>360704.94487339188</v>
      </c>
      <c r="AB55" s="24">
        <f t="shared" si="31"/>
        <v>369963.45029008086</v>
      </c>
      <c r="AC55" s="24">
        <f t="shared" si="31"/>
        <v>379370.46657831781</v>
      </c>
      <c r="AD55" s="24">
        <f t="shared" si="31"/>
        <v>386641.9894632221</v>
      </c>
      <c r="AE55" s="24">
        <f t="shared" si="31"/>
        <v>394050.07296937797</v>
      </c>
      <c r="AF55" s="24">
        <f t="shared" si="31"/>
        <v>401597.43943937367</v>
      </c>
      <c r="AG55" s="24">
        <f t="shared" si="31"/>
        <v>409286.86565377994</v>
      </c>
      <c r="AH55" s="24">
        <f t="shared" si="31"/>
        <v>417121.1839199001</v>
      </c>
      <c r="AI55" s="24">
        <f t="shared" si="31"/>
        <v>425103.28318229562</v>
      </c>
      <c r="AJ55" s="24">
        <f t="shared" si="31"/>
        <v>433236.11015552306</v>
      </c>
      <c r="AK55" s="24">
        <f t="shared" si="31"/>
        <v>441522.67047952465</v>
      </c>
      <c r="AL55" s="24">
        <f t="shared" si="31"/>
        <v>449966.02989812696</v>
      </c>
      <c r="AM55" s="24">
        <f t="shared" si="31"/>
        <v>458569.31546111067</v>
      </c>
      <c r="AN55" s="24">
        <f t="shared" si="31"/>
        <v>467335.716750319</v>
      </c>
      <c r="AO55" s="24">
        <f t="shared" si="31"/>
        <v>476268.48713029129</v>
      </c>
      <c r="AP55" s="24">
        <f t="shared" si="31"/>
        <v>485370.94502390781</v>
      </c>
    </row>
    <row r="56" spans="1:42" ht="12.75" customHeight="1" x14ac:dyDescent="0.15">
      <c r="A56" s="15"/>
      <c r="B56" s="18" t="s">
        <v>63</v>
      </c>
      <c r="C56" s="40">
        <f>SUM(C42:C55)</f>
        <v>6490701.6945812497</v>
      </c>
      <c r="D56" s="15"/>
      <c r="E56" s="4">
        <v>0.06</v>
      </c>
      <c r="F56" s="27" t="s">
        <v>64</v>
      </c>
      <c r="G56" s="28">
        <f t="shared" ref="G56:AP56" si="32">G26*$E$56</f>
        <v>0</v>
      </c>
      <c r="H56" s="28">
        <f>H26*$E$56</f>
        <v>37161.9</v>
      </c>
      <c r="I56" s="28">
        <f t="shared" si="32"/>
        <v>39302.595000000001</v>
      </c>
      <c r="J56" s="28">
        <f t="shared" si="32"/>
        <v>41267.724749999994</v>
      </c>
      <c r="K56" s="28">
        <f t="shared" si="32"/>
        <v>43331.110987499997</v>
      </c>
      <c r="L56" s="28">
        <f t="shared" si="32"/>
        <v>45497.666536874996</v>
      </c>
      <c r="M56" s="28">
        <f t="shared" si="32"/>
        <v>47772.549863718748</v>
      </c>
      <c r="N56" s="28">
        <f t="shared" si="32"/>
        <v>50161.177356904693</v>
      </c>
      <c r="O56" s="28">
        <f t="shared" si="32"/>
        <v>52669.236224749933</v>
      </c>
      <c r="P56" s="28">
        <f t="shared" si="32"/>
        <v>55302.698035987421</v>
      </c>
      <c r="Q56" s="28">
        <f t="shared" si="32"/>
        <v>58067.832937786799</v>
      </c>
      <c r="R56" s="28">
        <f t="shared" si="32"/>
        <v>60971.224584676151</v>
      </c>
      <c r="S56" s="28">
        <f t="shared" si="32"/>
        <v>61660.123797559449</v>
      </c>
      <c r="T56" s="28">
        <f t="shared" si="32"/>
        <v>62359.826140371297</v>
      </c>
      <c r="U56" s="28">
        <f t="shared" si="32"/>
        <v>63070.52957915928</v>
      </c>
      <c r="V56" s="28">
        <f t="shared" si="32"/>
        <v>63792.435916586343</v>
      </c>
      <c r="W56" s="28">
        <f t="shared" si="32"/>
        <v>64525.750867727431</v>
      </c>
      <c r="X56" s="28">
        <f t="shared" si="32"/>
        <v>65270.684137374032</v>
      </c>
      <c r="Y56" s="28">
        <f t="shared" si="32"/>
        <v>66027.449498876842</v>
      </c>
      <c r="Z56" s="28">
        <f t="shared" si="32"/>
        <v>66796.26487455731</v>
      </c>
      <c r="AA56" s="28">
        <f t="shared" si="32"/>
        <v>67577.352417719288</v>
      </c>
      <c r="AB56" s="28">
        <f t="shared" si="32"/>
        <v>68370.938596292632</v>
      </c>
      <c r="AC56" s="28">
        <f t="shared" si="32"/>
        <v>69177.254278141525</v>
      </c>
      <c r="AD56" s="28">
        <f t="shared" si="32"/>
        <v>69800.527668276176</v>
      </c>
      <c r="AE56" s="28">
        <f t="shared" si="32"/>
        <v>70435.506254518114</v>
      </c>
      <c r="AF56" s="28">
        <f t="shared" si="32"/>
        <v>71082.423380517735</v>
      </c>
      <c r="AG56" s="28">
        <f t="shared" si="32"/>
        <v>71741.517056038283</v>
      </c>
      <c r="AH56" s="28">
        <f t="shared" si="32"/>
        <v>72413.030050277142</v>
      </c>
      <c r="AI56" s="28">
        <f t="shared" si="32"/>
        <v>73097.20998705391</v>
      </c>
      <c r="AJ56" s="28">
        <f t="shared" si="32"/>
        <v>73794.309441901976</v>
      </c>
      <c r="AK56" s="28">
        <f t="shared" si="32"/>
        <v>74504.586041102099</v>
      </c>
      <c r="AL56" s="28">
        <f t="shared" si="32"/>
        <v>75228.302562696597</v>
      </c>
      <c r="AM56" s="28">
        <f t="shared" si="32"/>
        <v>75965.727039523772</v>
      </c>
      <c r="AN56" s="28">
        <f t="shared" si="32"/>
        <v>76717.132864313055</v>
      </c>
      <c r="AO56" s="28">
        <f t="shared" si="32"/>
        <v>77482.798896882101</v>
      </c>
      <c r="AP56" s="28">
        <f t="shared" si="32"/>
        <v>78263.009573477815</v>
      </c>
    </row>
    <row r="57" spans="1:42" ht="12.75" customHeight="1" x14ac:dyDescent="0.15">
      <c r="A57" s="15"/>
      <c r="B57" s="15"/>
      <c r="C57" s="15"/>
      <c r="D57" s="1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12.75" customHeight="1" x14ac:dyDescent="0.15">
      <c r="A58" s="1"/>
      <c r="B58" s="1"/>
      <c r="C58" s="2"/>
      <c r="D58" s="1"/>
      <c r="E58" s="1"/>
      <c r="F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spans="1:42" ht="12.75" customHeight="1" x14ac:dyDescent="0.15">
      <c r="A59" s="1"/>
      <c r="B59" s="1"/>
      <c r="C59" s="2"/>
      <c r="D59" s="1"/>
      <c r="E59" s="15"/>
      <c r="F59" s="15" t="s">
        <v>65</v>
      </c>
      <c r="G59" s="26">
        <f t="shared" ref="G59:AP59" si="33">G55-G56-G57</f>
        <v>0</v>
      </c>
      <c r="H59" s="26">
        <f>H55-H56</f>
        <v>-31303.9</v>
      </c>
      <c r="I59" s="26">
        <f t="shared" ref="I59:AP59" si="34">I55-I56</f>
        <v>-8469.8199999999779</v>
      </c>
      <c r="J59" s="26">
        <f t="shared" si="34"/>
        <v>12491.563999999955</v>
      </c>
      <c r="K59" s="26">
        <f t="shared" si="34"/>
        <v>34501.017200000002</v>
      </c>
      <c r="L59" s="26">
        <f t="shared" si="34"/>
        <v>57610.943059999918</v>
      </c>
      <c r="M59" s="26">
        <f t="shared" si="34"/>
        <v>81876.365213000041</v>
      </c>
      <c r="N59" s="26">
        <f t="shared" si="34"/>
        <v>107355.05847365005</v>
      </c>
      <c r="O59" s="26">
        <f t="shared" si="34"/>
        <v>134107.68639733258</v>
      </c>
      <c r="P59" s="26">
        <f t="shared" si="34"/>
        <v>162197.94571719915</v>
      </c>
      <c r="Q59" s="26">
        <f t="shared" si="34"/>
        <v>191692.7180030593</v>
      </c>
      <c r="R59" s="26">
        <f t="shared" si="34"/>
        <v>222662.22890321241</v>
      </c>
      <c r="S59" s="26">
        <f t="shared" si="34"/>
        <v>230010.4871739675</v>
      </c>
      <c r="T59" s="26">
        <f t="shared" si="34"/>
        <v>237473.97883062714</v>
      </c>
      <c r="U59" s="26">
        <f t="shared" si="34"/>
        <v>245054.8155110323</v>
      </c>
      <c r="V59" s="26">
        <f t="shared" si="34"/>
        <v>252755.149776921</v>
      </c>
      <c r="W59" s="26">
        <f t="shared" si="34"/>
        <v>260577.17592242605</v>
      </c>
      <c r="X59" s="26">
        <f t="shared" si="34"/>
        <v>268523.13079865638</v>
      </c>
      <c r="Y59" s="26">
        <f t="shared" si="34"/>
        <v>276595.29465468635</v>
      </c>
      <c r="Z59" s="26">
        <f t="shared" si="34"/>
        <v>284795.99199527799</v>
      </c>
      <c r="AA59" s="26">
        <f t="shared" si="34"/>
        <v>293127.59245567257</v>
      </c>
      <c r="AB59" s="26">
        <f t="shared" si="34"/>
        <v>301592.51169378823</v>
      </c>
      <c r="AC59" s="26">
        <f t="shared" si="34"/>
        <v>310193.21230017627</v>
      </c>
      <c r="AD59" s="26">
        <f t="shared" si="34"/>
        <v>316841.46179494594</v>
      </c>
      <c r="AE59" s="26">
        <f t="shared" si="34"/>
        <v>323614.56671485986</v>
      </c>
      <c r="AF59" s="26">
        <f t="shared" si="34"/>
        <v>330515.01605885592</v>
      </c>
      <c r="AG59" s="26">
        <f t="shared" si="34"/>
        <v>337545.34859774169</v>
      </c>
      <c r="AH59" s="26">
        <f t="shared" si="34"/>
        <v>344708.15386962297</v>
      </c>
      <c r="AI59" s="26">
        <f t="shared" si="34"/>
        <v>352006.07319524174</v>
      </c>
      <c r="AJ59" s="26">
        <f t="shared" si="34"/>
        <v>359441.80071362108</v>
      </c>
      <c r="AK59" s="26">
        <f t="shared" si="34"/>
        <v>367018.08443842258</v>
      </c>
      <c r="AL59" s="26">
        <f t="shared" si="34"/>
        <v>374737.72733543033</v>
      </c>
      <c r="AM59" s="26">
        <f t="shared" si="34"/>
        <v>382603.5884215869</v>
      </c>
      <c r="AN59" s="26">
        <f t="shared" si="34"/>
        <v>390618.58388600592</v>
      </c>
      <c r="AO59" s="26">
        <f t="shared" si="34"/>
        <v>398785.68823340919</v>
      </c>
      <c r="AP59" s="26">
        <f t="shared" si="34"/>
        <v>407107.93545043003</v>
      </c>
    </row>
    <row r="60" spans="1:42" ht="12.75" customHeight="1" x14ac:dyDescent="0.15">
      <c r="A60" s="35"/>
      <c r="B60" s="35"/>
      <c r="C60" s="35"/>
      <c r="D60" s="35"/>
      <c r="E60" s="36"/>
      <c r="F60" s="38" t="s">
        <v>37</v>
      </c>
      <c r="G60" s="41"/>
      <c r="H60" s="38">
        <f t="shared" ref="H60:AP60" si="35">H59/H26</f>
        <v>-5.0541926004859822E-2</v>
      </c>
      <c r="I60" s="38">
        <f t="shared" si="35"/>
        <v>-1.2930169114787424E-2</v>
      </c>
      <c r="J60" s="38">
        <f t="shared" si="35"/>
        <v>1.8161743700202355E-2</v>
      </c>
      <c r="K60" s="38">
        <f t="shared" si="35"/>
        <v>4.7773089238288026E-2</v>
      </c>
      <c r="L60" s="38">
        <f t="shared" si="35"/>
        <v>7.5974370703131344E-2</v>
      </c>
      <c r="M60" s="38">
        <f t="shared" si="35"/>
        <v>0.10283273400298237</v>
      </c>
      <c r="N60" s="38">
        <f t="shared" si="35"/>
        <v>0.12841212762188797</v>
      </c>
      <c r="O60" s="38">
        <f t="shared" si="35"/>
        <v>0.15277345487798857</v>
      </c>
      <c r="P60" s="38">
        <f t="shared" si="35"/>
        <v>0.17597471893141764</v>
      </c>
      <c r="Q60" s="38">
        <f t="shared" si="35"/>
        <v>0.19807116088706458</v>
      </c>
      <c r="R60" s="38">
        <f t="shared" si="35"/>
        <v>0.21911539132101399</v>
      </c>
      <c r="S60" s="38">
        <f t="shared" si="35"/>
        <v>0.22381773471211044</v>
      </c>
      <c r="T60" s="38">
        <f t="shared" si="35"/>
        <v>0.22848746719986912</v>
      </c>
      <c r="U60" s="38">
        <f t="shared" si="35"/>
        <v>0.23312455165305004</v>
      </c>
      <c r="V60" s="38">
        <f t="shared" si="35"/>
        <v>0.23772895279379364</v>
      </c>
      <c r="W60" s="38">
        <f t="shared" si="35"/>
        <v>0.24230063726643475</v>
      </c>
      <c r="X60" s="38">
        <f t="shared" si="35"/>
        <v>0.24683957370524928</v>
      </c>
      <c r="Y60" s="38">
        <f t="shared" si="35"/>
        <v>0.25134573280107514</v>
      </c>
      <c r="Z60" s="38">
        <f t="shared" si="35"/>
        <v>0.25581908736674591</v>
      </c>
      <c r="AA60" s="38">
        <f t="shared" si="35"/>
        <v>0.26025961240128043</v>
      </c>
      <c r="AB60" s="38">
        <f t="shared" si="35"/>
        <v>0.26466728515276677</v>
      </c>
      <c r="AC60" s="38">
        <f t="shared" si="35"/>
        <v>0.26904208517988876</v>
      </c>
      <c r="AD60" s="38">
        <f t="shared" si="35"/>
        <v>0.27235449849381127</v>
      </c>
      <c r="AE60" s="38">
        <f t="shared" si="35"/>
        <v>0.27566883572510831</v>
      </c>
      <c r="AF60" s="38">
        <f t="shared" si="35"/>
        <v>0.2789845931021902</v>
      </c>
      <c r="AG60" s="38">
        <f t="shared" si="35"/>
        <v>0.28230126357719509</v>
      </c>
      <c r="AH60" s="38">
        <f t="shared" si="35"/>
        <v>0.28561833716690632</v>
      </c>
      <c r="AI60" s="38">
        <f t="shared" si="35"/>
        <v>0.28893530129884692</v>
      </c>
      <c r="AJ60" s="38">
        <f t="shared" si="35"/>
        <v>0.29225164116206692</v>
      </c>
      <c r="AK60" s="38">
        <f t="shared" si="35"/>
        <v>0.2955668400621263</v>
      </c>
      <c r="AL60" s="38">
        <f t="shared" si="35"/>
        <v>0.29888037977976489</v>
      </c>
      <c r="AM60" s="38">
        <f t="shared" si="35"/>
        <v>0.3021917409327427</v>
      </c>
      <c r="AN60" s="38">
        <f t="shared" si="35"/>
        <v>0.30550040334031736</v>
      </c>
      <c r="AO60" s="38">
        <f t="shared" si="35"/>
        <v>0.30880584638982855</v>
      </c>
      <c r="AP60" s="38">
        <f t="shared" si="35"/>
        <v>0.31210754940484137</v>
      </c>
    </row>
    <row r="61" spans="1:42" ht="12.75" customHeight="1" x14ac:dyDescent="0.1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2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2.75" customHeight="1" x14ac:dyDescent="0.15">
      <c r="A63" s="15"/>
      <c r="B63" s="15"/>
      <c r="C63" s="26"/>
      <c r="D63" s="15"/>
      <c r="E63" s="1"/>
      <c r="F63" s="24" t="s">
        <v>66</v>
      </c>
      <c r="G63" s="24">
        <v>0</v>
      </c>
      <c r="H63" s="24">
        <f t="shared" ref="H63:AP63" si="36">G68</f>
        <v>509298.30541875027</v>
      </c>
      <c r="I63" s="24">
        <f t="shared" si="36"/>
        <v>477994.40541875025</v>
      </c>
      <c r="J63" s="24">
        <f t="shared" si="36"/>
        <v>469524.5854187503</v>
      </c>
      <c r="K63" s="24">
        <f t="shared" si="36"/>
        <v>482016.14941875025</v>
      </c>
      <c r="L63" s="24">
        <f t="shared" si="36"/>
        <v>514018.85381875024</v>
      </c>
      <c r="M63" s="24">
        <f t="shared" si="36"/>
        <v>564729.59343875025</v>
      </c>
      <c r="N63" s="24">
        <f t="shared" si="36"/>
        <v>635083.77003975038</v>
      </c>
      <c r="O63" s="24">
        <f t="shared" si="36"/>
        <v>726063.55547080038</v>
      </c>
      <c r="P63" s="24">
        <f t="shared" si="36"/>
        <v>838700.23017340293</v>
      </c>
      <c r="Q63" s="24">
        <f t="shared" si="36"/>
        <v>974076.63861113554</v>
      </c>
      <c r="R63" s="24">
        <f t="shared" si="36"/>
        <v>1133329.7674707549</v>
      </c>
      <c r="S63" s="24">
        <f t="shared" si="36"/>
        <v>1317653.4527733554</v>
      </c>
      <c r="T63" s="24">
        <f t="shared" si="36"/>
        <v>1503131.4941666804</v>
      </c>
      <c r="U63" s="24">
        <f t="shared" si="36"/>
        <v>1694603.3755625139</v>
      </c>
      <c r="V63" s="24">
        <f t="shared" si="36"/>
        <v>1892163.3953074208</v>
      </c>
      <c r="W63" s="24">
        <f t="shared" si="36"/>
        <v>2095907.5819821355</v>
      </c>
      <c r="X63" s="24">
        <f t="shared" si="36"/>
        <v>2305933.7279491774</v>
      </c>
      <c r="Y63" s="24">
        <f t="shared" si="36"/>
        <v>2522341.4235633486</v>
      </c>
      <c r="Z63" s="24">
        <f t="shared" si="36"/>
        <v>2745232.0920583038</v>
      </c>
      <c r="AA63" s="24">
        <f t="shared" si="36"/>
        <v>2974709.0251226444</v>
      </c>
      <c r="AB63" s="24">
        <f t="shared" si="36"/>
        <v>3210877.4191792612</v>
      </c>
      <c r="AC63" s="24">
        <f t="shared" si="36"/>
        <v>3453844.4123819149</v>
      </c>
      <c r="AD63" s="24">
        <f t="shared" si="36"/>
        <v>3703719.1223433334</v>
      </c>
      <c r="AE63" s="24">
        <f t="shared" si="36"/>
        <v>3958521.9416782442</v>
      </c>
      <c r="AF63" s="24">
        <f t="shared" si="36"/>
        <v>4218768.2160341153</v>
      </c>
      <c r="AG63" s="24">
        <f t="shared" si="36"/>
        <v>4484560.3187499987</v>
      </c>
      <c r="AH63" s="24">
        <f t="shared" si="36"/>
        <v>4756002.6641359692</v>
      </c>
      <c r="AI63" s="24">
        <f t="shared" si="36"/>
        <v>5033201.7482860442</v>
      </c>
      <c r="AJ63" s="24">
        <f t="shared" si="36"/>
        <v>5316266.1907073613</v>
      </c>
      <c r="AK63" s="24">
        <f t="shared" si="36"/>
        <v>5605306.7767819343</v>
      </c>
      <c r="AL63" s="24">
        <f t="shared" si="36"/>
        <v>5900436.5010776324</v>
      </c>
      <c r="AM63" s="24">
        <f t="shared" si="36"/>
        <v>6201770.6115253782</v>
      </c>
      <c r="AN63" s="24">
        <f t="shared" si="36"/>
        <v>6509426.654479879</v>
      </c>
      <c r="AO63" s="24">
        <f t="shared" si="36"/>
        <v>6823524.5206815675</v>
      </c>
      <c r="AP63" s="24">
        <f t="shared" si="36"/>
        <v>7144186.4921377758</v>
      </c>
    </row>
    <row r="64" spans="1:42" ht="12.75" customHeight="1" x14ac:dyDescent="0.15">
      <c r="A64" s="15"/>
      <c r="B64" s="15"/>
      <c r="C64" s="26"/>
      <c r="D64" s="15"/>
      <c r="E64" s="42">
        <v>7000000</v>
      </c>
      <c r="F64" s="43" t="s">
        <v>67</v>
      </c>
      <c r="G64" s="42">
        <f>E64</f>
        <v>7000000</v>
      </c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</row>
    <row r="65" spans="1:42" ht="12.75" customHeight="1" x14ac:dyDescent="0.15">
      <c r="A65" s="15"/>
      <c r="B65" s="15"/>
      <c r="C65" s="26"/>
      <c r="D65" s="15"/>
      <c r="E65" s="15"/>
      <c r="F65" s="27" t="s">
        <v>68</v>
      </c>
      <c r="G65" s="28">
        <f>-C56</f>
        <v>-6490701.6945812497</v>
      </c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</row>
    <row r="66" spans="1:42" ht="12.75" customHeight="1" x14ac:dyDescent="0.15">
      <c r="A66" s="15"/>
      <c r="B66" s="15"/>
      <c r="C66" s="26"/>
      <c r="D66" s="15"/>
      <c r="E66" s="1"/>
      <c r="F66" s="27" t="s">
        <v>69</v>
      </c>
      <c r="G66" s="28">
        <f t="shared" ref="G66:AP66" si="37">G59</f>
        <v>0</v>
      </c>
      <c r="H66" s="28">
        <f t="shared" si="37"/>
        <v>-31303.9</v>
      </c>
      <c r="I66" s="28">
        <f t="shared" si="37"/>
        <v>-8469.8199999999779</v>
      </c>
      <c r="J66" s="28">
        <f t="shared" si="37"/>
        <v>12491.563999999955</v>
      </c>
      <c r="K66" s="28">
        <f t="shared" si="37"/>
        <v>34501.017200000002</v>
      </c>
      <c r="L66" s="28">
        <f t="shared" si="37"/>
        <v>57610.943059999918</v>
      </c>
      <c r="M66" s="28">
        <f t="shared" si="37"/>
        <v>81876.365213000041</v>
      </c>
      <c r="N66" s="28">
        <f t="shared" si="37"/>
        <v>107355.05847365005</v>
      </c>
      <c r="O66" s="28">
        <f t="shared" si="37"/>
        <v>134107.68639733258</v>
      </c>
      <c r="P66" s="28">
        <f t="shared" si="37"/>
        <v>162197.94571719915</v>
      </c>
      <c r="Q66" s="28">
        <f t="shared" si="37"/>
        <v>191692.7180030593</v>
      </c>
      <c r="R66" s="28">
        <f t="shared" si="37"/>
        <v>222662.22890321241</v>
      </c>
      <c r="S66" s="28">
        <f t="shared" si="37"/>
        <v>230010.4871739675</v>
      </c>
      <c r="T66" s="28">
        <f t="shared" si="37"/>
        <v>237473.97883062714</v>
      </c>
      <c r="U66" s="28">
        <f t="shared" si="37"/>
        <v>245054.8155110323</v>
      </c>
      <c r="V66" s="28">
        <f t="shared" si="37"/>
        <v>252755.149776921</v>
      </c>
      <c r="W66" s="28">
        <f t="shared" si="37"/>
        <v>260577.17592242605</v>
      </c>
      <c r="X66" s="28">
        <f t="shared" si="37"/>
        <v>268523.13079865638</v>
      </c>
      <c r="Y66" s="28">
        <f t="shared" si="37"/>
        <v>276595.29465468635</v>
      </c>
      <c r="Z66" s="28">
        <f t="shared" si="37"/>
        <v>284795.99199527799</v>
      </c>
      <c r="AA66" s="28">
        <f t="shared" si="37"/>
        <v>293127.59245567257</v>
      </c>
      <c r="AB66" s="28">
        <f t="shared" si="37"/>
        <v>301592.51169378823</v>
      </c>
      <c r="AC66" s="28">
        <f t="shared" si="37"/>
        <v>310193.21230017627</v>
      </c>
      <c r="AD66" s="28">
        <f t="shared" si="37"/>
        <v>316841.46179494594</v>
      </c>
      <c r="AE66" s="28">
        <f t="shared" si="37"/>
        <v>323614.56671485986</v>
      </c>
      <c r="AF66" s="28">
        <f t="shared" si="37"/>
        <v>330515.01605885592</v>
      </c>
      <c r="AG66" s="28">
        <f t="shared" si="37"/>
        <v>337545.34859774169</v>
      </c>
      <c r="AH66" s="28">
        <f t="shared" si="37"/>
        <v>344708.15386962297</v>
      </c>
      <c r="AI66" s="28">
        <f t="shared" si="37"/>
        <v>352006.07319524174</v>
      </c>
      <c r="AJ66" s="28">
        <f t="shared" si="37"/>
        <v>359441.80071362108</v>
      </c>
      <c r="AK66" s="28">
        <f t="shared" si="37"/>
        <v>367018.08443842258</v>
      </c>
      <c r="AL66" s="28">
        <f t="shared" si="37"/>
        <v>374737.72733543033</v>
      </c>
      <c r="AM66" s="28">
        <f t="shared" si="37"/>
        <v>382603.5884215869</v>
      </c>
      <c r="AN66" s="28">
        <f t="shared" si="37"/>
        <v>390618.58388600592</v>
      </c>
      <c r="AO66" s="28">
        <f t="shared" si="37"/>
        <v>398785.68823340919</v>
      </c>
      <c r="AP66" s="28">
        <f t="shared" si="37"/>
        <v>407107.93545043003</v>
      </c>
    </row>
    <row r="67" spans="1:42" ht="12.75" customHeight="1" x14ac:dyDescent="0.15">
      <c r="A67" s="15"/>
      <c r="B67" s="15"/>
      <c r="C67" s="26"/>
      <c r="D67" s="15"/>
      <c r="E67" s="4">
        <v>0.2</v>
      </c>
      <c r="F67" s="44" t="s">
        <v>70</v>
      </c>
      <c r="G67" s="45"/>
      <c r="H67" s="45"/>
      <c r="I67" s="45">
        <f>IF(H59&gt;0, -H59*$E$67, 0)</f>
        <v>0</v>
      </c>
      <c r="J67" s="45">
        <f t="shared" ref="J67:AP67" si="38">IF(I59&gt;0, -I59*$E$67, 0)</f>
        <v>0</v>
      </c>
      <c r="K67" s="45">
        <f t="shared" si="38"/>
        <v>-2498.3127999999911</v>
      </c>
      <c r="L67" s="45">
        <f t="shared" si="38"/>
        <v>-6900.2034400000011</v>
      </c>
      <c r="M67" s="45">
        <f t="shared" si="38"/>
        <v>-11522.188611999984</v>
      </c>
      <c r="N67" s="45">
        <f t="shared" si="38"/>
        <v>-16375.273042600009</v>
      </c>
      <c r="O67" s="45">
        <f t="shared" si="38"/>
        <v>-21471.011694730012</v>
      </c>
      <c r="P67" s="45">
        <f t="shared" si="38"/>
        <v>-26821.537279466516</v>
      </c>
      <c r="Q67" s="45">
        <f t="shared" si="38"/>
        <v>-32439.589143439833</v>
      </c>
      <c r="R67" s="45">
        <f t="shared" si="38"/>
        <v>-38338.543600611862</v>
      </c>
      <c r="S67" s="45">
        <f t="shared" si="38"/>
        <v>-44532.445780642483</v>
      </c>
      <c r="T67" s="45">
        <f t="shared" si="38"/>
        <v>-46002.097434793504</v>
      </c>
      <c r="U67" s="45">
        <f t="shared" si="38"/>
        <v>-47494.795766125433</v>
      </c>
      <c r="V67" s="45">
        <f t="shared" si="38"/>
        <v>-49010.963102206464</v>
      </c>
      <c r="W67" s="45">
        <f t="shared" si="38"/>
        <v>-50551.029955384205</v>
      </c>
      <c r="X67" s="45">
        <f t="shared" si="38"/>
        <v>-52115.435184485214</v>
      </c>
      <c r="Y67" s="45">
        <f t="shared" si="38"/>
        <v>-53704.626159731277</v>
      </c>
      <c r="Z67" s="45">
        <f t="shared" si="38"/>
        <v>-55319.058930937274</v>
      </c>
      <c r="AA67" s="45">
        <f t="shared" si="38"/>
        <v>-56959.198399055604</v>
      </c>
      <c r="AB67" s="45">
        <f t="shared" si="38"/>
        <v>-58625.518491134513</v>
      </c>
      <c r="AC67" s="45">
        <f t="shared" si="38"/>
        <v>-60318.502338757651</v>
      </c>
      <c r="AD67" s="45">
        <f t="shared" si="38"/>
        <v>-62038.642460035255</v>
      </c>
      <c r="AE67" s="45">
        <f t="shared" si="38"/>
        <v>-63368.292358989187</v>
      </c>
      <c r="AF67" s="45">
        <f t="shared" si="38"/>
        <v>-64722.913342971973</v>
      </c>
      <c r="AG67" s="45">
        <f t="shared" si="38"/>
        <v>-66103.003211771182</v>
      </c>
      <c r="AH67" s="45">
        <f t="shared" si="38"/>
        <v>-67509.069719548337</v>
      </c>
      <c r="AI67" s="45">
        <f t="shared" si="38"/>
        <v>-68941.630773924597</v>
      </c>
      <c r="AJ67" s="45">
        <f t="shared" si="38"/>
        <v>-70401.214639048354</v>
      </c>
      <c r="AK67" s="45">
        <f t="shared" si="38"/>
        <v>-71888.360142724225</v>
      </c>
      <c r="AL67" s="45">
        <f t="shared" si="38"/>
        <v>-73403.616887684519</v>
      </c>
      <c r="AM67" s="45">
        <f t="shared" si="38"/>
        <v>-74947.545467086064</v>
      </c>
      <c r="AN67" s="45">
        <f t="shared" si="38"/>
        <v>-76520.71768431738</v>
      </c>
      <c r="AO67" s="45">
        <f t="shared" si="38"/>
        <v>-78123.716777201189</v>
      </c>
      <c r="AP67" s="45">
        <f t="shared" si="38"/>
        <v>-79757.137646681847</v>
      </c>
    </row>
    <row r="68" spans="1:42" ht="12.75" customHeight="1" x14ac:dyDescent="0.15">
      <c r="A68" s="15"/>
      <c r="B68" s="15"/>
      <c r="C68" s="26"/>
      <c r="D68" s="15"/>
      <c r="E68" s="1"/>
      <c r="F68" s="24" t="s">
        <v>71</v>
      </c>
      <c r="G68" s="24">
        <f t="shared" ref="G68:AP68" si="39">SUM(G63:G67)</f>
        <v>509298.30541875027</v>
      </c>
      <c r="H68" s="24">
        <f t="shared" si="39"/>
        <v>477994.40541875025</v>
      </c>
      <c r="I68" s="24">
        <f t="shared" si="39"/>
        <v>469524.5854187503</v>
      </c>
      <c r="J68" s="24">
        <f t="shared" si="39"/>
        <v>482016.14941875025</v>
      </c>
      <c r="K68" s="24">
        <f t="shared" si="39"/>
        <v>514018.85381875024</v>
      </c>
      <c r="L68" s="24">
        <f t="shared" si="39"/>
        <v>564729.59343875025</v>
      </c>
      <c r="M68" s="24">
        <f t="shared" si="39"/>
        <v>635083.77003975038</v>
      </c>
      <c r="N68" s="24">
        <f t="shared" si="39"/>
        <v>726063.55547080038</v>
      </c>
      <c r="O68" s="24">
        <f t="shared" si="39"/>
        <v>838700.23017340293</v>
      </c>
      <c r="P68" s="24">
        <f t="shared" si="39"/>
        <v>974076.63861113554</v>
      </c>
      <c r="Q68" s="24">
        <f t="shared" si="39"/>
        <v>1133329.7674707549</v>
      </c>
      <c r="R68" s="24">
        <f t="shared" si="39"/>
        <v>1317653.4527733554</v>
      </c>
      <c r="S68" s="24">
        <f t="shared" si="39"/>
        <v>1503131.4941666804</v>
      </c>
      <c r="T68" s="24">
        <f t="shared" si="39"/>
        <v>1694603.3755625139</v>
      </c>
      <c r="U68" s="24">
        <f t="shared" si="39"/>
        <v>1892163.3953074208</v>
      </c>
      <c r="V68" s="24">
        <f t="shared" si="39"/>
        <v>2095907.5819821355</v>
      </c>
      <c r="W68" s="24">
        <f t="shared" si="39"/>
        <v>2305933.7279491774</v>
      </c>
      <c r="X68" s="24">
        <f t="shared" si="39"/>
        <v>2522341.4235633486</v>
      </c>
      <c r="Y68" s="24">
        <f t="shared" si="39"/>
        <v>2745232.0920583038</v>
      </c>
      <c r="Z68" s="24">
        <f t="shared" si="39"/>
        <v>2974709.0251226444</v>
      </c>
      <c r="AA68" s="24">
        <f t="shared" si="39"/>
        <v>3210877.4191792612</v>
      </c>
      <c r="AB68" s="24">
        <f t="shared" si="39"/>
        <v>3453844.4123819149</v>
      </c>
      <c r="AC68" s="24">
        <f t="shared" si="39"/>
        <v>3703719.1223433334</v>
      </c>
      <c r="AD68" s="24">
        <f t="shared" si="39"/>
        <v>3958521.9416782442</v>
      </c>
      <c r="AE68" s="24">
        <f t="shared" si="39"/>
        <v>4218768.2160341153</v>
      </c>
      <c r="AF68" s="24">
        <f t="shared" si="39"/>
        <v>4484560.3187499987</v>
      </c>
      <c r="AG68" s="24">
        <f t="shared" si="39"/>
        <v>4756002.6641359692</v>
      </c>
      <c r="AH68" s="24">
        <f t="shared" si="39"/>
        <v>5033201.7482860442</v>
      </c>
      <c r="AI68" s="24">
        <f t="shared" si="39"/>
        <v>5316266.1907073613</v>
      </c>
      <c r="AJ68" s="24">
        <f t="shared" si="39"/>
        <v>5605306.7767819343</v>
      </c>
      <c r="AK68" s="24">
        <f t="shared" si="39"/>
        <v>5900436.5010776324</v>
      </c>
      <c r="AL68" s="24">
        <f t="shared" si="39"/>
        <v>6201770.6115253782</v>
      </c>
      <c r="AM68" s="24">
        <f t="shared" si="39"/>
        <v>6509426.654479879</v>
      </c>
      <c r="AN68" s="24">
        <f t="shared" si="39"/>
        <v>6823524.5206815675</v>
      </c>
      <c r="AO68" s="24">
        <f t="shared" si="39"/>
        <v>7144186.4921377758</v>
      </c>
      <c r="AP68" s="24">
        <f t="shared" si="39"/>
        <v>7471537.2899415242</v>
      </c>
    </row>
    <row r="69" spans="1:42" ht="12.75" customHeight="1" x14ac:dyDescent="0.1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2.75" customHeight="1" x14ac:dyDescent="0.15">
      <c r="A70" s="1"/>
      <c r="B70" s="1"/>
      <c r="C70" s="2"/>
      <c r="D70" s="1"/>
      <c r="E70" s="1"/>
      <c r="F70" s="1" t="s">
        <v>72</v>
      </c>
      <c r="G70" s="1" t="str">
        <f t="shared" ref="G70:AP70" si="40">IF(G68&gt;$G$64,G5,"")</f>
        <v/>
      </c>
      <c r="H70" s="1" t="str">
        <f t="shared" si="40"/>
        <v/>
      </c>
      <c r="I70" s="1" t="str">
        <f t="shared" si="40"/>
        <v/>
      </c>
      <c r="J70" s="1" t="str">
        <f t="shared" si="40"/>
        <v/>
      </c>
      <c r="K70" s="1" t="str">
        <f t="shared" si="40"/>
        <v/>
      </c>
      <c r="L70" s="1" t="str">
        <f t="shared" si="40"/>
        <v/>
      </c>
      <c r="M70" s="1" t="str">
        <f t="shared" si="40"/>
        <v/>
      </c>
      <c r="N70" s="1" t="str">
        <f t="shared" si="40"/>
        <v/>
      </c>
      <c r="O70" s="1" t="str">
        <f t="shared" si="40"/>
        <v/>
      </c>
      <c r="P70" s="1" t="str">
        <f t="shared" si="40"/>
        <v/>
      </c>
      <c r="Q70" s="1" t="str">
        <f t="shared" si="40"/>
        <v/>
      </c>
      <c r="R70" s="1" t="str">
        <f t="shared" si="40"/>
        <v/>
      </c>
      <c r="S70" s="1" t="str">
        <f t="shared" si="40"/>
        <v/>
      </c>
      <c r="T70" s="1" t="str">
        <f t="shared" si="40"/>
        <v/>
      </c>
      <c r="U70" s="1" t="str">
        <f t="shared" si="40"/>
        <v/>
      </c>
      <c r="V70" s="1" t="str">
        <f t="shared" si="40"/>
        <v/>
      </c>
      <c r="W70" s="1" t="str">
        <f t="shared" si="40"/>
        <v/>
      </c>
      <c r="X70" s="1" t="str">
        <f t="shared" si="40"/>
        <v/>
      </c>
      <c r="Y70" s="1" t="str">
        <f t="shared" si="40"/>
        <v/>
      </c>
      <c r="Z70" s="1" t="str">
        <f t="shared" si="40"/>
        <v/>
      </c>
      <c r="AA70" s="1" t="str">
        <f t="shared" si="40"/>
        <v/>
      </c>
      <c r="AB70" s="1" t="str">
        <f t="shared" si="40"/>
        <v/>
      </c>
      <c r="AC70" s="1" t="str">
        <f t="shared" si="40"/>
        <v/>
      </c>
      <c r="AD70" s="1" t="str">
        <f t="shared" si="40"/>
        <v/>
      </c>
      <c r="AE70" s="1" t="str">
        <f t="shared" si="40"/>
        <v/>
      </c>
      <c r="AF70" s="1" t="str">
        <f t="shared" si="40"/>
        <v/>
      </c>
      <c r="AG70" s="1" t="str">
        <f t="shared" si="40"/>
        <v/>
      </c>
      <c r="AH70" s="1" t="str">
        <f t="shared" si="40"/>
        <v/>
      </c>
      <c r="AI70" s="1" t="str">
        <f t="shared" si="40"/>
        <v/>
      </c>
      <c r="AJ70" s="1" t="str">
        <f t="shared" si="40"/>
        <v/>
      </c>
      <c r="AK70" s="1" t="str">
        <f t="shared" si="40"/>
        <v/>
      </c>
      <c r="AL70" s="1" t="str">
        <f t="shared" si="40"/>
        <v/>
      </c>
      <c r="AM70" s="1" t="str">
        <f t="shared" si="40"/>
        <v/>
      </c>
      <c r="AN70" s="1" t="str">
        <f t="shared" si="40"/>
        <v/>
      </c>
      <c r="AO70" s="1">
        <f t="shared" si="40"/>
        <v>35</v>
      </c>
      <c r="AP70" s="1">
        <f t="shared" si="40"/>
        <v>36</v>
      </c>
    </row>
    <row r="71" spans="1:42" ht="12.75" customHeight="1" x14ac:dyDescent="0.1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2.75" customHeight="1" x14ac:dyDescent="0.15">
      <c r="A72" s="1"/>
      <c r="B72" s="1"/>
      <c r="C72" s="2"/>
      <c r="D72" s="1"/>
      <c r="E72" s="1"/>
      <c r="F72" s="46" t="s">
        <v>73</v>
      </c>
      <c r="G72" s="47">
        <f>G64</f>
        <v>7000000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2.75" customHeight="1" x14ac:dyDescent="0.15">
      <c r="A73" s="1"/>
      <c r="B73" s="1"/>
      <c r="C73" s="2"/>
      <c r="D73" s="1"/>
      <c r="E73" s="1"/>
      <c r="F73" s="1" t="s">
        <v>74</v>
      </c>
      <c r="G73" s="1"/>
      <c r="H73" s="2">
        <f t="shared" ref="H73:AP73" si="41">G73-H67</f>
        <v>0</v>
      </c>
      <c r="I73" s="2">
        <f t="shared" si="41"/>
        <v>0</v>
      </c>
      <c r="J73" s="2">
        <f t="shared" si="41"/>
        <v>0</v>
      </c>
      <c r="K73" s="2">
        <f t="shared" si="41"/>
        <v>2498.3127999999911</v>
      </c>
      <c r="L73" s="2">
        <f t="shared" si="41"/>
        <v>9398.5162399999917</v>
      </c>
      <c r="M73" s="2">
        <f t="shared" si="41"/>
        <v>20920.704851999973</v>
      </c>
      <c r="N73" s="2">
        <f t="shared" si="41"/>
        <v>37295.977894599986</v>
      </c>
      <c r="O73" s="2">
        <f t="shared" si="41"/>
        <v>58766.989589329998</v>
      </c>
      <c r="P73" s="2">
        <f t="shared" si="41"/>
        <v>85588.526868796514</v>
      </c>
      <c r="Q73" s="2">
        <f t="shared" si="41"/>
        <v>118028.11601223635</v>
      </c>
      <c r="R73" s="2">
        <f t="shared" si="41"/>
        <v>156366.65961284822</v>
      </c>
      <c r="S73" s="2">
        <f t="shared" si="41"/>
        <v>200899.1053934907</v>
      </c>
      <c r="T73" s="2">
        <f t="shared" si="41"/>
        <v>246901.20282828421</v>
      </c>
      <c r="U73" s="2">
        <f t="shared" si="41"/>
        <v>294395.99859440967</v>
      </c>
      <c r="V73" s="2">
        <f t="shared" si="41"/>
        <v>343406.96169661614</v>
      </c>
      <c r="W73" s="2">
        <f t="shared" si="41"/>
        <v>393957.99165200035</v>
      </c>
      <c r="X73" s="2">
        <f t="shared" si="41"/>
        <v>446073.42683648557</v>
      </c>
      <c r="Y73" s="2">
        <f t="shared" si="41"/>
        <v>499778.05299621687</v>
      </c>
      <c r="Z73" s="2">
        <f t="shared" si="41"/>
        <v>555097.11192715412</v>
      </c>
      <c r="AA73" s="2">
        <f t="shared" si="41"/>
        <v>612056.31032620976</v>
      </c>
      <c r="AB73" s="2">
        <f t="shared" si="41"/>
        <v>670681.82881734427</v>
      </c>
      <c r="AC73" s="2">
        <f t="shared" si="41"/>
        <v>731000.33115610189</v>
      </c>
      <c r="AD73" s="2">
        <f t="shared" si="41"/>
        <v>793038.97361613717</v>
      </c>
      <c r="AE73" s="2">
        <f t="shared" si="41"/>
        <v>856407.2659751263</v>
      </c>
      <c r="AF73" s="2">
        <f t="shared" si="41"/>
        <v>921130.17931809823</v>
      </c>
      <c r="AG73" s="2">
        <f t="shared" si="41"/>
        <v>987233.18252986937</v>
      </c>
      <c r="AH73" s="2">
        <f t="shared" si="41"/>
        <v>1054742.2522494178</v>
      </c>
      <c r="AI73" s="2">
        <f t="shared" si="41"/>
        <v>1123683.8830233424</v>
      </c>
      <c r="AJ73" s="2">
        <f t="shared" si="41"/>
        <v>1194085.0976623907</v>
      </c>
      <c r="AK73" s="2">
        <f t="shared" si="41"/>
        <v>1265973.4578051148</v>
      </c>
      <c r="AL73" s="2">
        <f t="shared" si="41"/>
        <v>1339377.0746927992</v>
      </c>
      <c r="AM73" s="2">
        <f t="shared" si="41"/>
        <v>1414324.6201598854</v>
      </c>
      <c r="AN73" s="2">
        <f t="shared" si="41"/>
        <v>1490845.3378442028</v>
      </c>
      <c r="AO73" s="2">
        <f t="shared" si="41"/>
        <v>1568969.054621404</v>
      </c>
      <c r="AP73" s="2">
        <f t="shared" si="41"/>
        <v>1648726.1922680859</v>
      </c>
    </row>
    <row r="74" spans="1:42" ht="12.75" customHeight="1" x14ac:dyDescent="0.15">
      <c r="A74" s="1"/>
      <c r="B74" s="1"/>
      <c r="C74" s="2"/>
      <c r="D74" s="1"/>
      <c r="E74" s="1"/>
      <c r="F74" s="1" t="s">
        <v>75</v>
      </c>
      <c r="G74" s="2">
        <f>-G64</f>
        <v>-7000000</v>
      </c>
      <c r="H74" s="2">
        <f t="shared" ref="H74:AP74" si="42">G74-H67</f>
        <v>-7000000</v>
      </c>
      <c r="I74" s="2">
        <f t="shared" si="42"/>
        <v>-7000000</v>
      </c>
      <c r="J74" s="2">
        <f t="shared" si="42"/>
        <v>-7000000</v>
      </c>
      <c r="K74" s="2">
        <f t="shared" si="42"/>
        <v>-6997501.6871999996</v>
      </c>
      <c r="L74" s="2">
        <f t="shared" si="42"/>
        <v>-6990601.4837599993</v>
      </c>
      <c r="M74" s="2">
        <f t="shared" si="42"/>
        <v>-6979079.2951479992</v>
      </c>
      <c r="N74" s="2">
        <f t="shared" si="42"/>
        <v>-6962704.0221053995</v>
      </c>
      <c r="O74" s="2">
        <f t="shared" si="42"/>
        <v>-6941233.0104106693</v>
      </c>
      <c r="P74" s="2">
        <f t="shared" si="42"/>
        <v>-6914411.4731312031</v>
      </c>
      <c r="Q74" s="2">
        <f t="shared" si="42"/>
        <v>-6881971.883987763</v>
      </c>
      <c r="R74" s="2">
        <f t="shared" si="42"/>
        <v>-6843633.3403871506</v>
      </c>
      <c r="S74" s="2">
        <f t="shared" si="42"/>
        <v>-6799100.8946065083</v>
      </c>
      <c r="T74" s="2">
        <f t="shared" si="42"/>
        <v>-6753098.7971717147</v>
      </c>
      <c r="U74" s="2">
        <f t="shared" si="42"/>
        <v>-6705604.0014055893</v>
      </c>
      <c r="V74" s="2">
        <f t="shared" si="42"/>
        <v>-6656593.0383033827</v>
      </c>
      <c r="W74" s="2">
        <f t="shared" si="42"/>
        <v>-6606042.0083479984</v>
      </c>
      <c r="X74" s="2">
        <f t="shared" si="42"/>
        <v>-6553926.5731635131</v>
      </c>
      <c r="Y74" s="2">
        <f t="shared" si="42"/>
        <v>-6500221.9470037818</v>
      </c>
      <c r="Z74" s="2">
        <f t="shared" si="42"/>
        <v>-6444902.8880728446</v>
      </c>
      <c r="AA74" s="2">
        <f t="shared" si="42"/>
        <v>-6387943.6896737888</v>
      </c>
      <c r="AB74" s="2">
        <f t="shared" si="42"/>
        <v>-6329318.1711826548</v>
      </c>
      <c r="AC74" s="2">
        <f t="shared" si="42"/>
        <v>-6268999.6688438971</v>
      </c>
      <c r="AD74" s="2">
        <f t="shared" si="42"/>
        <v>-6206961.0263838619</v>
      </c>
      <c r="AE74" s="2">
        <f t="shared" si="42"/>
        <v>-6143592.734024873</v>
      </c>
      <c r="AF74" s="2">
        <f t="shared" si="42"/>
        <v>-6078869.8206819007</v>
      </c>
      <c r="AG74" s="2">
        <f t="shared" si="42"/>
        <v>-6012766.8174701296</v>
      </c>
      <c r="AH74" s="2">
        <f t="shared" si="42"/>
        <v>-5945257.7477505812</v>
      </c>
      <c r="AI74" s="2">
        <f t="shared" si="42"/>
        <v>-5876316.116976657</v>
      </c>
      <c r="AJ74" s="2">
        <f t="shared" si="42"/>
        <v>-5805914.9023376089</v>
      </c>
      <c r="AK74" s="2">
        <f t="shared" si="42"/>
        <v>-5734026.5421948843</v>
      </c>
      <c r="AL74" s="2">
        <f t="shared" si="42"/>
        <v>-5660622.9253071994</v>
      </c>
      <c r="AM74" s="2">
        <f t="shared" si="42"/>
        <v>-5585675.3798401132</v>
      </c>
      <c r="AN74" s="2">
        <f t="shared" si="42"/>
        <v>-5509154.6621557958</v>
      </c>
      <c r="AO74" s="2">
        <f t="shared" si="42"/>
        <v>-5431030.945378595</v>
      </c>
      <c r="AP74" s="2">
        <f t="shared" si="42"/>
        <v>-5351273.8077319134</v>
      </c>
    </row>
    <row r="75" spans="1:42" ht="12.75" customHeight="1" x14ac:dyDescent="0.15">
      <c r="A75" s="1"/>
      <c r="B75" s="1"/>
      <c r="C75" s="2"/>
      <c r="D75" s="1"/>
      <c r="E75" s="1"/>
      <c r="F75" s="1" t="s">
        <v>76</v>
      </c>
      <c r="G75" s="1"/>
      <c r="H75" s="1" t="str">
        <f t="shared" ref="H75:AP75" si="43">IF(H74&gt;0,H4,"")</f>
        <v/>
      </c>
      <c r="I75" s="1" t="str">
        <f t="shared" si="43"/>
        <v/>
      </c>
      <c r="J75" s="1" t="str">
        <f t="shared" si="43"/>
        <v/>
      </c>
      <c r="K75" s="1" t="str">
        <f t="shared" si="43"/>
        <v/>
      </c>
      <c r="L75" s="1" t="str">
        <f t="shared" si="43"/>
        <v/>
      </c>
      <c r="M75" s="1" t="str">
        <f t="shared" si="43"/>
        <v/>
      </c>
      <c r="N75" s="1" t="str">
        <f t="shared" si="43"/>
        <v/>
      </c>
      <c r="O75" s="1" t="str">
        <f t="shared" si="43"/>
        <v/>
      </c>
      <c r="P75" s="1" t="str">
        <f t="shared" si="43"/>
        <v/>
      </c>
      <c r="Q75" s="1" t="str">
        <f t="shared" si="43"/>
        <v/>
      </c>
      <c r="R75" s="1" t="str">
        <f t="shared" si="43"/>
        <v/>
      </c>
      <c r="S75" s="1" t="str">
        <f t="shared" si="43"/>
        <v/>
      </c>
      <c r="T75" s="1" t="str">
        <f t="shared" si="43"/>
        <v/>
      </c>
      <c r="U75" s="1" t="str">
        <f t="shared" si="43"/>
        <v/>
      </c>
      <c r="V75" s="1" t="str">
        <f t="shared" si="43"/>
        <v/>
      </c>
      <c r="W75" s="1" t="str">
        <f t="shared" si="43"/>
        <v/>
      </c>
      <c r="X75" s="1" t="str">
        <f t="shared" si="43"/>
        <v/>
      </c>
      <c r="Y75" s="1" t="str">
        <f t="shared" si="43"/>
        <v/>
      </c>
      <c r="Z75" s="1" t="str">
        <f t="shared" si="43"/>
        <v/>
      </c>
      <c r="AA75" s="1" t="str">
        <f t="shared" si="43"/>
        <v/>
      </c>
      <c r="AB75" s="1" t="str">
        <f t="shared" si="43"/>
        <v/>
      </c>
      <c r="AC75" s="1" t="str">
        <f t="shared" si="43"/>
        <v/>
      </c>
      <c r="AD75" s="1" t="str">
        <f t="shared" si="43"/>
        <v/>
      </c>
      <c r="AE75" s="1" t="str">
        <f t="shared" si="43"/>
        <v/>
      </c>
      <c r="AF75" s="1" t="str">
        <f t="shared" si="43"/>
        <v/>
      </c>
      <c r="AG75" s="1" t="str">
        <f t="shared" si="43"/>
        <v/>
      </c>
      <c r="AH75" s="1" t="str">
        <f t="shared" si="43"/>
        <v/>
      </c>
      <c r="AI75" s="1" t="str">
        <f t="shared" si="43"/>
        <v/>
      </c>
      <c r="AJ75" s="1" t="str">
        <f t="shared" si="43"/>
        <v/>
      </c>
      <c r="AK75" s="1" t="str">
        <f t="shared" si="43"/>
        <v/>
      </c>
      <c r="AL75" s="1" t="str">
        <f t="shared" si="43"/>
        <v/>
      </c>
      <c r="AM75" s="1" t="str">
        <f t="shared" si="43"/>
        <v/>
      </c>
      <c r="AN75" s="1" t="str">
        <f t="shared" si="43"/>
        <v/>
      </c>
      <c r="AO75" s="1" t="str">
        <f t="shared" si="43"/>
        <v/>
      </c>
      <c r="AP75" s="1" t="str">
        <f t="shared" si="43"/>
        <v/>
      </c>
    </row>
    <row r="76" spans="1:42" ht="12.75" customHeight="1" x14ac:dyDescent="0.1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2.75" customHeight="1" x14ac:dyDescent="0.1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2.75" customHeight="1" x14ac:dyDescent="0.1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2.75" customHeight="1" x14ac:dyDescent="0.1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2.75" customHeight="1" x14ac:dyDescent="0.1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2.75" customHeight="1" x14ac:dyDescent="0.1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2.75" customHeight="1" x14ac:dyDescent="0.1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2.75" customHeight="1" x14ac:dyDescent="0.1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2.75" customHeight="1" x14ac:dyDescent="0.1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2.75" customHeight="1" x14ac:dyDescent="0.1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2.75" customHeight="1" x14ac:dyDescent="0.1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2.75" customHeight="1" x14ac:dyDescent="0.1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2.75" customHeight="1" x14ac:dyDescent="0.1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2.75" customHeight="1" x14ac:dyDescent="0.1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2.75" customHeight="1" x14ac:dyDescent="0.1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2.75" customHeight="1" x14ac:dyDescent="0.1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2.75" customHeight="1" x14ac:dyDescent="0.1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2.75" customHeight="1" x14ac:dyDescent="0.1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2.75" customHeight="1" x14ac:dyDescent="0.1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2.75" customHeight="1" x14ac:dyDescent="0.1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2.75" customHeight="1" x14ac:dyDescent="0.1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2.75" customHeight="1" x14ac:dyDescent="0.1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2.75" customHeight="1" x14ac:dyDescent="0.1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2.75" customHeight="1" x14ac:dyDescent="0.1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2.75" customHeight="1" x14ac:dyDescent="0.1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2.75" customHeight="1" x14ac:dyDescent="0.1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2.75" customHeight="1" x14ac:dyDescent="0.1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2.75" customHeight="1" x14ac:dyDescent="0.1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2.75" customHeight="1" x14ac:dyDescent="0.1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2.75" customHeight="1" x14ac:dyDescent="0.1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2.75" customHeight="1" x14ac:dyDescent="0.1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2.75" customHeight="1" x14ac:dyDescent="0.1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2.75" customHeight="1" x14ac:dyDescent="0.1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2.75" customHeight="1" x14ac:dyDescent="0.1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2.75" customHeight="1" x14ac:dyDescent="0.1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2.75" customHeight="1" x14ac:dyDescent="0.1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2.75" customHeight="1" x14ac:dyDescent="0.1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2.75" customHeight="1" x14ac:dyDescent="0.1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2.75" customHeight="1" x14ac:dyDescent="0.1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2.75" customHeight="1" x14ac:dyDescent="0.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2.75" customHeight="1" x14ac:dyDescent="0.1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2.75" customHeight="1" x14ac:dyDescent="0.1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2.75" customHeight="1" x14ac:dyDescent="0.1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2.75" customHeight="1" x14ac:dyDescent="0.1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2.75" customHeight="1" x14ac:dyDescent="0.1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2.75" customHeight="1" x14ac:dyDescent="0.1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2.75" customHeight="1" x14ac:dyDescent="0.1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2.75" customHeight="1" x14ac:dyDescent="0.1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2.75" customHeight="1" x14ac:dyDescent="0.1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2.75" customHeight="1" x14ac:dyDescent="0.1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2.75" customHeight="1" x14ac:dyDescent="0.1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2.75" customHeight="1" x14ac:dyDescent="0.1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2.75" customHeight="1" x14ac:dyDescent="0.1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2.75" customHeight="1" x14ac:dyDescent="0.1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2.75" customHeight="1" x14ac:dyDescent="0.1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2.75" customHeight="1" x14ac:dyDescent="0.1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2.75" customHeight="1" x14ac:dyDescent="0.1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2.75" customHeight="1" x14ac:dyDescent="0.1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2.75" customHeight="1" x14ac:dyDescent="0.1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2.75" customHeight="1" x14ac:dyDescent="0.1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2.75" customHeight="1" x14ac:dyDescent="0.1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2.75" customHeight="1" x14ac:dyDescent="0.1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2.75" customHeight="1" x14ac:dyDescent="0.1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2.75" customHeight="1" x14ac:dyDescent="0.1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2.75" customHeight="1" x14ac:dyDescent="0.1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2.75" customHeight="1" x14ac:dyDescent="0.1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2.75" customHeight="1" x14ac:dyDescent="0.1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2.75" customHeight="1" x14ac:dyDescent="0.1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2.75" customHeight="1" x14ac:dyDescent="0.1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2.75" customHeight="1" x14ac:dyDescent="0.1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2.75" customHeight="1" x14ac:dyDescent="0.1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2.75" customHeight="1" x14ac:dyDescent="0.1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2.75" customHeight="1" x14ac:dyDescent="0.1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2.75" customHeight="1" x14ac:dyDescent="0.1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2.75" customHeight="1" x14ac:dyDescent="0.1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2.75" customHeight="1" x14ac:dyDescent="0.15">
      <c r="A151" s="1"/>
      <c r="B151" s="6"/>
      <c r="C151" s="6"/>
      <c r="D151" s="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2.75" customHeight="1" x14ac:dyDescent="0.15">
      <c r="A152" s="1"/>
      <c r="B152" s="6"/>
      <c r="C152" s="6"/>
      <c r="D152" s="6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2.75" customHeight="1" x14ac:dyDescent="0.15">
      <c r="A153" s="1"/>
      <c r="B153" s="6"/>
      <c r="C153" s="6"/>
      <c r="D153" s="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2.75" customHeight="1" x14ac:dyDescent="0.15">
      <c r="A154" s="1"/>
      <c r="B154" s="6"/>
      <c r="C154" s="6"/>
      <c r="D154" s="6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2.75" customHeight="1" x14ac:dyDescent="0.15">
      <c r="A155" s="1"/>
      <c r="B155" s="6"/>
      <c r="C155" s="6"/>
      <c r="D155" s="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2.75" customHeight="1" x14ac:dyDescent="0.15">
      <c r="A156" s="1"/>
      <c r="B156" s="6"/>
      <c r="C156" s="6"/>
      <c r="D156" s="6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2.75" customHeight="1" x14ac:dyDescent="0.15">
      <c r="A157" s="1"/>
      <c r="B157" s="6"/>
      <c r="C157" s="6"/>
      <c r="D157" s="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2.75" customHeight="1" x14ac:dyDescent="0.15">
      <c r="A158" s="1"/>
      <c r="B158" s="6"/>
      <c r="C158" s="6"/>
      <c r="D158" s="6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2.75" customHeight="1" x14ac:dyDescent="0.15">
      <c r="A159" s="1"/>
      <c r="B159" s="6"/>
      <c r="C159" s="6"/>
      <c r="D159" s="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2.75" customHeight="1" x14ac:dyDescent="0.15">
      <c r="A160" s="1"/>
      <c r="B160" s="6"/>
      <c r="C160" s="6"/>
      <c r="D160" s="6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2.75" customHeight="1" x14ac:dyDescent="0.1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2.75" customHeight="1" x14ac:dyDescent="0.1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2.75" customHeight="1" x14ac:dyDescent="0.1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2.75" customHeight="1" x14ac:dyDescent="0.1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2.75" customHeight="1" x14ac:dyDescent="0.1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2.75" customHeight="1" x14ac:dyDescent="0.1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2.75" customHeight="1" x14ac:dyDescent="0.1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2.75" customHeight="1" x14ac:dyDescent="0.1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2.75" customHeight="1" x14ac:dyDescent="0.1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2.75" customHeight="1" x14ac:dyDescent="0.1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2.75" customHeight="1" x14ac:dyDescent="0.1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2.75" customHeight="1" x14ac:dyDescent="0.1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2.75" customHeight="1" x14ac:dyDescent="0.1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2.75" customHeight="1" x14ac:dyDescent="0.1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2.75" customHeight="1" x14ac:dyDescent="0.1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2.75" customHeight="1" x14ac:dyDescent="0.1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2.75" customHeight="1" x14ac:dyDescent="0.1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2.75" customHeight="1" x14ac:dyDescent="0.1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2.75" customHeight="1" x14ac:dyDescent="0.1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2.75" customHeight="1" x14ac:dyDescent="0.1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2.75" customHeight="1" x14ac:dyDescent="0.1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2.75" customHeight="1" x14ac:dyDescent="0.1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2.75" customHeight="1" x14ac:dyDescent="0.1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2.75" customHeight="1" x14ac:dyDescent="0.1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2.75" customHeight="1" x14ac:dyDescent="0.1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2.75" customHeight="1" x14ac:dyDescent="0.1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2.75" customHeight="1" x14ac:dyDescent="0.1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2.75" customHeight="1" x14ac:dyDescent="0.1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2.75" customHeight="1" x14ac:dyDescent="0.1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2.75" customHeight="1" x14ac:dyDescent="0.1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2.75" customHeight="1" x14ac:dyDescent="0.1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2.75" customHeight="1" x14ac:dyDescent="0.1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2.75" customHeight="1" x14ac:dyDescent="0.1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2.75" customHeight="1" x14ac:dyDescent="0.1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2.75" customHeight="1" x14ac:dyDescent="0.1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2.75" customHeight="1" x14ac:dyDescent="0.1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2.75" customHeight="1" x14ac:dyDescent="0.1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2.75" customHeight="1" x14ac:dyDescent="0.1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2.75" customHeight="1" x14ac:dyDescent="0.1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2.75" customHeight="1" x14ac:dyDescent="0.1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2.75" customHeight="1" x14ac:dyDescent="0.1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2.75" customHeight="1" x14ac:dyDescent="0.1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2.75" customHeight="1" x14ac:dyDescent="0.1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2.75" customHeight="1" x14ac:dyDescent="0.1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2.75" customHeight="1" x14ac:dyDescent="0.1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2.75" customHeight="1" x14ac:dyDescent="0.1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2.75" customHeight="1" x14ac:dyDescent="0.1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2.75" customHeight="1" x14ac:dyDescent="0.1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2.75" customHeight="1" x14ac:dyDescent="0.1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2.75" customHeight="1" x14ac:dyDescent="0.1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2.75" customHeight="1" x14ac:dyDescent="0.1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2.75" customHeight="1" x14ac:dyDescent="0.1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2.75" customHeight="1" x14ac:dyDescent="0.1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2.75" customHeight="1" x14ac:dyDescent="0.1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2.75" customHeight="1" x14ac:dyDescent="0.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2.75" customHeight="1" x14ac:dyDescent="0.1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2.75" customHeight="1" x14ac:dyDescent="0.1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2.75" customHeight="1" x14ac:dyDescent="0.1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2.75" customHeight="1" x14ac:dyDescent="0.1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2.75" customHeight="1" x14ac:dyDescent="0.1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2.75" customHeight="1" x14ac:dyDescent="0.1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2.75" customHeight="1" x14ac:dyDescent="0.1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2.75" customHeight="1" x14ac:dyDescent="0.1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2.75" customHeight="1" x14ac:dyDescent="0.1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2.75" customHeight="1" x14ac:dyDescent="0.1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2.75" customHeight="1" x14ac:dyDescent="0.1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2.75" customHeight="1" x14ac:dyDescent="0.1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2.75" customHeight="1" x14ac:dyDescent="0.1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2.75" customHeight="1" x14ac:dyDescent="0.1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2.75" customHeight="1" x14ac:dyDescent="0.1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2.75" customHeight="1" x14ac:dyDescent="0.1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2.75" customHeight="1" x14ac:dyDescent="0.1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2.75" customHeight="1" x14ac:dyDescent="0.1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2.75" customHeight="1" x14ac:dyDescent="0.1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2.75" customHeight="1" x14ac:dyDescent="0.1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2.75" customHeight="1" x14ac:dyDescent="0.1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2.75" customHeight="1" x14ac:dyDescent="0.1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2.75" customHeight="1" x14ac:dyDescent="0.1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2.75" customHeight="1" x14ac:dyDescent="0.1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2.75" customHeight="1" x14ac:dyDescent="0.1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2.75" customHeight="1" x14ac:dyDescent="0.1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2.75" customHeight="1" x14ac:dyDescent="0.1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2.75" customHeight="1" x14ac:dyDescent="0.1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2.75" customHeight="1" x14ac:dyDescent="0.1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2.75" customHeight="1" x14ac:dyDescent="0.1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2.75" customHeight="1" x14ac:dyDescent="0.1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2.75" customHeight="1" x14ac:dyDescent="0.1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2.75" customHeight="1" x14ac:dyDescent="0.1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2.75" customHeight="1" x14ac:dyDescent="0.1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2.75" customHeight="1" x14ac:dyDescent="0.1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2.75" customHeight="1" x14ac:dyDescent="0.1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2.75" customHeight="1" x14ac:dyDescent="0.1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2.75" customHeight="1" x14ac:dyDescent="0.1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2.75" customHeight="1" x14ac:dyDescent="0.1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2.75" customHeight="1" x14ac:dyDescent="0.1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2.75" customHeight="1" x14ac:dyDescent="0.1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2.75" customHeight="1" x14ac:dyDescent="0.1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2.75" customHeight="1" x14ac:dyDescent="0.1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2.75" customHeight="1" x14ac:dyDescent="0.1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2.75" customHeight="1" x14ac:dyDescent="0.1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2.75" customHeight="1" x14ac:dyDescent="0.1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2.75" customHeight="1" x14ac:dyDescent="0.1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2.75" customHeight="1" x14ac:dyDescent="0.1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2.75" customHeight="1" x14ac:dyDescent="0.1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2.75" customHeight="1" x14ac:dyDescent="0.1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2.75" customHeight="1" x14ac:dyDescent="0.1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2.75" customHeight="1" x14ac:dyDescent="0.1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2.75" customHeight="1" x14ac:dyDescent="0.1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2.75" customHeight="1" x14ac:dyDescent="0.1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2.75" customHeight="1" x14ac:dyDescent="0.1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2.75" customHeight="1" x14ac:dyDescent="0.1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2.75" customHeight="1" x14ac:dyDescent="0.1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2.75" customHeight="1" x14ac:dyDescent="0.1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2.75" customHeight="1" x14ac:dyDescent="0.1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2.75" customHeight="1" x14ac:dyDescent="0.1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2.75" customHeight="1" x14ac:dyDescent="0.1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2.75" customHeight="1" x14ac:dyDescent="0.1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2.75" customHeight="1" x14ac:dyDescent="0.1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2.75" customHeight="1" x14ac:dyDescent="0.1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2.75" customHeight="1" x14ac:dyDescent="0.1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2.75" customHeight="1" x14ac:dyDescent="0.1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2.75" customHeight="1" x14ac:dyDescent="0.1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2.75" customHeight="1" x14ac:dyDescent="0.1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2.75" customHeight="1" x14ac:dyDescent="0.1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2.75" customHeight="1" x14ac:dyDescent="0.1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2.75" customHeight="1" x14ac:dyDescent="0.1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2.75" customHeight="1" x14ac:dyDescent="0.1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2.75" customHeight="1" x14ac:dyDescent="0.1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2.75" customHeight="1" x14ac:dyDescent="0.1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2.75" customHeight="1" x14ac:dyDescent="0.1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2.75" customHeight="1" x14ac:dyDescent="0.1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2.75" customHeight="1" x14ac:dyDescent="0.1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2.75" customHeight="1" x14ac:dyDescent="0.1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2.75" customHeight="1" x14ac:dyDescent="0.1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2.75" customHeight="1" x14ac:dyDescent="0.1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2.75" customHeight="1" x14ac:dyDescent="0.1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2.75" customHeight="1" x14ac:dyDescent="0.1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2.75" customHeight="1" x14ac:dyDescent="0.1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2.75" customHeight="1" x14ac:dyDescent="0.1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2.75" customHeight="1" x14ac:dyDescent="0.1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2.75" customHeight="1" x14ac:dyDescent="0.1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2.75" customHeight="1" x14ac:dyDescent="0.1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2.75" customHeight="1" x14ac:dyDescent="0.1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2.75" customHeight="1" x14ac:dyDescent="0.1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2.75" customHeight="1" x14ac:dyDescent="0.1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2.75" customHeight="1" x14ac:dyDescent="0.1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2.75" customHeight="1" x14ac:dyDescent="0.1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2.75" customHeight="1" x14ac:dyDescent="0.1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2.75" customHeight="1" x14ac:dyDescent="0.1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2.75" customHeight="1" x14ac:dyDescent="0.1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2.75" customHeight="1" x14ac:dyDescent="0.1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2.75" customHeight="1" x14ac:dyDescent="0.1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2.75" customHeight="1" x14ac:dyDescent="0.1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2.75" customHeight="1" x14ac:dyDescent="0.1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2.75" customHeight="1" x14ac:dyDescent="0.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2.75" customHeight="1" x14ac:dyDescent="0.1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2.75" customHeight="1" x14ac:dyDescent="0.1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2.75" customHeight="1" x14ac:dyDescent="0.1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2.75" customHeight="1" x14ac:dyDescent="0.1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2.75" customHeight="1" x14ac:dyDescent="0.1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2.75" customHeight="1" x14ac:dyDescent="0.1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2.75" customHeight="1" x14ac:dyDescent="0.1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2.75" customHeight="1" x14ac:dyDescent="0.1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2.75" customHeight="1" x14ac:dyDescent="0.1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2.75" customHeight="1" x14ac:dyDescent="0.1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2.75" customHeight="1" x14ac:dyDescent="0.1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2.75" customHeight="1" x14ac:dyDescent="0.1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2.75" customHeight="1" x14ac:dyDescent="0.1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2.75" customHeight="1" x14ac:dyDescent="0.1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2.75" customHeight="1" x14ac:dyDescent="0.1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2.75" customHeight="1" x14ac:dyDescent="0.1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2.75" customHeight="1" x14ac:dyDescent="0.1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2.75" customHeight="1" x14ac:dyDescent="0.1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2.75" customHeight="1" x14ac:dyDescent="0.1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2.75" customHeight="1" x14ac:dyDescent="0.1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2.75" customHeight="1" x14ac:dyDescent="0.1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2.75" customHeight="1" x14ac:dyDescent="0.1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2.75" customHeight="1" x14ac:dyDescent="0.1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2.75" customHeight="1" x14ac:dyDescent="0.1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2.75" customHeight="1" x14ac:dyDescent="0.1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2.75" customHeight="1" x14ac:dyDescent="0.1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2.75" customHeight="1" x14ac:dyDescent="0.1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2.75" customHeight="1" x14ac:dyDescent="0.1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2.75" customHeight="1" x14ac:dyDescent="0.1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2.75" customHeight="1" x14ac:dyDescent="0.1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2.75" customHeight="1" x14ac:dyDescent="0.1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2.75" customHeight="1" x14ac:dyDescent="0.1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2.75" customHeight="1" x14ac:dyDescent="0.1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2.75" customHeight="1" x14ac:dyDescent="0.1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2.75" customHeight="1" x14ac:dyDescent="0.1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2.75" customHeight="1" x14ac:dyDescent="0.1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2.75" customHeight="1" x14ac:dyDescent="0.1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2.75" customHeight="1" x14ac:dyDescent="0.1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2.75" customHeight="1" x14ac:dyDescent="0.1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2.75" customHeight="1" x14ac:dyDescent="0.1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2.75" customHeight="1" x14ac:dyDescent="0.1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2.75" customHeight="1" x14ac:dyDescent="0.1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2.75" customHeight="1" x14ac:dyDescent="0.1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2.75" customHeight="1" x14ac:dyDescent="0.1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2.75" customHeight="1" x14ac:dyDescent="0.1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2.75" customHeight="1" x14ac:dyDescent="0.1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2.75" customHeight="1" x14ac:dyDescent="0.1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2.75" customHeight="1" x14ac:dyDescent="0.1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2.75" customHeight="1" x14ac:dyDescent="0.1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2.75" customHeight="1" x14ac:dyDescent="0.1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2.75" customHeight="1" x14ac:dyDescent="0.1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2.75" customHeight="1" x14ac:dyDescent="0.1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2.75" customHeight="1" x14ac:dyDescent="0.1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2.75" customHeight="1" x14ac:dyDescent="0.1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2.75" customHeight="1" x14ac:dyDescent="0.1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2.75" customHeight="1" x14ac:dyDescent="0.1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2.75" customHeight="1" x14ac:dyDescent="0.1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2.75" customHeight="1" x14ac:dyDescent="0.1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2.75" customHeight="1" x14ac:dyDescent="0.1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2.75" customHeight="1" x14ac:dyDescent="0.1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2.75" customHeight="1" x14ac:dyDescent="0.1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2.75" customHeight="1" x14ac:dyDescent="0.1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2.75" customHeight="1" x14ac:dyDescent="0.1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2.75" customHeight="1" x14ac:dyDescent="0.1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2.75" customHeight="1" x14ac:dyDescent="0.1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2.75" customHeight="1" x14ac:dyDescent="0.1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2.75" customHeight="1" x14ac:dyDescent="0.1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2.75" customHeight="1" x14ac:dyDescent="0.1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2.75" customHeight="1" x14ac:dyDescent="0.1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2.75" customHeight="1" x14ac:dyDescent="0.1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2.75" customHeight="1" x14ac:dyDescent="0.1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2.75" customHeight="1" x14ac:dyDescent="0.1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2.75" customHeight="1" x14ac:dyDescent="0.1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2.75" customHeight="1" x14ac:dyDescent="0.1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2.75" customHeight="1" x14ac:dyDescent="0.1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2.75" customHeight="1" x14ac:dyDescent="0.1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2.75" customHeight="1" x14ac:dyDescent="0.1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2.75" customHeight="1" x14ac:dyDescent="0.1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2.75" customHeight="1" x14ac:dyDescent="0.1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2.75" customHeight="1" x14ac:dyDescent="0.1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2.75" customHeight="1" x14ac:dyDescent="0.1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2.75" customHeight="1" x14ac:dyDescent="0.1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2.75" customHeight="1" x14ac:dyDescent="0.1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2.75" customHeight="1" x14ac:dyDescent="0.1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2.75" customHeight="1" x14ac:dyDescent="0.1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2.75" customHeight="1" x14ac:dyDescent="0.1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2.75" customHeight="1" x14ac:dyDescent="0.1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2.75" customHeight="1" x14ac:dyDescent="0.1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2.75" customHeight="1" x14ac:dyDescent="0.1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2.75" customHeight="1" x14ac:dyDescent="0.1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2.75" customHeight="1" x14ac:dyDescent="0.1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2.75" customHeight="1" x14ac:dyDescent="0.1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2.75" customHeight="1" x14ac:dyDescent="0.1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2.75" customHeight="1" x14ac:dyDescent="0.1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2.75" customHeight="1" x14ac:dyDescent="0.1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2.75" customHeight="1" x14ac:dyDescent="0.1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2.75" customHeight="1" x14ac:dyDescent="0.1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2.75" customHeight="1" x14ac:dyDescent="0.1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2.75" customHeight="1" x14ac:dyDescent="0.1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2.75" customHeight="1" x14ac:dyDescent="0.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2.75" customHeight="1" x14ac:dyDescent="0.1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2.75" customHeight="1" x14ac:dyDescent="0.1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2.75" customHeight="1" x14ac:dyDescent="0.1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2.75" customHeight="1" x14ac:dyDescent="0.1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2.75" customHeight="1" x14ac:dyDescent="0.1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2.75" customHeight="1" x14ac:dyDescent="0.1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2.75" customHeight="1" x14ac:dyDescent="0.1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2.75" customHeight="1" x14ac:dyDescent="0.1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2.75" customHeight="1" x14ac:dyDescent="0.1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2.75" customHeight="1" x14ac:dyDescent="0.1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2.75" customHeight="1" x14ac:dyDescent="0.1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2.75" customHeight="1" x14ac:dyDescent="0.1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2.75" customHeight="1" x14ac:dyDescent="0.1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2.75" customHeight="1" x14ac:dyDescent="0.1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2.75" customHeight="1" x14ac:dyDescent="0.1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2.75" customHeight="1" x14ac:dyDescent="0.1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2.75" customHeight="1" x14ac:dyDescent="0.1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2.75" customHeight="1" x14ac:dyDescent="0.1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2.75" customHeight="1" x14ac:dyDescent="0.1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2.75" customHeight="1" x14ac:dyDescent="0.1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2.75" customHeight="1" x14ac:dyDescent="0.1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2.75" customHeight="1" x14ac:dyDescent="0.1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2.75" customHeight="1" x14ac:dyDescent="0.1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2.75" customHeight="1" x14ac:dyDescent="0.1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2.75" customHeight="1" x14ac:dyDescent="0.1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2.75" customHeight="1" x14ac:dyDescent="0.1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2.75" customHeight="1" x14ac:dyDescent="0.1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2.75" customHeight="1" x14ac:dyDescent="0.1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2.75" customHeight="1" x14ac:dyDescent="0.1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2.75" customHeight="1" x14ac:dyDescent="0.1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2.75" customHeight="1" x14ac:dyDescent="0.1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2.75" customHeight="1" x14ac:dyDescent="0.1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2.75" customHeight="1" x14ac:dyDescent="0.1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2.75" customHeight="1" x14ac:dyDescent="0.1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2.75" customHeight="1" x14ac:dyDescent="0.1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2.75" customHeight="1" x14ac:dyDescent="0.1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2.75" customHeight="1" x14ac:dyDescent="0.1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2.75" customHeight="1" x14ac:dyDescent="0.1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2.75" customHeight="1" x14ac:dyDescent="0.1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2.75" customHeight="1" x14ac:dyDescent="0.1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2.75" customHeight="1" x14ac:dyDescent="0.1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2.75" customHeight="1" x14ac:dyDescent="0.1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2.75" customHeight="1" x14ac:dyDescent="0.1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2.75" customHeight="1" x14ac:dyDescent="0.1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2.75" customHeight="1" x14ac:dyDescent="0.1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2.75" customHeight="1" x14ac:dyDescent="0.1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2.75" customHeight="1" x14ac:dyDescent="0.1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2.75" customHeight="1" x14ac:dyDescent="0.1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2.75" customHeight="1" x14ac:dyDescent="0.1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2.75" customHeight="1" x14ac:dyDescent="0.1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2.75" customHeight="1" x14ac:dyDescent="0.1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2.75" customHeight="1" x14ac:dyDescent="0.1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2.75" customHeight="1" x14ac:dyDescent="0.1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2.75" customHeight="1" x14ac:dyDescent="0.1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2.75" customHeight="1" x14ac:dyDescent="0.1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2.75" customHeight="1" x14ac:dyDescent="0.1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2.75" customHeight="1" x14ac:dyDescent="0.1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2.75" customHeight="1" x14ac:dyDescent="0.1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2.75" customHeight="1" x14ac:dyDescent="0.1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2.75" customHeight="1" x14ac:dyDescent="0.1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2.75" customHeight="1" x14ac:dyDescent="0.1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2.75" customHeight="1" x14ac:dyDescent="0.1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2.75" customHeight="1" x14ac:dyDescent="0.1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2.75" customHeight="1" x14ac:dyDescent="0.1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2.75" customHeight="1" x14ac:dyDescent="0.1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2.75" customHeight="1" x14ac:dyDescent="0.1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2.75" customHeight="1" x14ac:dyDescent="0.1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2.75" customHeight="1" x14ac:dyDescent="0.1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2.75" customHeight="1" x14ac:dyDescent="0.1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2.75" customHeight="1" x14ac:dyDescent="0.1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2.75" customHeight="1" x14ac:dyDescent="0.1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2.75" customHeight="1" x14ac:dyDescent="0.1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2.75" customHeight="1" x14ac:dyDescent="0.1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2.75" customHeight="1" x14ac:dyDescent="0.1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2.75" customHeight="1" x14ac:dyDescent="0.1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2.75" customHeight="1" x14ac:dyDescent="0.1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2.75" customHeight="1" x14ac:dyDescent="0.1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2.75" customHeight="1" x14ac:dyDescent="0.1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2.75" customHeight="1" x14ac:dyDescent="0.1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2.75" customHeight="1" x14ac:dyDescent="0.1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2.75" customHeight="1" x14ac:dyDescent="0.1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2.75" customHeight="1" x14ac:dyDescent="0.1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2.75" customHeight="1" x14ac:dyDescent="0.1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2.75" customHeight="1" x14ac:dyDescent="0.1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2.75" customHeight="1" x14ac:dyDescent="0.1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2.75" customHeight="1" x14ac:dyDescent="0.1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2.75" customHeight="1" x14ac:dyDescent="0.1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2.75" customHeight="1" x14ac:dyDescent="0.1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2.75" customHeight="1" x14ac:dyDescent="0.1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2.75" customHeight="1" x14ac:dyDescent="0.1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2.75" customHeight="1" x14ac:dyDescent="0.1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2.75" customHeight="1" x14ac:dyDescent="0.1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2.75" customHeight="1" x14ac:dyDescent="0.1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2.75" customHeight="1" x14ac:dyDescent="0.1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2.75" customHeight="1" x14ac:dyDescent="0.1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2.75" customHeight="1" x14ac:dyDescent="0.1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2.75" customHeight="1" x14ac:dyDescent="0.1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2.75" customHeight="1" x14ac:dyDescent="0.1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2.75" customHeight="1" x14ac:dyDescent="0.1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2.75" customHeight="1" x14ac:dyDescent="0.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2.75" customHeight="1" x14ac:dyDescent="0.1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2.75" customHeight="1" x14ac:dyDescent="0.1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2.75" customHeight="1" x14ac:dyDescent="0.1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2.75" customHeight="1" x14ac:dyDescent="0.1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2.75" customHeight="1" x14ac:dyDescent="0.1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2.75" customHeight="1" x14ac:dyDescent="0.1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2.75" customHeight="1" x14ac:dyDescent="0.1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2.75" customHeight="1" x14ac:dyDescent="0.1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2.75" customHeight="1" x14ac:dyDescent="0.1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2.75" customHeight="1" x14ac:dyDescent="0.1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2.75" customHeight="1" x14ac:dyDescent="0.1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2.75" customHeight="1" x14ac:dyDescent="0.1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2.75" customHeight="1" x14ac:dyDescent="0.1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2.75" customHeight="1" x14ac:dyDescent="0.1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2.75" customHeight="1" x14ac:dyDescent="0.1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2.75" customHeight="1" x14ac:dyDescent="0.1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2.75" customHeight="1" x14ac:dyDescent="0.1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2.75" customHeight="1" x14ac:dyDescent="0.1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2.75" customHeight="1" x14ac:dyDescent="0.1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2.75" customHeight="1" x14ac:dyDescent="0.1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2.75" customHeight="1" x14ac:dyDescent="0.1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2.75" customHeight="1" x14ac:dyDescent="0.1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2.75" customHeight="1" x14ac:dyDescent="0.1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2.75" customHeight="1" x14ac:dyDescent="0.1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2.75" customHeight="1" x14ac:dyDescent="0.1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2.75" customHeight="1" x14ac:dyDescent="0.1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2.75" customHeight="1" x14ac:dyDescent="0.1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2.75" customHeight="1" x14ac:dyDescent="0.1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2.75" customHeight="1" x14ac:dyDescent="0.1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2.75" customHeight="1" x14ac:dyDescent="0.1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2.75" customHeight="1" x14ac:dyDescent="0.1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2.75" customHeight="1" x14ac:dyDescent="0.1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2.75" customHeight="1" x14ac:dyDescent="0.1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2.75" customHeight="1" x14ac:dyDescent="0.1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2.75" customHeight="1" x14ac:dyDescent="0.1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2.75" customHeight="1" x14ac:dyDescent="0.1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2.75" customHeight="1" x14ac:dyDescent="0.1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2.75" customHeight="1" x14ac:dyDescent="0.1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2.75" customHeight="1" x14ac:dyDescent="0.1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2.75" customHeight="1" x14ac:dyDescent="0.1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2.75" customHeight="1" x14ac:dyDescent="0.1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2.75" customHeight="1" x14ac:dyDescent="0.1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2.75" customHeight="1" x14ac:dyDescent="0.1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2.75" customHeight="1" x14ac:dyDescent="0.1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2.75" customHeight="1" x14ac:dyDescent="0.1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2.75" customHeight="1" x14ac:dyDescent="0.1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2.75" customHeight="1" x14ac:dyDescent="0.1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2.75" customHeight="1" x14ac:dyDescent="0.1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2.75" customHeight="1" x14ac:dyDescent="0.1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2.75" customHeight="1" x14ac:dyDescent="0.1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2.75" customHeight="1" x14ac:dyDescent="0.1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2.75" customHeight="1" x14ac:dyDescent="0.1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2.75" customHeight="1" x14ac:dyDescent="0.1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2.75" customHeight="1" x14ac:dyDescent="0.1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2.75" customHeight="1" x14ac:dyDescent="0.1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2.75" customHeight="1" x14ac:dyDescent="0.1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2.75" customHeight="1" x14ac:dyDescent="0.1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2.75" customHeight="1" x14ac:dyDescent="0.1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2.75" customHeight="1" x14ac:dyDescent="0.1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2.75" customHeight="1" x14ac:dyDescent="0.1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2.75" customHeight="1" x14ac:dyDescent="0.1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2.75" customHeight="1" x14ac:dyDescent="0.1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2.75" customHeight="1" x14ac:dyDescent="0.1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2.75" customHeight="1" x14ac:dyDescent="0.1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2.75" customHeight="1" x14ac:dyDescent="0.1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2.75" customHeight="1" x14ac:dyDescent="0.1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2.75" customHeight="1" x14ac:dyDescent="0.1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2.75" customHeight="1" x14ac:dyDescent="0.1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2.75" customHeight="1" x14ac:dyDescent="0.1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2.75" customHeight="1" x14ac:dyDescent="0.1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2.75" customHeight="1" x14ac:dyDescent="0.1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2.75" customHeight="1" x14ac:dyDescent="0.1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2.75" customHeight="1" x14ac:dyDescent="0.1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2.75" customHeight="1" x14ac:dyDescent="0.1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2.75" customHeight="1" x14ac:dyDescent="0.1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2.75" customHeight="1" x14ac:dyDescent="0.1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2.75" customHeight="1" x14ac:dyDescent="0.1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2.75" customHeight="1" x14ac:dyDescent="0.1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2.75" customHeight="1" x14ac:dyDescent="0.1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2.75" customHeight="1" x14ac:dyDescent="0.1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2.75" customHeight="1" x14ac:dyDescent="0.1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2.75" customHeight="1" x14ac:dyDescent="0.1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2.75" customHeight="1" x14ac:dyDescent="0.1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2.75" customHeight="1" x14ac:dyDescent="0.1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2.75" customHeight="1" x14ac:dyDescent="0.1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2.75" customHeight="1" x14ac:dyDescent="0.1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2.75" customHeight="1" x14ac:dyDescent="0.1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2.75" customHeight="1" x14ac:dyDescent="0.1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2.75" customHeight="1" x14ac:dyDescent="0.1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2.75" customHeight="1" x14ac:dyDescent="0.1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2.75" customHeight="1" x14ac:dyDescent="0.1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2.75" customHeight="1" x14ac:dyDescent="0.1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2.75" customHeight="1" x14ac:dyDescent="0.1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2.75" customHeight="1" x14ac:dyDescent="0.1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2.75" customHeight="1" x14ac:dyDescent="0.1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2.75" customHeight="1" x14ac:dyDescent="0.1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2.75" customHeight="1" x14ac:dyDescent="0.1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2.75" customHeight="1" x14ac:dyDescent="0.1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2.75" customHeight="1" x14ac:dyDescent="0.1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2.75" customHeight="1" x14ac:dyDescent="0.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2.75" customHeight="1" x14ac:dyDescent="0.1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2.75" customHeight="1" x14ac:dyDescent="0.1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2.75" customHeight="1" x14ac:dyDescent="0.1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2.75" customHeight="1" x14ac:dyDescent="0.1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2.75" customHeight="1" x14ac:dyDescent="0.1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2.75" customHeight="1" x14ac:dyDescent="0.1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2.75" customHeight="1" x14ac:dyDescent="0.1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2.75" customHeight="1" x14ac:dyDescent="0.1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2.75" customHeight="1" x14ac:dyDescent="0.1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2.75" customHeight="1" x14ac:dyDescent="0.1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2.75" customHeight="1" x14ac:dyDescent="0.1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2.75" customHeight="1" x14ac:dyDescent="0.1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2.75" customHeight="1" x14ac:dyDescent="0.1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2.75" customHeight="1" x14ac:dyDescent="0.1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2.75" customHeight="1" x14ac:dyDescent="0.1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2.75" customHeight="1" x14ac:dyDescent="0.1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2.75" customHeight="1" x14ac:dyDescent="0.1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2.75" customHeight="1" x14ac:dyDescent="0.1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2.75" customHeight="1" x14ac:dyDescent="0.1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2.75" customHeight="1" x14ac:dyDescent="0.1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2.75" customHeight="1" x14ac:dyDescent="0.1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2.75" customHeight="1" x14ac:dyDescent="0.1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2.75" customHeight="1" x14ac:dyDescent="0.1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2.75" customHeight="1" x14ac:dyDescent="0.1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2.75" customHeight="1" x14ac:dyDescent="0.1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2.75" customHeight="1" x14ac:dyDescent="0.1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2.75" customHeight="1" x14ac:dyDescent="0.1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2.75" customHeight="1" x14ac:dyDescent="0.1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2.75" customHeight="1" x14ac:dyDescent="0.1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2.75" customHeight="1" x14ac:dyDescent="0.1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2.75" customHeight="1" x14ac:dyDescent="0.1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2.75" customHeight="1" x14ac:dyDescent="0.1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2.75" customHeight="1" x14ac:dyDescent="0.1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2.75" customHeight="1" x14ac:dyDescent="0.1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2.75" customHeight="1" x14ac:dyDescent="0.1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2.75" customHeight="1" x14ac:dyDescent="0.1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2.75" customHeight="1" x14ac:dyDescent="0.1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2.75" customHeight="1" x14ac:dyDescent="0.1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2.75" customHeight="1" x14ac:dyDescent="0.1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2.75" customHeight="1" x14ac:dyDescent="0.1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2.75" customHeight="1" x14ac:dyDescent="0.1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2.75" customHeight="1" x14ac:dyDescent="0.1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2.75" customHeight="1" x14ac:dyDescent="0.1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2.75" customHeight="1" x14ac:dyDescent="0.1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2.75" customHeight="1" x14ac:dyDescent="0.1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2.75" customHeight="1" x14ac:dyDescent="0.1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2.75" customHeight="1" x14ac:dyDescent="0.1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2.75" customHeight="1" x14ac:dyDescent="0.1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2.75" customHeight="1" x14ac:dyDescent="0.1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2.75" customHeight="1" x14ac:dyDescent="0.1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2.75" customHeight="1" x14ac:dyDescent="0.1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2.75" customHeight="1" x14ac:dyDescent="0.1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2.75" customHeight="1" x14ac:dyDescent="0.1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2.75" customHeight="1" x14ac:dyDescent="0.1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2.75" customHeight="1" x14ac:dyDescent="0.1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2.75" customHeight="1" x14ac:dyDescent="0.1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2.75" customHeight="1" x14ac:dyDescent="0.1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2.75" customHeight="1" x14ac:dyDescent="0.1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2.75" customHeight="1" x14ac:dyDescent="0.1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2.75" customHeight="1" x14ac:dyDescent="0.1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2.75" customHeight="1" x14ac:dyDescent="0.1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2.75" customHeight="1" x14ac:dyDescent="0.1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2.75" customHeight="1" x14ac:dyDescent="0.1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2.75" customHeight="1" x14ac:dyDescent="0.1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2.75" customHeight="1" x14ac:dyDescent="0.1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2.75" customHeight="1" x14ac:dyDescent="0.1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2.75" customHeight="1" x14ac:dyDescent="0.1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2.75" customHeight="1" x14ac:dyDescent="0.1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2.75" customHeight="1" x14ac:dyDescent="0.1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2.75" customHeight="1" x14ac:dyDescent="0.1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2.75" customHeight="1" x14ac:dyDescent="0.1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2.75" customHeight="1" x14ac:dyDescent="0.1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2.75" customHeight="1" x14ac:dyDescent="0.1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2.75" customHeight="1" x14ac:dyDescent="0.1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2.75" customHeight="1" x14ac:dyDescent="0.1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2.75" customHeight="1" x14ac:dyDescent="0.1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2.75" customHeight="1" x14ac:dyDescent="0.1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2.75" customHeight="1" x14ac:dyDescent="0.1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2.75" customHeight="1" x14ac:dyDescent="0.1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2.75" customHeight="1" x14ac:dyDescent="0.1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2.75" customHeight="1" x14ac:dyDescent="0.1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2.75" customHeight="1" x14ac:dyDescent="0.1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2.75" customHeight="1" x14ac:dyDescent="0.1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2.75" customHeight="1" x14ac:dyDescent="0.1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2.75" customHeight="1" x14ac:dyDescent="0.1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2.75" customHeight="1" x14ac:dyDescent="0.1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2.75" customHeight="1" x14ac:dyDescent="0.1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2.75" customHeight="1" x14ac:dyDescent="0.1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2.75" customHeight="1" x14ac:dyDescent="0.1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2.75" customHeight="1" x14ac:dyDescent="0.1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2.75" customHeight="1" x14ac:dyDescent="0.1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2.75" customHeight="1" x14ac:dyDescent="0.1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2.75" customHeight="1" x14ac:dyDescent="0.1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2.75" customHeight="1" x14ac:dyDescent="0.1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2.75" customHeight="1" x14ac:dyDescent="0.1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2.75" customHeight="1" x14ac:dyDescent="0.1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2.75" customHeight="1" x14ac:dyDescent="0.1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2.75" customHeight="1" x14ac:dyDescent="0.1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2.75" customHeight="1" x14ac:dyDescent="0.1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2.75" customHeight="1" x14ac:dyDescent="0.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2.75" customHeight="1" x14ac:dyDescent="0.1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2.75" customHeight="1" x14ac:dyDescent="0.1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2.75" customHeight="1" x14ac:dyDescent="0.1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2.75" customHeight="1" x14ac:dyDescent="0.1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2.75" customHeight="1" x14ac:dyDescent="0.1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2.75" customHeight="1" x14ac:dyDescent="0.1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2.75" customHeight="1" x14ac:dyDescent="0.1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2.75" customHeight="1" x14ac:dyDescent="0.1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2.75" customHeight="1" x14ac:dyDescent="0.1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2.75" customHeight="1" x14ac:dyDescent="0.1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2.75" customHeight="1" x14ac:dyDescent="0.1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2.75" customHeight="1" x14ac:dyDescent="0.1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2.75" customHeight="1" x14ac:dyDescent="0.1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2.75" customHeight="1" x14ac:dyDescent="0.1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2.75" customHeight="1" x14ac:dyDescent="0.1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2.75" customHeight="1" x14ac:dyDescent="0.1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2.75" customHeight="1" x14ac:dyDescent="0.1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2.75" customHeight="1" x14ac:dyDescent="0.1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2.75" customHeight="1" x14ac:dyDescent="0.1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2.75" customHeight="1" x14ac:dyDescent="0.1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2.75" customHeight="1" x14ac:dyDescent="0.1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2.75" customHeight="1" x14ac:dyDescent="0.1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2.75" customHeight="1" x14ac:dyDescent="0.1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2.75" customHeight="1" x14ac:dyDescent="0.1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2.75" customHeight="1" x14ac:dyDescent="0.1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2.75" customHeight="1" x14ac:dyDescent="0.1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2.75" customHeight="1" x14ac:dyDescent="0.1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2.75" customHeight="1" x14ac:dyDescent="0.1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2.75" customHeight="1" x14ac:dyDescent="0.1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2.75" customHeight="1" x14ac:dyDescent="0.1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2.75" customHeight="1" x14ac:dyDescent="0.1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2.75" customHeight="1" x14ac:dyDescent="0.1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2.75" customHeight="1" x14ac:dyDescent="0.1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2.75" customHeight="1" x14ac:dyDescent="0.1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2.75" customHeight="1" x14ac:dyDescent="0.1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2.75" customHeight="1" x14ac:dyDescent="0.1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2.75" customHeight="1" x14ac:dyDescent="0.1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2.75" customHeight="1" x14ac:dyDescent="0.1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2.75" customHeight="1" x14ac:dyDescent="0.1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2.75" customHeight="1" x14ac:dyDescent="0.1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2.75" customHeight="1" x14ac:dyDescent="0.1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2.75" customHeight="1" x14ac:dyDescent="0.1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2.75" customHeight="1" x14ac:dyDescent="0.1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2.75" customHeight="1" x14ac:dyDescent="0.1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2.75" customHeight="1" x14ac:dyDescent="0.1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2.75" customHeight="1" x14ac:dyDescent="0.1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2.75" customHeight="1" x14ac:dyDescent="0.1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2.75" customHeight="1" x14ac:dyDescent="0.1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2.75" customHeight="1" x14ac:dyDescent="0.1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2.75" customHeight="1" x14ac:dyDescent="0.1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2.75" customHeight="1" x14ac:dyDescent="0.1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2.75" customHeight="1" x14ac:dyDescent="0.1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2.75" customHeight="1" x14ac:dyDescent="0.1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2.75" customHeight="1" x14ac:dyDescent="0.1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2.75" customHeight="1" x14ac:dyDescent="0.1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2.75" customHeight="1" x14ac:dyDescent="0.1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2.75" customHeight="1" x14ac:dyDescent="0.1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2.75" customHeight="1" x14ac:dyDescent="0.1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2.75" customHeight="1" x14ac:dyDescent="0.1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2.75" customHeight="1" x14ac:dyDescent="0.1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2.75" customHeight="1" x14ac:dyDescent="0.1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2.75" customHeight="1" x14ac:dyDescent="0.1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2.75" customHeight="1" x14ac:dyDescent="0.1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2.75" customHeight="1" x14ac:dyDescent="0.1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2.75" customHeight="1" x14ac:dyDescent="0.1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2.75" customHeight="1" x14ac:dyDescent="0.1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2.75" customHeight="1" x14ac:dyDescent="0.1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2.75" customHeight="1" x14ac:dyDescent="0.1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2.75" customHeight="1" x14ac:dyDescent="0.1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2.75" customHeight="1" x14ac:dyDescent="0.1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2.75" customHeight="1" x14ac:dyDescent="0.1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2.75" customHeight="1" x14ac:dyDescent="0.1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2.75" customHeight="1" x14ac:dyDescent="0.1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2.75" customHeight="1" x14ac:dyDescent="0.1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2.75" customHeight="1" x14ac:dyDescent="0.1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2.75" customHeight="1" x14ac:dyDescent="0.1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2.75" customHeight="1" x14ac:dyDescent="0.1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2.75" customHeight="1" x14ac:dyDescent="0.1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2.75" customHeight="1" x14ac:dyDescent="0.1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2.75" customHeight="1" x14ac:dyDescent="0.1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2.75" customHeight="1" x14ac:dyDescent="0.1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2.75" customHeight="1" x14ac:dyDescent="0.1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2.75" customHeight="1" x14ac:dyDescent="0.1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2.75" customHeight="1" x14ac:dyDescent="0.1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2.75" customHeight="1" x14ac:dyDescent="0.1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2.75" customHeight="1" x14ac:dyDescent="0.1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2.75" customHeight="1" x14ac:dyDescent="0.1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2.75" customHeight="1" x14ac:dyDescent="0.1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2.75" customHeight="1" x14ac:dyDescent="0.1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2.75" customHeight="1" x14ac:dyDescent="0.1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2.75" customHeight="1" x14ac:dyDescent="0.1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2.75" customHeight="1" x14ac:dyDescent="0.1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2.75" customHeight="1" x14ac:dyDescent="0.1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2.75" customHeight="1" x14ac:dyDescent="0.1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2.75" customHeight="1" x14ac:dyDescent="0.1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2.75" customHeight="1" x14ac:dyDescent="0.1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2.75" customHeight="1" x14ac:dyDescent="0.1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2.75" customHeight="1" x14ac:dyDescent="0.1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2.75" customHeight="1" x14ac:dyDescent="0.1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2.75" customHeight="1" x14ac:dyDescent="0.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2.75" customHeight="1" x14ac:dyDescent="0.1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2.75" customHeight="1" x14ac:dyDescent="0.1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2.75" customHeight="1" x14ac:dyDescent="0.1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2.75" customHeight="1" x14ac:dyDescent="0.1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2.75" customHeight="1" x14ac:dyDescent="0.1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2.75" customHeight="1" x14ac:dyDescent="0.1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2.75" customHeight="1" x14ac:dyDescent="0.1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2.75" customHeight="1" x14ac:dyDescent="0.1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2.75" customHeight="1" x14ac:dyDescent="0.1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2.75" customHeight="1" x14ac:dyDescent="0.1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2.75" customHeight="1" x14ac:dyDescent="0.1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2.75" customHeight="1" x14ac:dyDescent="0.1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2.75" customHeight="1" x14ac:dyDescent="0.1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2.75" customHeight="1" x14ac:dyDescent="0.1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2.75" customHeight="1" x14ac:dyDescent="0.1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2.75" customHeight="1" x14ac:dyDescent="0.1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2.75" customHeight="1" x14ac:dyDescent="0.1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2.75" customHeight="1" x14ac:dyDescent="0.1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2.75" customHeight="1" x14ac:dyDescent="0.1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2.75" customHeight="1" x14ac:dyDescent="0.1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2.75" customHeight="1" x14ac:dyDescent="0.1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2.75" customHeight="1" x14ac:dyDescent="0.1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2.75" customHeight="1" x14ac:dyDescent="0.1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2.75" customHeight="1" x14ac:dyDescent="0.1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2.75" customHeight="1" x14ac:dyDescent="0.1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2.75" customHeight="1" x14ac:dyDescent="0.1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2.75" customHeight="1" x14ac:dyDescent="0.1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2.75" customHeight="1" x14ac:dyDescent="0.1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2.75" customHeight="1" x14ac:dyDescent="0.1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2.75" customHeight="1" x14ac:dyDescent="0.1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2.75" customHeight="1" x14ac:dyDescent="0.1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2.75" customHeight="1" x14ac:dyDescent="0.1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2.75" customHeight="1" x14ac:dyDescent="0.1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2.75" customHeight="1" x14ac:dyDescent="0.1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2.75" customHeight="1" x14ac:dyDescent="0.1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2.75" customHeight="1" x14ac:dyDescent="0.1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2.75" customHeight="1" x14ac:dyDescent="0.1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2.75" customHeight="1" x14ac:dyDescent="0.1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2.75" customHeight="1" x14ac:dyDescent="0.1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2.75" customHeight="1" x14ac:dyDescent="0.1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2.75" customHeight="1" x14ac:dyDescent="0.1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2.75" customHeight="1" x14ac:dyDescent="0.1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2.75" customHeight="1" x14ac:dyDescent="0.1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2.75" customHeight="1" x14ac:dyDescent="0.1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2.75" customHeight="1" x14ac:dyDescent="0.1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2.75" customHeight="1" x14ac:dyDescent="0.1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2.75" customHeight="1" x14ac:dyDescent="0.1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2.75" customHeight="1" x14ac:dyDescent="0.1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2.75" customHeight="1" x14ac:dyDescent="0.1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2.75" customHeight="1" x14ac:dyDescent="0.1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2.75" customHeight="1" x14ac:dyDescent="0.1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2.75" customHeight="1" x14ac:dyDescent="0.1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2.75" customHeight="1" x14ac:dyDescent="0.1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2.75" customHeight="1" x14ac:dyDescent="0.1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2.75" customHeight="1" x14ac:dyDescent="0.1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2.75" customHeight="1" x14ac:dyDescent="0.1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2.75" customHeight="1" x14ac:dyDescent="0.1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2.75" customHeight="1" x14ac:dyDescent="0.1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2.75" customHeight="1" x14ac:dyDescent="0.1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2.75" customHeight="1" x14ac:dyDescent="0.1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2.75" customHeight="1" x14ac:dyDescent="0.1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2.75" customHeight="1" x14ac:dyDescent="0.1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2.75" customHeight="1" x14ac:dyDescent="0.1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2.75" customHeight="1" x14ac:dyDescent="0.1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2.75" customHeight="1" x14ac:dyDescent="0.1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2.75" customHeight="1" x14ac:dyDescent="0.1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2.75" customHeight="1" x14ac:dyDescent="0.1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2.75" customHeight="1" x14ac:dyDescent="0.1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2.75" customHeight="1" x14ac:dyDescent="0.1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2.75" customHeight="1" x14ac:dyDescent="0.1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2.75" customHeight="1" x14ac:dyDescent="0.1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2.75" customHeight="1" x14ac:dyDescent="0.1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2.75" customHeight="1" x14ac:dyDescent="0.1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2.75" customHeight="1" x14ac:dyDescent="0.1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2.75" customHeight="1" x14ac:dyDescent="0.1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2.75" customHeight="1" x14ac:dyDescent="0.1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2.75" customHeight="1" x14ac:dyDescent="0.1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2.75" customHeight="1" x14ac:dyDescent="0.1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2.75" customHeight="1" x14ac:dyDescent="0.1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2.75" customHeight="1" x14ac:dyDescent="0.1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2.75" customHeight="1" x14ac:dyDescent="0.1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2.75" customHeight="1" x14ac:dyDescent="0.1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2.75" customHeight="1" x14ac:dyDescent="0.1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2.75" customHeight="1" x14ac:dyDescent="0.1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2.75" customHeight="1" x14ac:dyDescent="0.1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2.75" customHeight="1" x14ac:dyDescent="0.1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2.75" customHeight="1" x14ac:dyDescent="0.1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2.75" customHeight="1" x14ac:dyDescent="0.1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2.75" customHeight="1" x14ac:dyDescent="0.1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2.75" customHeight="1" x14ac:dyDescent="0.1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2.75" customHeight="1" x14ac:dyDescent="0.1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2.75" customHeight="1" x14ac:dyDescent="0.1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2.75" customHeight="1" x14ac:dyDescent="0.1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2.75" customHeight="1" x14ac:dyDescent="0.1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2.75" customHeight="1" x14ac:dyDescent="0.1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2.75" customHeight="1" x14ac:dyDescent="0.1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2.75" customHeight="1" x14ac:dyDescent="0.1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2.75" customHeight="1" x14ac:dyDescent="0.1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2.75" customHeight="1" x14ac:dyDescent="0.1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2.75" customHeight="1" x14ac:dyDescent="0.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2.75" customHeight="1" x14ac:dyDescent="0.1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2.75" customHeight="1" x14ac:dyDescent="0.1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2.75" customHeight="1" x14ac:dyDescent="0.1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2.75" customHeight="1" x14ac:dyDescent="0.1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2.75" customHeight="1" x14ac:dyDescent="0.1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2.75" customHeight="1" x14ac:dyDescent="0.1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2.75" customHeight="1" x14ac:dyDescent="0.1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2.75" customHeight="1" x14ac:dyDescent="0.1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2.75" customHeight="1" x14ac:dyDescent="0.1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2.75" customHeight="1" x14ac:dyDescent="0.1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2.75" customHeight="1" x14ac:dyDescent="0.1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2.75" customHeight="1" x14ac:dyDescent="0.1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2.75" customHeight="1" x14ac:dyDescent="0.1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2.75" customHeight="1" x14ac:dyDescent="0.1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2.75" customHeight="1" x14ac:dyDescent="0.1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2.75" customHeight="1" x14ac:dyDescent="0.1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2.75" customHeight="1" x14ac:dyDescent="0.1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2.75" customHeight="1" x14ac:dyDescent="0.1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2.75" customHeight="1" x14ac:dyDescent="0.1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2.75" customHeight="1" x14ac:dyDescent="0.1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2.75" customHeight="1" x14ac:dyDescent="0.1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2.75" customHeight="1" x14ac:dyDescent="0.1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2.75" customHeight="1" x14ac:dyDescent="0.1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2.75" customHeight="1" x14ac:dyDescent="0.1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2.75" customHeight="1" x14ac:dyDescent="0.1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2.75" customHeight="1" x14ac:dyDescent="0.1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2.75" customHeight="1" x14ac:dyDescent="0.1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2.75" customHeight="1" x14ac:dyDescent="0.1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2.75" customHeight="1" x14ac:dyDescent="0.1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2.75" customHeight="1" x14ac:dyDescent="0.1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2.75" customHeight="1" x14ac:dyDescent="0.1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2.75" customHeight="1" x14ac:dyDescent="0.1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2.75" customHeight="1" x14ac:dyDescent="0.1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2.75" customHeight="1" x14ac:dyDescent="0.1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2.75" customHeight="1" x14ac:dyDescent="0.1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2.75" customHeight="1" x14ac:dyDescent="0.1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2.75" customHeight="1" x14ac:dyDescent="0.1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2.75" customHeight="1" x14ac:dyDescent="0.1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2.75" customHeight="1" x14ac:dyDescent="0.1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2.75" customHeight="1" x14ac:dyDescent="0.1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2.75" customHeight="1" x14ac:dyDescent="0.1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2.75" customHeight="1" x14ac:dyDescent="0.1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2.75" customHeight="1" x14ac:dyDescent="0.1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2.75" customHeight="1" x14ac:dyDescent="0.1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2.75" customHeight="1" x14ac:dyDescent="0.1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2.75" customHeight="1" x14ac:dyDescent="0.1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2.75" customHeight="1" x14ac:dyDescent="0.1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2.75" customHeight="1" x14ac:dyDescent="0.1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2.75" customHeight="1" x14ac:dyDescent="0.1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2.75" customHeight="1" x14ac:dyDescent="0.1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2.75" customHeight="1" x14ac:dyDescent="0.1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2.75" customHeight="1" x14ac:dyDescent="0.1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2.75" customHeight="1" x14ac:dyDescent="0.1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2.75" customHeight="1" x14ac:dyDescent="0.1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2.75" customHeight="1" x14ac:dyDescent="0.1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2.75" customHeight="1" x14ac:dyDescent="0.1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2.75" customHeight="1" x14ac:dyDescent="0.1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2.75" customHeight="1" x14ac:dyDescent="0.1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2.75" customHeight="1" x14ac:dyDescent="0.1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2.75" customHeight="1" x14ac:dyDescent="0.1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2.75" customHeight="1" x14ac:dyDescent="0.1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2.75" customHeight="1" x14ac:dyDescent="0.1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2.75" customHeight="1" x14ac:dyDescent="0.1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2.75" customHeight="1" x14ac:dyDescent="0.1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2.75" customHeight="1" x14ac:dyDescent="0.1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2.75" customHeight="1" x14ac:dyDescent="0.1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2.75" customHeight="1" x14ac:dyDescent="0.1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2.75" customHeight="1" x14ac:dyDescent="0.1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2.75" customHeight="1" x14ac:dyDescent="0.1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2.75" customHeight="1" x14ac:dyDescent="0.1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2.75" customHeight="1" x14ac:dyDescent="0.1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2.75" customHeight="1" x14ac:dyDescent="0.1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2.75" customHeight="1" x14ac:dyDescent="0.1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2.75" customHeight="1" x14ac:dyDescent="0.1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2.75" customHeight="1" x14ac:dyDescent="0.1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2.75" customHeight="1" x14ac:dyDescent="0.1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2.75" customHeight="1" x14ac:dyDescent="0.1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2.75" customHeight="1" x14ac:dyDescent="0.1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2.75" customHeight="1" x14ac:dyDescent="0.1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2.75" customHeight="1" x14ac:dyDescent="0.1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2.75" customHeight="1" x14ac:dyDescent="0.1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2.75" customHeight="1" x14ac:dyDescent="0.1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2.75" customHeight="1" x14ac:dyDescent="0.1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2.75" customHeight="1" x14ac:dyDescent="0.1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2.75" customHeight="1" x14ac:dyDescent="0.1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</sheetData>
  <conditionalFormatting sqref="G59:AP59">
    <cfRule type="cellIs" dxfId="2" priority="1" operator="lessThan">
      <formula>0</formula>
    </cfRule>
  </conditionalFormatting>
  <pageMargins left="0.7" right="0.7" top="0.75" bottom="0.75" header="0" footer="0"/>
  <pageSetup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R1000"/>
  <sheetViews>
    <sheetView showGridLines="0" zoomScale="58" workbookViewId="0">
      <selection activeCell="C11" sqref="C11"/>
    </sheetView>
  </sheetViews>
  <sheetFormatPr baseColWidth="10" defaultColWidth="14.5" defaultRowHeight="15.75" customHeight="1" x14ac:dyDescent="0.15"/>
  <cols>
    <col min="1" max="1" width="2.6640625" customWidth="1"/>
    <col min="2" max="2" width="46.83203125" customWidth="1"/>
    <col min="3" max="3" width="13.33203125" customWidth="1"/>
    <col min="4" max="4" width="5.83203125" customWidth="1"/>
    <col min="5" max="5" width="13.1640625" customWidth="1"/>
    <col min="6" max="6" width="32.5" customWidth="1"/>
    <col min="7" max="42" width="10.6640625" customWidth="1"/>
  </cols>
  <sheetData>
    <row r="1" spans="1:44" ht="7.5" customHeight="1" x14ac:dyDescent="0.1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4" ht="12.75" customHeight="1" x14ac:dyDescent="0.15">
      <c r="A2" s="1"/>
      <c r="B2" s="1"/>
      <c r="C2" s="3"/>
      <c r="D2" s="1"/>
      <c r="E2" s="1"/>
      <c r="F2" s="1"/>
      <c r="G2" s="4"/>
      <c r="H2" s="5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4" ht="7.5" customHeight="1" x14ac:dyDescent="0.15">
      <c r="A3" s="1"/>
      <c r="B3" s="3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4" ht="15" customHeight="1" x14ac:dyDescent="0.15">
      <c r="A4" s="6"/>
      <c r="B4" s="6"/>
      <c r="C4" s="7"/>
      <c r="D4" s="6"/>
      <c r="E4" s="6"/>
      <c r="F4" s="8"/>
      <c r="G4" s="9">
        <v>1</v>
      </c>
      <c r="H4" s="9">
        <v>2</v>
      </c>
      <c r="I4" s="9">
        <v>3</v>
      </c>
      <c r="J4" s="9">
        <v>4</v>
      </c>
      <c r="K4" s="9">
        <v>5</v>
      </c>
      <c r="L4" s="9">
        <v>6</v>
      </c>
      <c r="M4" s="9">
        <v>7</v>
      </c>
      <c r="N4" s="9">
        <v>8</v>
      </c>
      <c r="O4" s="9">
        <v>9</v>
      </c>
      <c r="P4" s="9">
        <v>10</v>
      </c>
      <c r="Q4" s="9">
        <v>11</v>
      </c>
      <c r="R4" s="9">
        <v>12</v>
      </c>
      <c r="S4" s="9">
        <v>13</v>
      </c>
      <c r="T4" s="9">
        <v>14</v>
      </c>
      <c r="U4" s="9">
        <v>15</v>
      </c>
      <c r="V4" s="9">
        <v>16</v>
      </c>
      <c r="W4" s="9">
        <v>17</v>
      </c>
      <c r="X4" s="9">
        <v>18</v>
      </c>
      <c r="Y4" s="9">
        <v>19</v>
      </c>
      <c r="Z4" s="9">
        <v>20</v>
      </c>
      <c r="AA4" s="9">
        <v>21</v>
      </c>
      <c r="AB4" s="9">
        <v>22</v>
      </c>
      <c r="AC4" s="9">
        <v>23</v>
      </c>
      <c r="AD4" s="9">
        <v>24</v>
      </c>
      <c r="AE4" s="9">
        <v>25</v>
      </c>
      <c r="AF4" s="9">
        <v>26</v>
      </c>
      <c r="AG4" s="9">
        <v>27</v>
      </c>
      <c r="AH4" s="9">
        <v>28</v>
      </c>
      <c r="AI4" s="9">
        <v>29</v>
      </c>
      <c r="AJ4" s="9">
        <v>30</v>
      </c>
      <c r="AK4" s="9">
        <v>31</v>
      </c>
      <c r="AL4" s="9">
        <v>32</v>
      </c>
      <c r="AM4" s="9">
        <v>33</v>
      </c>
      <c r="AN4" s="9">
        <v>34</v>
      </c>
      <c r="AO4" s="9">
        <v>35</v>
      </c>
      <c r="AP4" s="9">
        <v>36</v>
      </c>
      <c r="AQ4" s="9">
        <v>37</v>
      </c>
      <c r="AR4" s="9">
        <v>38</v>
      </c>
    </row>
    <row r="5" spans="1:44" ht="12.75" customHeight="1" x14ac:dyDescent="0.15">
      <c r="A5" s="1"/>
      <c r="B5" s="15" t="s">
        <v>77</v>
      </c>
      <c r="C5" s="2" t="s">
        <v>83</v>
      </c>
      <c r="D5" s="1"/>
      <c r="E5" s="1"/>
      <c r="F5" s="1"/>
      <c r="G5" s="10">
        <v>1</v>
      </c>
      <c r="H5" s="10">
        <v>2</v>
      </c>
      <c r="I5" s="10">
        <v>3</v>
      </c>
      <c r="J5" s="10">
        <v>4</v>
      </c>
      <c r="K5" s="10">
        <v>5</v>
      </c>
      <c r="L5" s="10">
        <v>6</v>
      </c>
      <c r="M5" s="10">
        <v>7</v>
      </c>
      <c r="N5" s="10">
        <v>8</v>
      </c>
      <c r="O5" s="10">
        <v>9</v>
      </c>
      <c r="P5" s="10">
        <v>10</v>
      </c>
      <c r="Q5" s="10">
        <v>11</v>
      </c>
      <c r="R5" s="10">
        <v>12</v>
      </c>
      <c r="S5" s="10">
        <v>13</v>
      </c>
      <c r="T5" s="10">
        <v>14</v>
      </c>
      <c r="U5" s="10">
        <v>15</v>
      </c>
      <c r="V5" s="10">
        <v>16</v>
      </c>
      <c r="W5" s="10">
        <v>17</v>
      </c>
      <c r="X5" s="10">
        <v>18</v>
      </c>
      <c r="Y5" s="10">
        <v>19</v>
      </c>
      <c r="Z5" s="10">
        <v>20</v>
      </c>
      <c r="AA5" s="10">
        <v>21</v>
      </c>
      <c r="AB5" s="10">
        <v>22</v>
      </c>
      <c r="AC5" s="10">
        <v>23</v>
      </c>
      <c r="AD5" s="10">
        <f t="shared" ref="AD5:AP5" si="0">AD4</f>
        <v>24</v>
      </c>
      <c r="AE5" s="10">
        <f t="shared" si="0"/>
        <v>25</v>
      </c>
      <c r="AF5" s="10">
        <f t="shared" si="0"/>
        <v>26</v>
      </c>
      <c r="AG5" s="10">
        <f t="shared" si="0"/>
        <v>27</v>
      </c>
      <c r="AH5" s="10">
        <f t="shared" si="0"/>
        <v>28</v>
      </c>
      <c r="AI5" s="10">
        <f t="shared" si="0"/>
        <v>29</v>
      </c>
      <c r="AJ5" s="10">
        <f t="shared" si="0"/>
        <v>30</v>
      </c>
      <c r="AK5" s="10">
        <f t="shared" si="0"/>
        <v>31</v>
      </c>
      <c r="AL5" s="10">
        <f t="shared" si="0"/>
        <v>32</v>
      </c>
      <c r="AM5" s="10">
        <f t="shared" si="0"/>
        <v>33</v>
      </c>
      <c r="AN5" s="10">
        <f t="shared" si="0"/>
        <v>34</v>
      </c>
      <c r="AO5" s="10">
        <f t="shared" si="0"/>
        <v>35</v>
      </c>
      <c r="AP5" s="10">
        <f t="shared" si="0"/>
        <v>36</v>
      </c>
      <c r="AQ5" s="10">
        <f t="shared" ref="AQ5:AR5" si="1">AQ4</f>
        <v>37</v>
      </c>
      <c r="AR5" s="10">
        <f t="shared" si="1"/>
        <v>38</v>
      </c>
    </row>
    <row r="6" spans="1:44" ht="12.75" customHeight="1" x14ac:dyDescent="0.15">
      <c r="A6" s="1"/>
      <c r="B6" s="48" t="s">
        <v>78</v>
      </c>
      <c r="C6" s="1"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ht="12.75" customHeight="1" x14ac:dyDescent="0.15">
      <c r="A7" s="1"/>
      <c r="B7" s="48" t="s">
        <v>79</v>
      </c>
      <c r="C7" s="1">
        <v>1</v>
      </c>
      <c r="D7" s="1"/>
      <c r="E7" s="1"/>
      <c r="F7" s="11" t="s">
        <v>1</v>
      </c>
      <c r="G7" s="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</row>
    <row r="8" spans="1:44" ht="12.75" customHeight="1" x14ac:dyDescent="0.15">
      <c r="A8" s="1"/>
      <c r="B8" s="48" t="s">
        <v>80</v>
      </c>
      <c r="C8" s="1">
        <v>0</v>
      </c>
      <c r="D8" s="1"/>
      <c r="E8" s="1"/>
      <c r="F8" s="13" t="s">
        <v>2</v>
      </c>
      <c r="G8" s="14"/>
      <c r="H8" s="14">
        <v>10000</v>
      </c>
      <c r="I8" s="14">
        <f>H8*107%</f>
        <v>10700</v>
      </c>
      <c r="J8" s="14">
        <f t="shared" ref="J8:R8" si="2">I8*105%</f>
        <v>11235</v>
      </c>
      <c r="K8" s="14">
        <f t="shared" si="2"/>
        <v>11796.75</v>
      </c>
      <c r="L8" s="14">
        <f t="shared" si="2"/>
        <v>12386.5875</v>
      </c>
      <c r="M8" s="14">
        <f t="shared" si="2"/>
        <v>13005.916875000001</v>
      </c>
      <c r="N8" s="14">
        <f t="shared" si="2"/>
        <v>13656.212718750001</v>
      </c>
      <c r="O8" s="14">
        <f t="shared" si="2"/>
        <v>14339.023354687502</v>
      </c>
      <c r="P8" s="14">
        <f t="shared" si="2"/>
        <v>15055.974522421879</v>
      </c>
      <c r="Q8" s="14">
        <f t="shared" si="2"/>
        <v>15808.773248542973</v>
      </c>
      <c r="R8" s="14">
        <f t="shared" si="2"/>
        <v>16599.211910970123</v>
      </c>
      <c r="S8" s="14">
        <f t="shared" ref="S8:AR8" si="3">R8*102%</f>
        <v>16931.196149189527</v>
      </c>
      <c r="T8" s="14">
        <f t="shared" si="3"/>
        <v>17269.820072173319</v>
      </c>
      <c r="U8" s="14">
        <f t="shared" si="3"/>
        <v>17615.216473616787</v>
      </c>
      <c r="V8" s="14">
        <f t="shared" si="3"/>
        <v>17967.520803089123</v>
      </c>
      <c r="W8" s="14">
        <f t="shared" si="3"/>
        <v>18326.871219150904</v>
      </c>
      <c r="X8" s="14">
        <f t="shared" si="3"/>
        <v>18693.408643533923</v>
      </c>
      <c r="Y8" s="14">
        <f t="shared" si="3"/>
        <v>19067.276816404603</v>
      </c>
      <c r="Z8" s="14">
        <f t="shared" si="3"/>
        <v>19448.622352732695</v>
      </c>
      <c r="AA8" s="14">
        <f t="shared" si="3"/>
        <v>19837.594799787348</v>
      </c>
      <c r="AB8" s="14">
        <f t="shared" si="3"/>
        <v>20234.346695783097</v>
      </c>
      <c r="AC8" s="14">
        <f t="shared" si="3"/>
        <v>20639.033629698759</v>
      </c>
      <c r="AD8" s="14">
        <f t="shared" si="3"/>
        <v>21051.814302292736</v>
      </c>
      <c r="AE8" s="14">
        <f t="shared" si="3"/>
        <v>21472.850588338591</v>
      </c>
      <c r="AF8" s="14">
        <f t="shared" si="3"/>
        <v>21902.307600105363</v>
      </c>
      <c r="AG8" s="14">
        <f t="shared" si="3"/>
        <v>22340.353752107472</v>
      </c>
      <c r="AH8" s="14">
        <f t="shared" si="3"/>
        <v>22787.160827149622</v>
      </c>
      <c r="AI8" s="14">
        <f t="shared" si="3"/>
        <v>23242.904043692615</v>
      </c>
      <c r="AJ8" s="14">
        <f t="shared" si="3"/>
        <v>23707.762124566467</v>
      </c>
      <c r="AK8" s="14">
        <f t="shared" si="3"/>
        <v>24181.917367057795</v>
      </c>
      <c r="AL8" s="14">
        <f t="shared" si="3"/>
        <v>24665.55571439895</v>
      </c>
      <c r="AM8" s="14">
        <f t="shared" si="3"/>
        <v>25158.866828686929</v>
      </c>
      <c r="AN8" s="14">
        <f t="shared" si="3"/>
        <v>25662.044165260668</v>
      </c>
      <c r="AO8" s="14">
        <f t="shared" si="3"/>
        <v>26175.285048565882</v>
      </c>
      <c r="AP8" s="14">
        <f t="shared" si="3"/>
        <v>26698.790749537198</v>
      </c>
      <c r="AQ8" s="14">
        <f t="shared" si="3"/>
        <v>27232.766564527941</v>
      </c>
      <c r="AR8" s="14">
        <f t="shared" si="3"/>
        <v>27777.421895818501</v>
      </c>
    </row>
    <row r="9" spans="1:44" ht="12.75" customHeight="1" x14ac:dyDescent="0.15">
      <c r="A9" s="1"/>
      <c r="B9" s="48" t="s">
        <v>81</v>
      </c>
      <c r="C9" s="1">
        <v>1</v>
      </c>
      <c r="D9" s="1"/>
      <c r="E9" s="4">
        <v>0.3</v>
      </c>
      <c r="F9" s="1" t="s">
        <v>3</v>
      </c>
      <c r="G9" s="2"/>
      <c r="H9" s="2">
        <f>H8*$E$9</f>
        <v>3000</v>
      </c>
      <c r="I9" s="2">
        <f>I8*$E$9</f>
        <v>3210</v>
      </c>
      <c r="J9" s="2">
        <f>J8*$E$9</f>
        <v>3370.5</v>
      </c>
      <c r="K9" s="2">
        <f t="shared" ref="K9:AP9" si="4">K8*$E$9</f>
        <v>3539.0250000000001</v>
      </c>
      <c r="L9" s="2">
        <f t="shared" si="4"/>
        <v>3715.9762499999997</v>
      </c>
      <c r="M9" s="2">
        <f t="shared" si="4"/>
        <v>3901.7750624999999</v>
      </c>
      <c r="N9" s="2">
        <f t="shared" si="4"/>
        <v>4096.8638156249999</v>
      </c>
      <c r="O9" s="2">
        <f t="shared" si="4"/>
        <v>4301.7070064062509</v>
      </c>
      <c r="P9" s="2">
        <f t="shared" si="4"/>
        <v>4516.7923567265634</v>
      </c>
      <c r="Q9" s="2">
        <f t="shared" si="4"/>
        <v>4742.6319745628916</v>
      </c>
      <c r="R9" s="2">
        <f t="shared" si="4"/>
        <v>4979.7635732910367</v>
      </c>
      <c r="S9" s="2">
        <f t="shared" si="4"/>
        <v>5079.3588447568582</v>
      </c>
      <c r="T9" s="2">
        <f t="shared" si="4"/>
        <v>5180.9460216519956</v>
      </c>
      <c r="U9" s="2">
        <f t="shared" si="4"/>
        <v>5284.5649420850359</v>
      </c>
      <c r="V9" s="2">
        <f t="shared" si="4"/>
        <v>5390.2562409267366</v>
      </c>
      <c r="W9" s="2">
        <f t="shared" si="4"/>
        <v>5498.0613657452714</v>
      </c>
      <c r="X9" s="2">
        <f t="shared" si="4"/>
        <v>5608.0225930601764</v>
      </c>
      <c r="Y9" s="2">
        <f t="shared" si="4"/>
        <v>5720.1830449213803</v>
      </c>
      <c r="Z9" s="2">
        <f t="shared" si="4"/>
        <v>5834.5867058198082</v>
      </c>
      <c r="AA9" s="2">
        <f t="shared" si="4"/>
        <v>5951.2784399362044</v>
      </c>
      <c r="AB9" s="2">
        <f t="shared" si="4"/>
        <v>6070.3040087349291</v>
      </c>
      <c r="AC9" s="2">
        <f t="shared" si="4"/>
        <v>6191.7100889096273</v>
      </c>
      <c r="AD9" s="2">
        <f t="shared" si="4"/>
        <v>6315.5442906878206</v>
      </c>
      <c r="AE9" s="2">
        <f t="shared" si="4"/>
        <v>6441.8551765015773</v>
      </c>
      <c r="AF9" s="2">
        <f t="shared" si="4"/>
        <v>6570.6922800316088</v>
      </c>
      <c r="AG9" s="2">
        <f t="shared" si="4"/>
        <v>6702.1061256322419</v>
      </c>
      <c r="AH9" s="2">
        <f t="shared" si="4"/>
        <v>6836.1482481448866</v>
      </c>
      <c r="AI9" s="2">
        <f t="shared" si="4"/>
        <v>6972.8712131077846</v>
      </c>
      <c r="AJ9" s="2">
        <f t="shared" si="4"/>
        <v>7112.3286373699402</v>
      </c>
      <c r="AK9" s="2">
        <f t="shared" si="4"/>
        <v>7254.5752101173384</v>
      </c>
      <c r="AL9" s="2">
        <f t="shared" si="4"/>
        <v>7399.6667143196846</v>
      </c>
      <c r="AM9" s="2">
        <f t="shared" si="4"/>
        <v>7547.6600486060779</v>
      </c>
      <c r="AN9" s="2">
        <f t="shared" si="4"/>
        <v>7698.6132495782003</v>
      </c>
      <c r="AO9" s="2">
        <f t="shared" si="4"/>
        <v>7852.5855145697642</v>
      </c>
      <c r="AP9" s="2">
        <f t="shared" si="4"/>
        <v>8009.6372248611588</v>
      </c>
      <c r="AQ9" s="2">
        <f t="shared" ref="AQ9:AR9" si="5">AQ8*$E$9</f>
        <v>8169.8299693583822</v>
      </c>
      <c r="AR9" s="2">
        <f t="shared" si="5"/>
        <v>8333.2265687455492</v>
      </c>
    </row>
    <row r="10" spans="1:44" ht="12.75" customHeight="1" x14ac:dyDescent="0.15">
      <c r="A10" s="15"/>
      <c r="B10" s="48" t="s">
        <v>82</v>
      </c>
      <c r="C10" s="1">
        <v>0</v>
      </c>
      <c r="D10" s="15"/>
      <c r="E10" s="4">
        <v>0.1</v>
      </c>
      <c r="F10" s="13" t="s">
        <v>4</v>
      </c>
      <c r="G10" s="2"/>
      <c r="H10" s="2">
        <f t="shared" ref="H10:AP10" si="6">H9*$E$10</f>
        <v>300</v>
      </c>
      <c r="I10" s="2">
        <f t="shared" si="6"/>
        <v>321</v>
      </c>
      <c r="J10" s="2">
        <f t="shared" si="6"/>
        <v>337.05</v>
      </c>
      <c r="K10" s="2">
        <f t="shared" si="6"/>
        <v>353.90250000000003</v>
      </c>
      <c r="L10" s="2">
        <f t="shared" si="6"/>
        <v>371.59762499999999</v>
      </c>
      <c r="M10" s="2">
        <f t="shared" si="6"/>
        <v>390.17750625000002</v>
      </c>
      <c r="N10" s="2">
        <f t="shared" si="6"/>
        <v>409.6863815625</v>
      </c>
      <c r="O10" s="2">
        <f t="shared" si="6"/>
        <v>430.17070064062511</v>
      </c>
      <c r="P10" s="2">
        <f t="shared" si="6"/>
        <v>451.67923567265638</v>
      </c>
      <c r="Q10" s="2">
        <f t="shared" si="6"/>
        <v>474.26319745628916</v>
      </c>
      <c r="R10" s="2">
        <f t="shared" si="6"/>
        <v>497.97635732910368</v>
      </c>
      <c r="S10" s="2">
        <f t="shared" si="6"/>
        <v>507.93588447568584</v>
      </c>
      <c r="T10" s="2">
        <f t="shared" si="6"/>
        <v>518.0946021651996</v>
      </c>
      <c r="U10" s="2">
        <f t="shared" si="6"/>
        <v>528.45649420850361</v>
      </c>
      <c r="V10" s="2">
        <f t="shared" si="6"/>
        <v>539.02562409267364</v>
      </c>
      <c r="W10" s="2">
        <f t="shared" si="6"/>
        <v>549.80613657452716</v>
      </c>
      <c r="X10" s="2">
        <f t="shared" si="6"/>
        <v>560.80225930601762</v>
      </c>
      <c r="Y10" s="2">
        <f t="shared" si="6"/>
        <v>572.0183044921381</v>
      </c>
      <c r="Z10" s="2">
        <f t="shared" si="6"/>
        <v>583.45867058198087</v>
      </c>
      <c r="AA10" s="2">
        <f t="shared" si="6"/>
        <v>595.12784399362044</v>
      </c>
      <c r="AB10" s="2">
        <f t="shared" si="6"/>
        <v>607.03040087349291</v>
      </c>
      <c r="AC10" s="2">
        <f t="shared" si="6"/>
        <v>619.17100889096275</v>
      </c>
      <c r="AD10" s="2">
        <f t="shared" si="6"/>
        <v>631.55442906878216</v>
      </c>
      <c r="AE10" s="2">
        <f t="shared" si="6"/>
        <v>644.18551765015775</v>
      </c>
      <c r="AF10" s="2">
        <f t="shared" si="6"/>
        <v>657.0692280031609</v>
      </c>
      <c r="AG10" s="2">
        <f t="shared" si="6"/>
        <v>670.21061256322423</v>
      </c>
      <c r="AH10" s="2">
        <f t="shared" si="6"/>
        <v>683.61482481448866</v>
      </c>
      <c r="AI10" s="2">
        <f t="shared" si="6"/>
        <v>697.2871213107785</v>
      </c>
      <c r="AJ10" s="2">
        <f t="shared" si="6"/>
        <v>711.23286373699409</v>
      </c>
      <c r="AK10" s="2">
        <f t="shared" si="6"/>
        <v>725.45752101173389</v>
      </c>
      <c r="AL10" s="2">
        <f t="shared" si="6"/>
        <v>739.96667143196851</v>
      </c>
      <c r="AM10" s="2">
        <f t="shared" si="6"/>
        <v>754.76600486060784</v>
      </c>
      <c r="AN10" s="2">
        <f t="shared" si="6"/>
        <v>769.8613249578201</v>
      </c>
      <c r="AO10" s="2">
        <f t="shared" si="6"/>
        <v>785.25855145697642</v>
      </c>
      <c r="AP10" s="2">
        <f t="shared" si="6"/>
        <v>800.9637224861159</v>
      </c>
      <c r="AQ10" s="2">
        <f t="shared" ref="AQ10:AR10" si="7">AQ9*$E$10</f>
        <v>816.98299693583829</v>
      </c>
      <c r="AR10" s="2">
        <f t="shared" si="7"/>
        <v>833.32265687455492</v>
      </c>
    </row>
    <row r="11" spans="1:44" ht="12.75" customHeight="1" x14ac:dyDescent="0.15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12.75" customHeight="1" x14ac:dyDescent="0.15">
      <c r="A12" s="1"/>
      <c r="B12" s="16" t="s">
        <v>98</v>
      </c>
      <c r="C12" s="17"/>
      <c r="D12" s="1"/>
      <c r="E12" s="1"/>
      <c r="F12" s="11" t="s">
        <v>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12.75" customHeight="1" x14ac:dyDescent="0.15">
      <c r="A13" s="1"/>
      <c r="B13" s="16"/>
      <c r="C13" s="17"/>
      <c r="D13" s="1"/>
      <c r="E13" s="1"/>
      <c r="F13" s="13" t="s">
        <v>6</v>
      </c>
      <c r="G13" s="14"/>
      <c r="H13" s="14">
        <v>1500</v>
      </c>
      <c r="I13" s="14">
        <f t="shared" ref="I13:R13" si="8">H13*105%</f>
        <v>1575</v>
      </c>
      <c r="J13" s="14">
        <f t="shared" si="8"/>
        <v>1653.75</v>
      </c>
      <c r="K13" s="14">
        <f t="shared" si="8"/>
        <v>1736.4375</v>
      </c>
      <c r="L13" s="14">
        <f t="shared" si="8"/>
        <v>1823.2593750000001</v>
      </c>
      <c r="M13" s="14">
        <f t="shared" si="8"/>
        <v>1914.4223437500002</v>
      </c>
      <c r="N13" s="14">
        <f t="shared" si="8"/>
        <v>2010.1434609375003</v>
      </c>
      <c r="O13" s="14">
        <f t="shared" si="8"/>
        <v>2110.6506339843754</v>
      </c>
      <c r="P13" s="14">
        <f t="shared" si="8"/>
        <v>2216.1831656835943</v>
      </c>
      <c r="Q13" s="14">
        <f t="shared" si="8"/>
        <v>2326.9923239677742</v>
      </c>
      <c r="R13" s="14">
        <f t="shared" si="8"/>
        <v>2443.3419401661631</v>
      </c>
      <c r="S13" s="14">
        <f t="shared" ref="S13:AC13" si="9">R13*100.5%</f>
        <v>2455.5586498669936</v>
      </c>
      <c r="T13" s="14">
        <f t="shared" si="9"/>
        <v>2467.8364431163282</v>
      </c>
      <c r="U13" s="14">
        <f t="shared" si="9"/>
        <v>2480.1756253319095</v>
      </c>
      <c r="V13" s="14">
        <f t="shared" si="9"/>
        <v>2492.5765034585688</v>
      </c>
      <c r="W13" s="14">
        <f t="shared" si="9"/>
        <v>2505.0393859758615</v>
      </c>
      <c r="X13" s="14">
        <f t="shared" si="9"/>
        <v>2517.5645829057407</v>
      </c>
      <c r="Y13" s="14">
        <f t="shared" si="9"/>
        <v>2530.152405820269</v>
      </c>
      <c r="Z13" s="14">
        <f t="shared" si="9"/>
        <v>2542.8031678493699</v>
      </c>
      <c r="AA13" s="14">
        <f t="shared" si="9"/>
        <v>2555.5171836886166</v>
      </c>
      <c r="AB13" s="14">
        <f t="shared" si="9"/>
        <v>2568.2947696070596</v>
      </c>
      <c r="AC13" s="14">
        <f t="shared" si="9"/>
        <v>2581.1362434550947</v>
      </c>
      <c r="AD13" s="14">
        <f t="shared" ref="AD13:AR13" si="10">AC13*100.1%</f>
        <v>2583.7173796985494</v>
      </c>
      <c r="AE13" s="14">
        <f t="shared" si="10"/>
        <v>2586.3010970782475</v>
      </c>
      <c r="AF13" s="14">
        <f t="shared" si="10"/>
        <v>2588.8873981753254</v>
      </c>
      <c r="AG13" s="14">
        <f t="shared" si="10"/>
        <v>2591.4762855735003</v>
      </c>
      <c r="AH13" s="14">
        <f t="shared" si="10"/>
        <v>2594.0677618590735</v>
      </c>
      <c r="AI13" s="14">
        <f t="shared" si="10"/>
        <v>2596.6618296209322</v>
      </c>
      <c r="AJ13" s="14">
        <f t="shared" si="10"/>
        <v>2599.2584914505528</v>
      </c>
      <c r="AK13" s="14">
        <f t="shared" si="10"/>
        <v>2601.857749942003</v>
      </c>
      <c r="AL13" s="14">
        <f t="shared" si="10"/>
        <v>2604.4596076919447</v>
      </c>
      <c r="AM13" s="14">
        <f t="shared" si="10"/>
        <v>2607.0640672996365</v>
      </c>
      <c r="AN13" s="14">
        <f t="shared" si="10"/>
        <v>2609.6711313669357</v>
      </c>
      <c r="AO13" s="14">
        <f t="shared" si="10"/>
        <v>2612.2808024983024</v>
      </c>
      <c r="AP13" s="14">
        <f t="shared" si="10"/>
        <v>2614.8930833008003</v>
      </c>
      <c r="AQ13" s="14">
        <f t="shared" si="10"/>
        <v>2617.5079763841009</v>
      </c>
      <c r="AR13" s="14">
        <f t="shared" si="10"/>
        <v>2620.1254843604847</v>
      </c>
    </row>
    <row r="14" spans="1:44" ht="12.75" customHeight="1" x14ac:dyDescent="0.15">
      <c r="A14" s="1"/>
      <c r="B14" s="16"/>
      <c r="C14" s="17"/>
      <c r="D14" s="1"/>
      <c r="E14" s="4">
        <v>0.9</v>
      </c>
      <c r="F14" s="1" t="s">
        <v>3</v>
      </c>
      <c r="G14" s="2"/>
      <c r="H14" s="2">
        <f t="shared" ref="H14:AP14" si="11">H13*$E$14</f>
        <v>1350</v>
      </c>
      <c r="I14" s="2">
        <f t="shared" si="11"/>
        <v>1417.5</v>
      </c>
      <c r="J14" s="2">
        <f t="shared" si="11"/>
        <v>1488.375</v>
      </c>
      <c r="K14" s="2">
        <f t="shared" si="11"/>
        <v>1562.79375</v>
      </c>
      <c r="L14" s="2">
        <f t="shared" si="11"/>
        <v>1640.9334375000001</v>
      </c>
      <c r="M14" s="2">
        <f t="shared" si="11"/>
        <v>1722.9801093750002</v>
      </c>
      <c r="N14" s="2">
        <f t="shared" si="11"/>
        <v>1809.1291148437504</v>
      </c>
      <c r="O14" s="2">
        <f t="shared" si="11"/>
        <v>1899.5855705859378</v>
      </c>
      <c r="P14" s="2">
        <f t="shared" si="11"/>
        <v>1994.5648491152349</v>
      </c>
      <c r="Q14" s="2">
        <f t="shared" si="11"/>
        <v>2094.2930915709967</v>
      </c>
      <c r="R14" s="2">
        <f t="shared" si="11"/>
        <v>2199.0077461495471</v>
      </c>
      <c r="S14" s="2">
        <f t="shared" si="11"/>
        <v>2210.0027848802943</v>
      </c>
      <c r="T14" s="2">
        <f t="shared" si="11"/>
        <v>2221.0527988046956</v>
      </c>
      <c r="U14" s="2">
        <f t="shared" si="11"/>
        <v>2232.1580627987187</v>
      </c>
      <c r="V14" s="2">
        <f t="shared" si="11"/>
        <v>2243.3188531127121</v>
      </c>
      <c r="W14" s="2">
        <f t="shared" si="11"/>
        <v>2254.5354473782754</v>
      </c>
      <c r="X14" s="2">
        <f t="shared" si="11"/>
        <v>2265.8081246151669</v>
      </c>
      <c r="Y14" s="2">
        <f t="shared" si="11"/>
        <v>2277.1371652382422</v>
      </c>
      <c r="Z14" s="2">
        <f t="shared" si="11"/>
        <v>2288.5228510644329</v>
      </c>
      <c r="AA14" s="2">
        <f t="shared" si="11"/>
        <v>2299.9654653197549</v>
      </c>
      <c r="AB14" s="2">
        <f t="shared" si="11"/>
        <v>2311.4652926463536</v>
      </c>
      <c r="AC14" s="2">
        <f t="shared" si="11"/>
        <v>2323.0226191095853</v>
      </c>
      <c r="AD14" s="2">
        <f t="shared" si="11"/>
        <v>2325.3456417286943</v>
      </c>
      <c r="AE14" s="2">
        <f t="shared" si="11"/>
        <v>2327.6709873704226</v>
      </c>
      <c r="AF14" s="2">
        <f t="shared" si="11"/>
        <v>2329.9986583577929</v>
      </c>
      <c r="AG14" s="2">
        <f t="shared" si="11"/>
        <v>2332.3286570161504</v>
      </c>
      <c r="AH14" s="2">
        <f t="shared" si="11"/>
        <v>2334.6609856731661</v>
      </c>
      <c r="AI14" s="2">
        <f t="shared" si="11"/>
        <v>2336.9956466588392</v>
      </c>
      <c r="AJ14" s="2">
        <f t="shared" si="11"/>
        <v>2339.3326423054978</v>
      </c>
      <c r="AK14" s="2">
        <f t="shared" si="11"/>
        <v>2341.6719749478029</v>
      </c>
      <c r="AL14" s="2">
        <f t="shared" si="11"/>
        <v>2344.0136469227505</v>
      </c>
      <c r="AM14" s="2">
        <f t="shared" si="11"/>
        <v>2346.357660569673</v>
      </c>
      <c r="AN14" s="2">
        <f t="shared" si="11"/>
        <v>2348.7040182302421</v>
      </c>
      <c r="AO14" s="2">
        <f t="shared" si="11"/>
        <v>2351.052722248472</v>
      </c>
      <c r="AP14" s="2">
        <f t="shared" si="11"/>
        <v>2353.4037749707204</v>
      </c>
      <c r="AQ14" s="2">
        <f t="shared" ref="AQ14:AR14" si="12">AQ13*$E$14</f>
        <v>2355.7571787456909</v>
      </c>
      <c r="AR14" s="2">
        <f t="shared" si="12"/>
        <v>2358.1129359244364</v>
      </c>
    </row>
    <row r="15" spans="1:44" ht="12.75" customHeight="1" x14ac:dyDescent="0.15">
      <c r="A15" s="1"/>
      <c r="B15" s="16"/>
      <c r="C15" s="17"/>
      <c r="D15" s="1"/>
      <c r="E15" s="4">
        <v>0.3</v>
      </c>
      <c r="F15" s="13" t="s">
        <v>4</v>
      </c>
      <c r="G15" s="2"/>
      <c r="H15" s="2">
        <f t="shared" ref="H15:AP15" si="13">H14*$E$15</f>
        <v>405</v>
      </c>
      <c r="I15" s="2">
        <f t="shared" si="13"/>
        <v>425.25</v>
      </c>
      <c r="J15" s="2">
        <f t="shared" si="13"/>
        <v>446.51249999999999</v>
      </c>
      <c r="K15" s="2">
        <f t="shared" si="13"/>
        <v>468.83812499999999</v>
      </c>
      <c r="L15" s="2">
        <f t="shared" si="13"/>
        <v>492.28003124999998</v>
      </c>
      <c r="M15" s="2">
        <f t="shared" si="13"/>
        <v>516.89403281250009</v>
      </c>
      <c r="N15" s="2">
        <f t="shared" si="13"/>
        <v>542.73873445312506</v>
      </c>
      <c r="O15" s="2">
        <f t="shared" si="13"/>
        <v>569.87567117578135</v>
      </c>
      <c r="P15" s="2">
        <f t="shared" si="13"/>
        <v>598.36945473457047</v>
      </c>
      <c r="Q15" s="2">
        <f t="shared" si="13"/>
        <v>628.28792747129899</v>
      </c>
      <c r="R15" s="2">
        <f t="shared" si="13"/>
        <v>659.70232384486405</v>
      </c>
      <c r="S15" s="2">
        <f t="shared" si="13"/>
        <v>663.00083546408825</v>
      </c>
      <c r="T15" s="2">
        <f t="shared" si="13"/>
        <v>666.31583964140862</v>
      </c>
      <c r="U15" s="2">
        <f t="shared" si="13"/>
        <v>669.64741883961563</v>
      </c>
      <c r="V15" s="2">
        <f t="shared" si="13"/>
        <v>672.99565593381362</v>
      </c>
      <c r="W15" s="2">
        <f t="shared" si="13"/>
        <v>676.36063421348263</v>
      </c>
      <c r="X15" s="2">
        <f t="shared" si="13"/>
        <v>679.74243738455004</v>
      </c>
      <c r="Y15" s="2">
        <f t="shared" si="13"/>
        <v>683.14114957147262</v>
      </c>
      <c r="Z15" s="2">
        <f t="shared" si="13"/>
        <v>686.55685531932988</v>
      </c>
      <c r="AA15" s="2">
        <f t="shared" si="13"/>
        <v>689.98963959592641</v>
      </c>
      <c r="AB15" s="2">
        <f t="shared" si="13"/>
        <v>693.43958779390607</v>
      </c>
      <c r="AC15" s="2">
        <f t="shared" si="13"/>
        <v>696.90678573287562</v>
      </c>
      <c r="AD15" s="2">
        <f t="shared" si="13"/>
        <v>697.60369251860823</v>
      </c>
      <c r="AE15" s="2">
        <f t="shared" si="13"/>
        <v>698.30129621112678</v>
      </c>
      <c r="AF15" s="2">
        <f t="shared" si="13"/>
        <v>698.99959750733785</v>
      </c>
      <c r="AG15" s="2">
        <f t="shared" si="13"/>
        <v>699.69859710484513</v>
      </c>
      <c r="AH15" s="2">
        <f t="shared" si="13"/>
        <v>700.39829570194979</v>
      </c>
      <c r="AI15" s="2">
        <f t="shared" si="13"/>
        <v>701.09869399765171</v>
      </c>
      <c r="AJ15" s="2">
        <f t="shared" si="13"/>
        <v>701.79979269164926</v>
      </c>
      <c r="AK15" s="2">
        <f t="shared" si="13"/>
        <v>702.5015924843409</v>
      </c>
      <c r="AL15" s="2">
        <f t="shared" si="13"/>
        <v>703.20409407682507</v>
      </c>
      <c r="AM15" s="2">
        <f t="shared" si="13"/>
        <v>703.90729817090187</v>
      </c>
      <c r="AN15" s="2">
        <f t="shared" si="13"/>
        <v>704.61120546907262</v>
      </c>
      <c r="AO15" s="2">
        <f t="shared" si="13"/>
        <v>705.31581667454157</v>
      </c>
      <c r="AP15" s="2">
        <f t="shared" si="13"/>
        <v>706.02113249121612</v>
      </c>
      <c r="AQ15" s="2">
        <f t="shared" ref="AQ15:AR15" si="14">AQ14*$E$15</f>
        <v>706.7271536237073</v>
      </c>
      <c r="AR15" s="2">
        <f t="shared" si="14"/>
        <v>707.43388077733096</v>
      </c>
    </row>
    <row r="16" spans="1:44" ht="12.75" customHeight="1" x14ac:dyDescent="0.15">
      <c r="A16" s="1"/>
      <c r="B16" s="16"/>
      <c r="C16" s="1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12.75" customHeight="1" x14ac:dyDescent="0.15">
      <c r="A17" s="1"/>
      <c r="B17" s="16"/>
      <c r="C17" s="17"/>
      <c r="D17" s="1"/>
      <c r="E17" s="1"/>
      <c r="F17" s="11" t="s">
        <v>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12.75" customHeight="1" x14ac:dyDescent="0.15">
      <c r="A18" s="1"/>
      <c r="B18" s="16"/>
      <c r="C18" s="17"/>
      <c r="D18" s="1"/>
      <c r="E18" s="1"/>
      <c r="F18" s="13" t="s">
        <v>8</v>
      </c>
      <c r="G18" s="14"/>
      <c r="H18" s="14">
        <v>3000</v>
      </c>
      <c r="I18" s="14">
        <f t="shared" ref="I18:R18" si="15">H18*105%</f>
        <v>3150</v>
      </c>
      <c r="J18" s="14">
        <f t="shared" si="15"/>
        <v>3307.5</v>
      </c>
      <c r="K18" s="14">
        <f t="shared" si="15"/>
        <v>3472.875</v>
      </c>
      <c r="L18" s="14">
        <f t="shared" si="15"/>
        <v>3646.5187500000002</v>
      </c>
      <c r="M18" s="14">
        <f t="shared" si="15"/>
        <v>3828.8446875000004</v>
      </c>
      <c r="N18" s="14">
        <f t="shared" si="15"/>
        <v>4020.2869218750006</v>
      </c>
      <c r="O18" s="14">
        <f t="shared" si="15"/>
        <v>4221.3012679687508</v>
      </c>
      <c r="P18" s="14">
        <f t="shared" si="15"/>
        <v>4432.3663313671886</v>
      </c>
      <c r="Q18" s="14">
        <f t="shared" si="15"/>
        <v>4653.9846479355483</v>
      </c>
      <c r="R18" s="14">
        <f t="shared" si="15"/>
        <v>4886.6838803323262</v>
      </c>
      <c r="S18" s="14">
        <f t="shared" ref="S18:AC18" si="16">R18*101%</f>
        <v>4935.5507191356492</v>
      </c>
      <c r="T18" s="14">
        <f t="shared" si="16"/>
        <v>4984.9062263270052</v>
      </c>
      <c r="U18" s="14">
        <f t="shared" si="16"/>
        <v>5034.7552885902751</v>
      </c>
      <c r="V18" s="14">
        <f t="shared" si="16"/>
        <v>5085.1028414761777</v>
      </c>
      <c r="W18" s="14">
        <f t="shared" si="16"/>
        <v>5135.9538698909391</v>
      </c>
      <c r="X18" s="14">
        <f t="shared" si="16"/>
        <v>5187.3134085898482</v>
      </c>
      <c r="Y18" s="14">
        <f t="shared" si="16"/>
        <v>5239.1865426757468</v>
      </c>
      <c r="Z18" s="14">
        <f t="shared" si="16"/>
        <v>5291.578408102504</v>
      </c>
      <c r="AA18" s="14">
        <f t="shared" si="16"/>
        <v>5344.4941921835289</v>
      </c>
      <c r="AB18" s="14">
        <f t="shared" si="16"/>
        <v>5397.9391341053642</v>
      </c>
      <c r="AC18" s="14">
        <f t="shared" si="16"/>
        <v>5451.9185254464182</v>
      </c>
      <c r="AD18" s="14">
        <f t="shared" ref="AD18:AR18" si="17">AC18*100.1%</f>
        <v>5457.370443971864</v>
      </c>
      <c r="AE18" s="14">
        <f t="shared" si="17"/>
        <v>5462.8278144158348</v>
      </c>
      <c r="AF18" s="14">
        <f t="shared" si="17"/>
        <v>5468.2906422302503</v>
      </c>
      <c r="AG18" s="14">
        <f t="shared" si="17"/>
        <v>5473.7589328724798</v>
      </c>
      <c r="AH18" s="14">
        <f t="shared" si="17"/>
        <v>5479.2326918053514</v>
      </c>
      <c r="AI18" s="14">
        <f t="shared" si="17"/>
        <v>5484.7119244971564</v>
      </c>
      <c r="AJ18" s="14">
        <f t="shared" si="17"/>
        <v>5490.1966364216532</v>
      </c>
      <c r="AK18" s="14">
        <f t="shared" si="17"/>
        <v>5495.6868330580746</v>
      </c>
      <c r="AL18" s="14">
        <f t="shared" si="17"/>
        <v>5501.182519891132</v>
      </c>
      <c r="AM18" s="14">
        <f t="shared" si="17"/>
        <v>5506.6837024110228</v>
      </c>
      <c r="AN18" s="14">
        <f t="shared" si="17"/>
        <v>5512.1903861134333</v>
      </c>
      <c r="AO18" s="14">
        <f t="shared" si="17"/>
        <v>5517.702576499546</v>
      </c>
      <c r="AP18" s="14">
        <f t="shared" si="17"/>
        <v>5523.2202790760448</v>
      </c>
      <c r="AQ18" s="14">
        <f t="shared" si="17"/>
        <v>5528.7434993551205</v>
      </c>
      <c r="AR18" s="14">
        <f t="shared" si="17"/>
        <v>5534.2722428544748</v>
      </c>
    </row>
    <row r="19" spans="1:44" ht="12.75" customHeight="1" x14ac:dyDescent="0.15">
      <c r="A19" s="1"/>
      <c r="B19" s="16"/>
      <c r="C19" s="17"/>
      <c r="D19" s="1"/>
      <c r="E19" s="4">
        <v>0.4</v>
      </c>
      <c r="F19" s="1" t="s">
        <v>9</v>
      </c>
      <c r="G19" s="2"/>
      <c r="H19" s="2">
        <f t="shared" ref="H19:AP19" si="18">H18*$E$19</f>
        <v>1200</v>
      </c>
      <c r="I19" s="2">
        <f t="shared" si="18"/>
        <v>1260</v>
      </c>
      <c r="J19" s="2">
        <f t="shared" si="18"/>
        <v>1323</v>
      </c>
      <c r="K19" s="2">
        <f t="shared" si="18"/>
        <v>1389.15</v>
      </c>
      <c r="L19" s="2">
        <f t="shared" si="18"/>
        <v>1458.6075000000001</v>
      </c>
      <c r="M19" s="2">
        <f t="shared" si="18"/>
        <v>1531.5378750000002</v>
      </c>
      <c r="N19" s="2">
        <f t="shared" si="18"/>
        <v>1608.1147687500004</v>
      </c>
      <c r="O19" s="2">
        <f t="shared" si="18"/>
        <v>1688.5205071875005</v>
      </c>
      <c r="P19" s="2">
        <f t="shared" si="18"/>
        <v>1772.9465325468755</v>
      </c>
      <c r="Q19" s="2">
        <f t="shared" si="18"/>
        <v>1861.5938591742195</v>
      </c>
      <c r="R19" s="2">
        <f t="shared" si="18"/>
        <v>1954.6735521329306</v>
      </c>
      <c r="S19" s="2">
        <f t="shared" si="18"/>
        <v>1974.2202876542597</v>
      </c>
      <c r="T19" s="2">
        <f t="shared" si="18"/>
        <v>1993.9624905308021</v>
      </c>
      <c r="U19" s="2">
        <f t="shared" si="18"/>
        <v>2013.9021154361101</v>
      </c>
      <c r="V19" s="2">
        <f t="shared" si="18"/>
        <v>2034.0411365904711</v>
      </c>
      <c r="W19" s="2">
        <f t="shared" si="18"/>
        <v>2054.3815479563759</v>
      </c>
      <c r="X19" s="2">
        <f t="shared" si="18"/>
        <v>2074.9253634359393</v>
      </c>
      <c r="Y19" s="2">
        <f t="shared" si="18"/>
        <v>2095.6746170702986</v>
      </c>
      <c r="Z19" s="2">
        <f t="shared" si="18"/>
        <v>2116.6313632410015</v>
      </c>
      <c r="AA19" s="2">
        <f t="shared" si="18"/>
        <v>2137.7976768734115</v>
      </c>
      <c r="AB19" s="2">
        <f t="shared" si="18"/>
        <v>2159.1756536421458</v>
      </c>
      <c r="AC19" s="2">
        <f t="shared" si="18"/>
        <v>2180.7674101785674</v>
      </c>
      <c r="AD19" s="2">
        <f t="shared" si="18"/>
        <v>2182.9481775887457</v>
      </c>
      <c r="AE19" s="2">
        <f t="shared" si="18"/>
        <v>2185.1311257663342</v>
      </c>
      <c r="AF19" s="2">
        <f t="shared" si="18"/>
        <v>2187.3162568921002</v>
      </c>
      <c r="AG19" s="2">
        <f t="shared" si="18"/>
        <v>2189.503573148992</v>
      </c>
      <c r="AH19" s="2">
        <f t="shared" si="18"/>
        <v>2191.6930767221406</v>
      </c>
      <c r="AI19" s="2">
        <f t="shared" si="18"/>
        <v>2193.8847697988626</v>
      </c>
      <c r="AJ19" s="2">
        <f t="shared" si="18"/>
        <v>2196.0786545686615</v>
      </c>
      <c r="AK19" s="2">
        <f t="shared" si="18"/>
        <v>2198.2747332232298</v>
      </c>
      <c r="AL19" s="2">
        <f t="shared" si="18"/>
        <v>2200.4730079564529</v>
      </c>
      <c r="AM19" s="2">
        <f t="shared" si="18"/>
        <v>2202.673480964409</v>
      </c>
      <c r="AN19" s="2">
        <f t="shared" si="18"/>
        <v>2204.8761544453732</v>
      </c>
      <c r="AO19" s="2">
        <f t="shared" si="18"/>
        <v>2207.0810305998184</v>
      </c>
      <c r="AP19" s="2">
        <f t="shared" si="18"/>
        <v>2209.2881116304179</v>
      </c>
      <c r="AQ19" s="2">
        <f t="shared" ref="AQ19:AR19" si="19">AQ18*$E$19</f>
        <v>2211.4973997420484</v>
      </c>
      <c r="AR19" s="2">
        <f t="shared" si="19"/>
        <v>2213.7088971417902</v>
      </c>
    </row>
    <row r="20" spans="1:44" ht="12.75" customHeight="1" x14ac:dyDescent="0.15">
      <c r="A20" s="1"/>
      <c r="B20" s="16"/>
      <c r="C20" s="17"/>
      <c r="D20" s="1"/>
      <c r="E20" s="4">
        <v>7.0000000000000007E-2</v>
      </c>
      <c r="F20" s="13" t="s">
        <v>10</v>
      </c>
      <c r="G20" s="2"/>
      <c r="H20" s="2">
        <f t="shared" ref="H20:AP20" si="20">H19*$E$20</f>
        <v>84.000000000000014</v>
      </c>
      <c r="I20" s="2">
        <f t="shared" si="20"/>
        <v>88.2</v>
      </c>
      <c r="J20" s="2">
        <f t="shared" si="20"/>
        <v>92.610000000000014</v>
      </c>
      <c r="K20" s="2">
        <f t="shared" si="20"/>
        <v>97.240500000000011</v>
      </c>
      <c r="L20" s="2">
        <f t="shared" si="20"/>
        <v>102.10252500000001</v>
      </c>
      <c r="M20" s="2">
        <f t="shared" si="20"/>
        <v>107.20765125000003</v>
      </c>
      <c r="N20" s="2">
        <f t="shared" si="20"/>
        <v>112.56803381250003</v>
      </c>
      <c r="O20" s="2">
        <f t="shared" si="20"/>
        <v>118.19643550312504</v>
      </c>
      <c r="P20" s="2">
        <f t="shared" si="20"/>
        <v>124.10625727828129</v>
      </c>
      <c r="Q20" s="2">
        <f t="shared" si="20"/>
        <v>130.31157014219536</v>
      </c>
      <c r="R20" s="2">
        <f t="shared" si="20"/>
        <v>136.82714864930514</v>
      </c>
      <c r="S20" s="2">
        <f t="shared" si="20"/>
        <v>138.1954201357982</v>
      </c>
      <c r="T20" s="2">
        <f t="shared" si="20"/>
        <v>139.57737433715616</v>
      </c>
      <c r="U20" s="2">
        <f t="shared" si="20"/>
        <v>140.97314808052772</v>
      </c>
      <c r="V20" s="2">
        <f t="shared" si="20"/>
        <v>142.382879561333</v>
      </c>
      <c r="W20" s="2">
        <f t="shared" si="20"/>
        <v>143.80670835694633</v>
      </c>
      <c r="X20" s="2">
        <f t="shared" si="20"/>
        <v>145.24477544051575</v>
      </c>
      <c r="Y20" s="2">
        <f t="shared" si="20"/>
        <v>146.69722319492092</v>
      </c>
      <c r="Z20" s="2">
        <f t="shared" si="20"/>
        <v>148.16419542687012</v>
      </c>
      <c r="AA20" s="2">
        <f t="shared" si="20"/>
        <v>149.64583738113882</v>
      </c>
      <c r="AB20" s="2">
        <f t="shared" si="20"/>
        <v>151.14229575495023</v>
      </c>
      <c r="AC20" s="2">
        <f t="shared" si="20"/>
        <v>152.65371871249974</v>
      </c>
      <c r="AD20" s="2">
        <f t="shared" si="20"/>
        <v>152.80637243121222</v>
      </c>
      <c r="AE20" s="2">
        <f t="shared" si="20"/>
        <v>152.9591788036434</v>
      </c>
      <c r="AF20" s="2">
        <f t="shared" si="20"/>
        <v>153.11213798244702</v>
      </c>
      <c r="AG20" s="2">
        <f t="shared" si="20"/>
        <v>153.26525012042944</v>
      </c>
      <c r="AH20" s="2">
        <f t="shared" si="20"/>
        <v>153.41851537054987</v>
      </c>
      <c r="AI20" s="2">
        <f t="shared" si="20"/>
        <v>153.5719338859204</v>
      </c>
      <c r="AJ20" s="2">
        <f t="shared" si="20"/>
        <v>153.72550581980633</v>
      </c>
      <c r="AK20" s="2">
        <f t="shared" si="20"/>
        <v>153.87923132562611</v>
      </c>
      <c r="AL20" s="2">
        <f t="shared" si="20"/>
        <v>154.03311055695173</v>
      </c>
      <c r="AM20" s="2">
        <f t="shared" si="20"/>
        <v>154.18714366750865</v>
      </c>
      <c r="AN20" s="2">
        <f t="shared" si="20"/>
        <v>154.34133081117614</v>
      </c>
      <c r="AO20" s="2">
        <f t="shared" si="20"/>
        <v>154.49567214198731</v>
      </c>
      <c r="AP20" s="2">
        <f t="shared" si="20"/>
        <v>154.65016781412928</v>
      </c>
      <c r="AQ20" s="2">
        <f t="shared" ref="AQ20:AR20" si="21">AQ19*$E$20</f>
        <v>154.80481798194342</v>
      </c>
      <c r="AR20" s="2">
        <f t="shared" si="21"/>
        <v>154.95962279992534</v>
      </c>
    </row>
    <row r="21" spans="1:44" ht="12.75" customHeight="1" x14ac:dyDescent="0.15">
      <c r="A21" s="1"/>
      <c r="B21" s="16"/>
      <c r="C21" s="17"/>
      <c r="D21" s="1"/>
      <c r="E21" s="13"/>
      <c r="F21" s="1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1:44" ht="12.75" customHeight="1" x14ac:dyDescent="0.15">
      <c r="A22" s="1"/>
      <c r="B22" s="16"/>
      <c r="C22" s="17"/>
      <c r="D22" s="1"/>
      <c r="E22" s="13"/>
      <c r="F22" s="18" t="s">
        <v>11</v>
      </c>
      <c r="G22" s="19">
        <f t="shared" ref="G22:AP22" si="22">G10+G15+G20</f>
        <v>0</v>
      </c>
      <c r="H22" s="19">
        <f>H10+H15+H20</f>
        <v>789</v>
      </c>
      <c r="I22" s="19">
        <f t="shared" si="22"/>
        <v>834.45</v>
      </c>
      <c r="J22" s="19">
        <f t="shared" si="22"/>
        <v>876.17250000000001</v>
      </c>
      <c r="K22" s="19">
        <f t="shared" si="22"/>
        <v>919.98112500000002</v>
      </c>
      <c r="L22" s="19">
        <f t="shared" si="22"/>
        <v>965.98018124999999</v>
      </c>
      <c r="M22" s="19">
        <f t="shared" si="22"/>
        <v>1014.2791903125001</v>
      </c>
      <c r="N22" s="19">
        <f t="shared" si="22"/>
        <v>1064.9931498281251</v>
      </c>
      <c r="O22" s="19">
        <f t="shared" si="22"/>
        <v>1118.2428073195315</v>
      </c>
      <c r="P22" s="19">
        <f t="shared" si="22"/>
        <v>1174.154947685508</v>
      </c>
      <c r="Q22" s="19">
        <f t="shared" si="22"/>
        <v>1232.8626950697835</v>
      </c>
      <c r="R22" s="19">
        <f t="shared" si="22"/>
        <v>1294.505829823273</v>
      </c>
      <c r="S22" s="19">
        <f t="shared" si="22"/>
        <v>1309.1321400755724</v>
      </c>
      <c r="T22" s="19">
        <f t="shared" si="22"/>
        <v>1323.9878161437643</v>
      </c>
      <c r="U22" s="19">
        <f t="shared" si="22"/>
        <v>1339.0770611286471</v>
      </c>
      <c r="V22" s="19">
        <f t="shared" si="22"/>
        <v>1354.4041595878202</v>
      </c>
      <c r="W22" s="19">
        <f t="shared" si="22"/>
        <v>1369.9734791449559</v>
      </c>
      <c r="X22" s="19">
        <f t="shared" si="22"/>
        <v>1385.7894721310834</v>
      </c>
      <c r="Y22" s="19">
        <f t="shared" si="22"/>
        <v>1401.8566772585316</v>
      </c>
      <c r="Z22" s="19">
        <f t="shared" si="22"/>
        <v>1418.1797213281809</v>
      </c>
      <c r="AA22" s="19">
        <f t="shared" si="22"/>
        <v>1434.7633209706855</v>
      </c>
      <c r="AB22" s="19">
        <f t="shared" si="22"/>
        <v>1451.6122844223491</v>
      </c>
      <c r="AC22" s="19">
        <f t="shared" si="22"/>
        <v>1468.7315133363381</v>
      </c>
      <c r="AD22" s="19">
        <f t="shared" si="22"/>
        <v>1481.9644940186024</v>
      </c>
      <c r="AE22" s="19">
        <f t="shared" si="22"/>
        <v>1495.4459926649281</v>
      </c>
      <c r="AF22" s="19">
        <f t="shared" si="22"/>
        <v>1509.1809634929457</v>
      </c>
      <c r="AG22" s="19">
        <f t="shared" si="22"/>
        <v>1523.1744597884988</v>
      </c>
      <c r="AH22" s="19">
        <f t="shared" si="22"/>
        <v>1537.4316358869883</v>
      </c>
      <c r="AI22" s="19">
        <f t="shared" si="22"/>
        <v>1551.9577491943505</v>
      </c>
      <c r="AJ22" s="19">
        <f t="shared" si="22"/>
        <v>1566.7581622484497</v>
      </c>
      <c r="AK22" s="19">
        <f t="shared" si="22"/>
        <v>1581.8383448217007</v>
      </c>
      <c r="AL22" s="19">
        <f t="shared" si="22"/>
        <v>1597.2038760657451</v>
      </c>
      <c r="AM22" s="19">
        <f t="shared" si="22"/>
        <v>1612.8604466990184</v>
      </c>
      <c r="AN22" s="19">
        <f t="shared" si="22"/>
        <v>1628.813861238069</v>
      </c>
      <c r="AO22" s="19">
        <f t="shared" si="22"/>
        <v>1645.0700402735054</v>
      </c>
      <c r="AP22" s="19">
        <f t="shared" si="22"/>
        <v>1661.6350227914611</v>
      </c>
      <c r="AQ22" s="19">
        <f t="shared" ref="AQ22:AR22" si="23">AQ10+AQ15+AQ20</f>
        <v>1678.514968541489</v>
      </c>
      <c r="AR22" s="19">
        <f t="shared" si="23"/>
        <v>1695.7161604518114</v>
      </c>
    </row>
    <row r="23" spans="1:44" ht="12.75" customHeight="1" x14ac:dyDescent="0.15">
      <c r="A23" s="1"/>
      <c r="B23" s="16"/>
      <c r="C23" s="17"/>
      <c r="D23" s="1"/>
      <c r="E23" s="4">
        <v>0.75</v>
      </c>
      <c r="F23" s="1" t="s">
        <v>12</v>
      </c>
      <c r="G23" s="2">
        <f t="shared" ref="G23:AP23" si="24">G22*$E23</f>
        <v>0</v>
      </c>
      <c r="H23" s="2">
        <f>H22*$E23</f>
        <v>591.75</v>
      </c>
      <c r="I23" s="2">
        <f t="shared" si="24"/>
        <v>625.83750000000009</v>
      </c>
      <c r="J23" s="2">
        <f t="shared" si="24"/>
        <v>657.12937499999998</v>
      </c>
      <c r="K23" s="2">
        <f t="shared" si="24"/>
        <v>689.98584374999996</v>
      </c>
      <c r="L23" s="2">
        <f t="shared" si="24"/>
        <v>724.48513593749999</v>
      </c>
      <c r="M23" s="2">
        <f t="shared" si="24"/>
        <v>760.70939273437511</v>
      </c>
      <c r="N23" s="2">
        <f t="shared" si="24"/>
        <v>798.74486237109386</v>
      </c>
      <c r="O23" s="2">
        <f t="shared" si="24"/>
        <v>838.68210548964862</v>
      </c>
      <c r="P23" s="2">
        <f t="shared" si="24"/>
        <v>880.61621076413098</v>
      </c>
      <c r="Q23" s="2">
        <f t="shared" si="24"/>
        <v>924.64702130233763</v>
      </c>
      <c r="R23" s="2">
        <f t="shared" si="24"/>
        <v>970.87937236745472</v>
      </c>
      <c r="S23" s="2">
        <f t="shared" si="24"/>
        <v>981.84910505667926</v>
      </c>
      <c r="T23" s="2">
        <f t="shared" si="24"/>
        <v>992.9908621078232</v>
      </c>
      <c r="U23" s="2">
        <f t="shared" si="24"/>
        <v>1004.3077958464853</v>
      </c>
      <c r="V23" s="2">
        <f t="shared" si="24"/>
        <v>1015.8031196908652</v>
      </c>
      <c r="W23" s="2">
        <f t="shared" si="24"/>
        <v>1027.4801093587171</v>
      </c>
      <c r="X23" s="2">
        <f t="shared" si="24"/>
        <v>1039.3421040983126</v>
      </c>
      <c r="Y23" s="2">
        <f t="shared" si="24"/>
        <v>1051.3925079438986</v>
      </c>
      <c r="Z23" s="2">
        <f t="shared" si="24"/>
        <v>1063.6347909961357</v>
      </c>
      <c r="AA23" s="2">
        <f t="shared" si="24"/>
        <v>1076.0724907280141</v>
      </c>
      <c r="AB23" s="2">
        <f t="shared" si="24"/>
        <v>1088.7092133167619</v>
      </c>
      <c r="AC23" s="2">
        <f t="shared" si="24"/>
        <v>1101.5486350022536</v>
      </c>
      <c r="AD23" s="2">
        <f t="shared" si="24"/>
        <v>1111.4733705139517</v>
      </c>
      <c r="AE23" s="2">
        <f t="shared" si="24"/>
        <v>1121.5844944986961</v>
      </c>
      <c r="AF23" s="2">
        <f t="shared" si="24"/>
        <v>1131.8857226197092</v>
      </c>
      <c r="AG23" s="2">
        <f t="shared" si="24"/>
        <v>1142.380844841374</v>
      </c>
      <c r="AH23" s="2">
        <f t="shared" si="24"/>
        <v>1153.0737269152412</v>
      </c>
      <c r="AI23" s="2">
        <f t="shared" si="24"/>
        <v>1163.9683118957628</v>
      </c>
      <c r="AJ23" s="2">
        <f t="shared" si="24"/>
        <v>1175.0686216863373</v>
      </c>
      <c r="AK23" s="2">
        <f t="shared" si="24"/>
        <v>1186.3787586162755</v>
      </c>
      <c r="AL23" s="2">
        <f t="shared" si="24"/>
        <v>1197.9029070493089</v>
      </c>
      <c r="AM23" s="2">
        <f t="shared" si="24"/>
        <v>1209.6453350242639</v>
      </c>
      <c r="AN23" s="2">
        <f t="shared" si="24"/>
        <v>1221.6103959285517</v>
      </c>
      <c r="AO23" s="2">
        <f t="shared" si="24"/>
        <v>1233.802530205129</v>
      </c>
      <c r="AP23" s="2">
        <f t="shared" si="24"/>
        <v>1246.2262670935959</v>
      </c>
      <c r="AQ23" s="2">
        <f t="shared" ref="AQ23:AR23" si="25">AQ22*$E23</f>
        <v>1258.8862264061167</v>
      </c>
      <c r="AR23" s="2">
        <f t="shared" si="25"/>
        <v>1271.7871203388586</v>
      </c>
    </row>
    <row r="24" spans="1:44" ht="12.75" customHeight="1" x14ac:dyDescent="0.15">
      <c r="A24" s="1"/>
      <c r="B24" s="16"/>
      <c r="C24" s="17"/>
      <c r="D24" s="1"/>
      <c r="E24" s="20">
        <f>100%-E23</f>
        <v>0.25</v>
      </c>
      <c r="F24" s="1" t="s">
        <v>13</v>
      </c>
      <c r="G24" s="2">
        <f t="shared" ref="G24:AP24" si="26">G22*$E24</f>
        <v>0</v>
      </c>
      <c r="H24" s="2">
        <f>H22*$E24</f>
        <v>197.25</v>
      </c>
      <c r="I24" s="2">
        <f t="shared" si="26"/>
        <v>208.61250000000001</v>
      </c>
      <c r="J24" s="2">
        <f t="shared" si="26"/>
        <v>219.043125</v>
      </c>
      <c r="K24" s="2">
        <f t="shared" si="26"/>
        <v>229.99528125000001</v>
      </c>
      <c r="L24" s="2">
        <f t="shared" si="26"/>
        <v>241.4950453125</v>
      </c>
      <c r="M24" s="2">
        <f t="shared" si="26"/>
        <v>253.56979757812502</v>
      </c>
      <c r="N24" s="2">
        <f t="shared" si="26"/>
        <v>266.24828745703127</v>
      </c>
      <c r="O24" s="2">
        <f t="shared" si="26"/>
        <v>279.56070182988287</v>
      </c>
      <c r="P24" s="2">
        <f t="shared" si="26"/>
        <v>293.53873692137699</v>
      </c>
      <c r="Q24" s="2">
        <f t="shared" si="26"/>
        <v>308.21567376744588</v>
      </c>
      <c r="R24" s="2">
        <f t="shared" si="26"/>
        <v>323.62645745581824</v>
      </c>
      <c r="S24" s="2">
        <f t="shared" si="26"/>
        <v>327.28303501889309</v>
      </c>
      <c r="T24" s="2">
        <f t="shared" si="26"/>
        <v>330.99695403594109</v>
      </c>
      <c r="U24" s="2">
        <f t="shared" si="26"/>
        <v>334.76926528216177</v>
      </c>
      <c r="V24" s="2">
        <f t="shared" si="26"/>
        <v>338.60103989695506</v>
      </c>
      <c r="W24" s="2">
        <f t="shared" si="26"/>
        <v>342.49336978623899</v>
      </c>
      <c r="X24" s="2">
        <f t="shared" si="26"/>
        <v>346.44736803277084</v>
      </c>
      <c r="Y24" s="2">
        <f t="shared" si="26"/>
        <v>350.4641693146329</v>
      </c>
      <c r="Z24" s="2">
        <f t="shared" si="26"/>
        <v>354.54493033204523</v>
      </c>
      <c r="AA24" s="2">
        <f t="shared" si="26"/>
        <v>358.69083024267138</v>
      </c>
      <c r="AB24" s="2">
        <f t="shared" si="26"/>
        <v>362.90307110558729</v>
      </c>
      <c r="AC24" s="2">
        <f t="shared" si="26"/>
        <v>367.18287833408453</v>
      </c>
      <c r="AD24" s="2">
        <f t="shared" si="26"/>
        <v>370.4911235046506</v>
      </c>
      <c r="AE24" s="2">
        <f t="shared" si="26"/>
        <v>373.86149816623202</v>
      </c>
      <c r="AF24" s="2">
        <f t="shared" si="26"/>
        <v>377.29524087323642</v>
      </c>
      <c r="AG24" s="2">
        <f t="shared" si="26"/>
        <v>380.79361494712469</v>
      </c>
      <c r="AH24" s="2">
        <f t="shared" si="26"/>
        <v>384.35790897174707</v>
      </c>
      <c r="AI24" s="2">
        <f t="shared" si="26"/>
        <v>387.98943729858763</v>
      </c>
      <c r="AJ24" s="2">
        <f t="shared" si="26"/>
        <v>391.68954056211243</v>
      </c>
      <c r="AK24" s="2">
        <f t="shared" si="26"/>
        <v>395.45958620542518</v>
      </c>
      <c r="AL24" s="2">
        <f t="shared" si="26"/>
        <v>399.30096901643628</v>
      </c>
      <c r="AM24" s="2">
        <f t="shared" si="26"/>
        <v>403.21511167475461</v>
      </c>
      <c r="AN24" s="2">
        <f t="shared" si="26"/>
        <v>407.20346530951724</v>
      </c>
      <c r="AO24" s="2">
        <f t="shared" si="26"/>
        <v>411.26751006837634</v>
      </c>
      <c r="AP24" s="2">
        <f t="shared" si="26"/>
        <v>415.40875569786527</v>
      </c>
      <c r="AQ24" s="2">
        <f t="shared" ref="AQ24:AR24" si="27">AQ22*$E24</f>
        <v>419.62874213537225</v>
      </c>
      <c r="AR24" s="2">
        <f t="shared" si="27"/>
        <v>423.92904011295286</v>
      </c>
    </row>
    <row r="25" spans="1:44" ht="12.75" customHeight="1" x14ac:dyDescent="0.1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12.75" customHeight="1" x14ac:dyDescent="0.15">
      <c r="A26" s="1"/>
      <c r="B26" s="21" t="s">
        <v>14</v>
      </c>
      <c r="C26" s="22"/>
      <c r="D26" s="1"/>
      <c r="E26" s="23" t="s">
        <v>15</v>
      </c>
      <c r="F26" s="24" t="s">
        <v>16</v>
      </c>
      <c r="G26" s="24">
        <f t="shared" ref="G26" si="28">G27+G28</f>
        <v>0</v>
      </c>
      <c r="H26" s="24">
        <f>IF($C$7=1, (H27+H28)*1.1, H27+H28)</f>
        <v>681301.5</v>
      </c>
      <c r="I26" s="24">
        <f>IF($C$7=1, (I27+I28)*1.1, I27+I28)</f>
        <v>720547.57500000007</v>
      </c>
      <c r="J26" s="24">
        <f>IF($C$7=1, (J27+J28)*1.1, J27+J28)</f>
        <v>756574.95374999999</v>
      </c>
      <c r="K26" s="24">
        <f>IF($C$7=1, (K27+K28)*1.1, K27+K28)</f>
        <v>794403.70143750007</v>
      </c>
      <c r="L26" s="24">
        <f>IF($C$7=1, (L27+L28)*1.1, L27+L28)</f>
        <v>834123.88650937495</v>
      </c>
      <c r="M26" s="24">
        <f>IF($C$7=1, (M27+M28)*1.1, M27+M28)</f>
        <v>875830.08083484392</v>
      </c>
      <c r="N26" s="24">
        <f>IF($C$7=1, (N27+N28)*1.1, N27+N28)</f>
        <v>919621.5848765861</v>
      </c>
      <c r="O26" s="24">
        <f>IF($C$7=1, (O27+O28)*1.1, O27+O28)</f>
        <v>965602.66412041557</v>
      </c>
      <c r="P26" s="24">
        <f>IF($C$7=1, (P27+P28)*1.1, P27+P28)</f>
        <v>1013882.7973264361</v>
      </c>
      <c r="Q26" s="24">
        <f>IF($C$7=1, (Q27+Q28)*1.1, Q27+Q28)</f>
        <v>1064576.9371927581</v>
      </c>
      <c r="R26" s="24">
        <f>IF($C$7=1, (R27+R28)*1.1, R27+R28)</f>
        <v>1117805.7840523962</v>
      </c>
      <c r="S26" s="24">
        <f>IF($C$7=1, (S27+S28)*1.1, S27+S28)</f>
        <v>1130435.6029552568</v>
      </c>
      <c r="T26" s="24">
        <f>IF($C$7=1, (T27+T28)*1.1, T27+T28)</f>
        <v>1143263.4792401406</v>
      </c>
      <c r="U26" s="24">
        <f>IF($C$7=1, (U27+U28)*1.1, U27+U28)</f>
        <v>1156293.0422845869</v>
      </c>
      <c r="V26" s="24">
        <f>IF($C$7=1, (V27+V28)*1.1, V27+V28)</f>
        <v>1169527.9918040831</v>
      </c>
      <c r="W26" s="24">
        <f>IF($C$7=1, (W27+W28)*1.1, W27+W28)</f>
        <v>1182972.0992416698</v>
      </c>
      <c r="X26" s="24">
        <f>IF($C$7=1, (X27+X28)*1.1, X27+X28)</f>
        <v>1196629.2091851907</v>
      </c>
      <c r="Y26" s="24">
        <f>IF($C$7=1, (Y27+Y28)*1.1, Y27+Y28)</f>
        <v>1210503.2408127422</v>
      </c>
      <c r="Z26" s="24">
        <f>IF($C$7=1, (Z27+Z28)*1.1, Z27+Z28)</f>
        <v>1224598.1893668841</v>
      </c>
      <c r="AA26" s="24">
        <f>IF($C$7=1, (AA27+AA28)*1.1, AA27+AA28)</f>
        <v>1238918.1276581872</v>
      </c>
      <c r="AB26" s="24">
        <f>IF($C$7=1, (AB27+AB28)*1.1, AB27+AB28)</f>
        <v>1253467.2075986986</v>
      </c>
      <c r="AC26" s="24">
        <f>IF($C$7=1, (AC27+AC28)*1.1, AC27+AC28)</f>
        <v>1268249.6617659281</v>
      </c>
      <c r="AD26" s="24">
        <f>IF($C$7=1, (AD27+AD28)*1.1, AD27+AD28)</f>
        <v>1279676.3405850634</v>
      </c>
      <c r="AE26" s="24">
        <f>IF($C$7=1, (AE27+AE28)*1.1, AE27+AE28)</f>
        <v>1291317.6146661656</v>
      </c>
      <c r="AF26" s="24">
        <f>IF($C$7=1, (AF27+AF28)*1.1, AF27+AF28)</f>
        <v>1303177.7619761587</v>
      </c>
      <c r="AG26" s="24">
        <f>IF($C$7=1, (AG27+AG28)*1.1, AG27+AG28)</f>
        <v>1315261.1460273687</v>
      </c>
      <c r="AH26" s="24">
        <f>IF($C$7=1, (AH27+AH28)*1.1, AH27+AH28)</f>
        <v>1327572.2175884144</v>
      </c>
      <c r="AI26" s="24">
        <f>IF($C$7=1, (AI27+AI28)*1.1, AI27+AI28)</f>
        <v>1340115.5164293218</v>
      </c>
      <c r="AJ26" s="24">
        <f>IF($C$7=1, (AJ27+AJ28)*1.1, AJ27+AJ28)</f>
        <v>1352895.6731015362</v>
      </c>
      <c r="AK26" s="24">
        <f>IF($C$7=1, (AK27+AK28)*1.1, AK27+AK28)</f>
        <v>1365917.4107535388</v>
      </c>
      <c r="AL26" s="24">
        <f>IF($C$7=1, (AL27+AL28)*1.1, AL27+AL28)</f>
        <v>1379185.546982771</v>
      </c>
      <c r="AM26" s="24">
        <f>IF($C$7=1, (AM27+AM28)*1.1, AM27+AM28)</f>
        <v>1392704.9957246026</v>
      </c>
      <c r="AN26" s="24">
        <f>IF($C$7=1, (AN27+AN28)*1.1, AN27+AN28)</f>
        <v>1406480.7691790727</v>
      </c>
      <c r="AO26" s="24">
        <f>IF($C$7=1, (AO27+AO28)*1.1, AO27+AO28)</f>
        <v>1420517.979776172</v>
      </c>
      <c r="AP26" s="24">
        <f>IF($C$7=1, (AP27+AP28)*1.1, AP27+AP28)</f>
        <v>1434821.8421804267</v>
      </c>
      <c r="AQ26" s="24">
        <f>IF($C$7=1, (AQ27+AQ28)*1.1, AQ27+AQ28)</f>
        <v>1449397.6753355758</v>
      </c>
      <c r="AR26" s="24">
        <f>IF($C$7=1, (AR27+AR28)*1.1, AR27+AR28)</f>
        <v>1464250.9045501393</v>
      </c>
    </row>
    <row r="27" spans="1:44" ht="12.75" customHeight="1" x14ac:dyDescent="0.15">
      <c r="A27" s="1"/>
      <c r="B27" s="1" t="s">
        <v>17</v>
      </c>
      <c r="C27" s="2">
        <f>G64</f>
        <v>7000000</v>
      </c>
      <c r="D27" s="1"/>
      <c r="E27" s="14">
        <f>IF($C$6=0, 730, 730*1.1)</f>
        <v>730</v>
      </c>
      <c r="F27" s="25" t="s">
        <v>18</v>
      </c>
      <c r="G27" s="2">
        <f t="shared" ref="G27:AP27" si="29">$E$27*G23</f>
        <v>0</v>
      </c>
      <c r="H27" s="2">
        <f>$E$27*H23</f>
        <v>431977.5</v>
      </c>
      <c r="I27" s="2">
        <f t="shared" si="29"/>
        <v>456861.37500000006</v>
      </c>
      <c r="J27" s="2">
        <f t="shared" si="29"/>
        <v>479704.44374999998</v>
      </c>
      <c r="K27" s="2">
        <f t="shared" si="29"/>
        <v>503689.66593749996</v>
      </c>
      <c r="L27" s="2">
        <f t="shared" si="29"/>
        <v>528874.14923437499</v>
      </c>
      <c r="M27" s="2">
        <f t="shared" si="29"/>
        <v>555317.8566960938</v>
      </c>
      <c r="N27" s="2">
        <f t="shared" si="29"/>
        <v>583083.74953089852</v>
      </c>
      <c r="O27" s="2">
        <f t="shared" si="29"/>
        <v>612237.93700744351</v>
      </c>
      <c r="P27" s="2">
        <f t="shared" si="29"/>
        <v>642849.8338578156</v>
      </c>
      <c r="Q27" s="2">
        <f t="shared" si="29"/>
        <v>674992.32555070648</v>
      </c>
      <c r="R27" s="2">
        <f t="shared" si="29"/>
        <v>708741.94182824192</v>
      </c>
      <c r="S27" s="2">
        <f t="shared" si="29"/>
        <v>716749.84669137583</v>
      </c>
      <c r="T27" s="2">
        <f t="shared" si="29"/>
        <v>724883.32933871099</v>
      </c>
      <c r="U27" s="2">
        <f t="shared" si="29"/>
        <v>733144.69096793432</v>
      </c>
      <c r="V27" s="2">
        <f t="shared" si="29"/>
        <v>741536.27737433161</v>
      </c>
      <c r="W27" s="2">
        <f t="shared" si="29"/>
        <v>750060.47983186343</v>
      </c>
      <c r="X27" s="2">
        <f t="shared" si="29"/>
        <v>758719.73599176819</v>
      </c>
      <c r="Y27" s="2">
        <f t="shared" si="29"/>
        <v>767516.53079904604</v>
      </c>
      <c r="Z27" s="2">
        <f t="shared" si="29"/>
        <v>776453.39742717904</v>
      </c>
      <c r="AA27" s="2">
        <f t="shared" si="29"/>
        <v>785532.91823145037</v>
      </c>
      <c r="AB27" s="2">
        <f t="shared" si="29"/>
        <v>794757.7257212362</v>
      </c>
      <c r="AC27" s="2">
        <f t="shared" si="29"/>
        <v>804130.50355164509</v>
      </c>
      <c r="AD27" s="2">
        <f t="shared" si="29"/>
        <v>811375.56047518482</v>
      </c>
      <c r="AE27" s="2">
        <f t="shared" si="29"/>
        <v>818756.68098404817</v>
      </c>
      <c r="AF27" s="2">
        <f t="shared" si="29"/>
        <v>826276.57751238777</v>
      </c>
      <c r="AG27" s="2">
        <f t="shared" si="29"/>
        <v>833938.01673420309</v>
      </c>
      <c r="AH27" s="2">
        <f t="shared" si="29"/>
        <v>841743.82064812607</v>
      </c>
      <c r="AI27" s="2">
        <f t="shared" si="29"/>
        <v>849696.86768390681</v>
      </c>
      <c r="AJ27" s="2">
        <f t="shared" si="29"/>
        <v>857800.09383102623</v>
      </c>
      <c r="AK27" s="2">
        <f t="shared" si="29"/>
        <v>866056.49378988112</v>
      </c>
      <c r="AL27" s="2">
        <f t="shared" si="29"/>
        <v>874469.1221459955</v>
      </c>
      <c r="AM27" s="2">
        <f t="shared" si="29"/>
        <v>883041.09456771263</v>
      </c>
      <c r="AN27" s="2">
        <f t="shared" si="29"/>
        <v>891775.58902784274</v>
      </c>
      <c r="AO27" s="2">
        <f t="shared" si="29"/>
        <v>900675.8470497441</v>
      </c>
      <c r="AP27" s="2">
        <f t="shared" si="29"/>
        <v>909745.17497832503</v>
      </c>
      <c r="AQ27" s="2">
        <f t="shared" ref="AQ27:AR27" si="30">$E$27*AQ23</f>
        <v>918986.94527646527</v>
      </c>
      <c r="AR27" s="2">
        <f t="shared" si="30"/>
        <v>928404.59784736682</v>
      </c>
    </row>
    <row r="28" spans="1:44" ht="15" customHeight="1" x14ac:dyDescent="0.15">
      <c r="A28" s="1"/>
      <c r="B28" s="1" t="s">
        <v>19</v>
      </c>
      <c r="C28" s="2">
        <f>AP68</f>
        <v>8709184.5600319188</v>
      </c>
      <c r="D28" s="1"/>
      <c r="E28" s="14">
        <f>IF($C$6=0, 950, 950*1.1)</f>
        <v>950</v>
      </c>
      <c r="F28" s="25" t="s">
        <v>5</v>
      </c>
      <c r="G28" s="2">
        <f t="shared" ref="G28:AP28" si="31">$E$28*G24</f>
        <v>0</v>
      </c>
      <c r="H28" s="2">
        <f>$E$28*H24</f>
        <v>187387.5</v>
      </c>
      <c r="I28" s="2">
        <f t="shared" si="31"/>
        <v>198181.875</v>
      </c>
      <c r="J28" s="2">
        <f t="shared" si="31"/>
        <v>208090.96875</v>
      </c>
      <c r="K28" s="2">
        <f t="shared" si="31"/>
        <v>218495.51718749999</v>
      </c>
      <c r="L28" s="2">
        <f t="shared" si="31"/>
        <v>229420.29304687498</v>
      </c>
      <c r="M28" s="2">
        <f t="shared" si="31"/>
        <v>240891.30769921877</v>
      </c>
      <c r="N28" s="2">
        <f t="shared" si="31"/>
        <v>252935.87308417971</v>
      </c>
      <c r="O28" s="2">
        <f t="shared" si="31"/>
        <v>265582.66673838871</v>
      </c>
      <c r="P28" s="2">
        <f t="shared" si="31"/>
        <v>278861.80007530813</v>
      </c>
      <c r="Q28" s="2">
        <f t="shared" si="31"/>
        <v>292804.89007907361</v>
      </c>
      <c r="R28" s="2">
        <f t="shared" si="31"/>
        <v>307445.13458302733</v>
      </c>
      <c r="S28" s="2">
        <f t="shared" si="31"/>
        <v>310918.88326794846</v>
      </c>
      <c r="T28" s="2">
        <f t="shared" si="31"/>
        <v>314447.10633414402</v>
      </c>
      <c r="U28" s="2">
        <f t="shared" si="31"/>
        <v>318030.80201805366</v>
      </c>
      <c r="V28" s="2">
        <f t="shared" si="31"/>
        <v>321670.9879021073</v>
      </c>
      <c r="W28" s="2">
        <f t="shared" si="31"/>
        <v>325368.70129692706</v>
      </c>
      <c r="X28" s="2">
        <f t="shared" si="31"/>
        <v>329124.99963113229</v>
      </c>
      <c r="Y28" s="2">
        <f t="shared" si="31"/>
        <v>332940.96084890125</v>
      </c>
      <c r="Z28" s="2">
        <f t="shared" si="31"/>
        <v>336817.68381544296</v>
      </c>
      <c r="AA28" s="2">
        <f t="shared" si="31"/>
        <v>340756.28873053781</v>
      </c>
      <c r="AB28" s="2">
        <f t="shared" si="31"/>
        <v>344757.91755030793</v>
      </c>
      <c r="AC28" s="2">
        <f t="shared" si="31"/>
        <v>348823.7344173803</v>
      </c>
      <c r="AD28" s="2">
        <f t="shared" si="31"/>
        <v>351966.56732941809</v>
      </c>
      <c r="AE28" s="2">
        <f t="shared" si="31"/>
        <v>355168.42325792043</v>
      </c>
      <c r="AF28" s="2">
        <f t="shared" si="31"/>
        <v>358430.4788295746</v>
      </c>
      <c r="AG28" s="2">
        <f t="shared" si="31"/>
        <v>361753.93419976847</v>
      </c>
      <c r="AH28" s="2">
        <f t="shared" si="31"/>
        <v>365140.01352315972</v>
      </c>
      <c r="AI28" s="2">
        <f t="shared" si="31"/>
        <v>368589.96543365828</v>
      </c>
      <c r="AJ28" s="2">
        <f t="shared" si="31"/>
        <v>372105.06353400683</v>
      </c>
      <c r="AK28" s="2">
        <f t="shared" si="31"/>
        <v>375686.60689515393</v>
      </c>
      <c r="AL28" s="2">
        <f t="shared" si="31"/>
        <v>379335.92056561448</v>
      </c>
      <c r="AM28" s="2">
        <f t="shared" si="31"/>
        <v>383054.3560910169</v>
      </c>
      <c r="AN28" s="2">
        <f t="shared" si="31"/>
        <v>386843.29204404139</v>
      </c>
      <c r="AO28" s="2">
        <f t="shared" si="31"/>
        <v>390704.13456495752</v>
      </c>
      <c r="AP28" s="2">
        <f t="shared" si="31"/>
        <v>394638.31791297201</v>
      </c>
      <c r="AQ28" s="2">
        <f t="shared" ref="AQ28:AR28" si="32">$E$28*AQ24</f>
        <v>398647.30502860365</v>
      </c>
      <c r="AR28" s="2">
        <f t="shared" si="32"/>
        <v>402732.58810730523</v>
      </c>
    </row>
    <row r="29" spans="1:44" ht="12.75" customHeight="1" x14ac:dyDescent="0.15">
      <c r="A29" s="1"/>
      <c r="B29" s="1"/>
      <c r="C29" s="2"/>
      <c r="D29" s="1"/>
      <c r="E29" s="1"/>
      <c r="F29" s="1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1:44" ht="12.75" customHeight="1" x14ac:dyDescent="0.15">
      <c r="A30" s="1"/>
      <c r="B30" s="1" t="s">
        <v>20</v>
      </c>
      <c r="C30" s="2">
        <f>AVERAGE(H26:AP26)</f>
        <v>1157964.9751995516</v>
      </c>
      <c r="D30" s="1"/>
      <c r="E30" s="23" t="s">
        <v>21</v>
      </c>
      <c r="F30" s="15" t="s">
        <v>22</v>
      </c>
      <c r="G30" s="26">
        <f t="shared" ref="G30:AP30" si="33">SUM(G31:G39)</f>
        <v>0</v>
      </c>
      <c r="H30" s="26">
        <f t="shared" si="33"/>
        <v>195533.53050000002</v>
      </c>
      <c r="I30" s="26">
        <f t="shared" si="33"/>
        <v>206797.15402500003</v>
      </c>
      <c r="J30" s="26">
        <f t="shared" si="33"/>
        <v>217137.01172625</v>
      </c>
      <c r="K30" s="26">
        <f t="shared" si="33"/>
        <v>227993.86231256253</v>
      </c>
      <c r="L30" s="26">
        <f t="shared" si="33"/>
        <v>239393.55542819062</v>
      </c>
      <c r="M30" s="26">
        <f t="shared" si="33"/>
        <v>251363.23319960025</v>
      </c>
      <c r="N30" s="26">
        <f t="shared" si="33"/>
        <v>263931.39485958021</v>
      </c>
      <c r="O30" s="26">
        <f t="shared" si="33"/>
        <v>277127.96460255928</v>
      </c>
      <c r="P30" s="26">
        <f t="shared" si="33"/>
        <v>290984.36283268721</v>
      </c>
      <c r="Q30" s="26">
        <f t="shared" si="33"/>
        <v>305533.58097432158</v>
      </c>
      <c r="R30" s="26">
        <f t="shared" si="33"/>
        <v>320810.26002303767</v>
      </c>
      <c r="S30" s="26">
        <f t="shared" si="33"/>
        <v>324435.01804815873</v>
      </c>
      <c r="T30" s="26">
        <f t="shared" si="33"/>
        <v>328116.61854192032</v>
      </c>
      <c r="U30" s="26">
        <f t="shared" si="33"/>
        <v>331856.10313567647</v>
      </c>
      <c r="V30" s="26">
        <f t="shared" si="33"/>
        <v>335654.53364777181</v>
      </c>
      <c r="W30" s="26">
        <f t="shared" si="33"/>
        <v>339512.99248235923</v>
      </c>
      <c r="X30" s="26">
        <f t="shared" si="33"/>
        <v>343432.58303614974</v>
      </c>
      <c r="Y30" s="26">
        <f t="shared" si="33"/>
        <v>347414.43011325703</v>
      </c>
      <c r="Z30" s="26">
        <f t="shared" si="33"/>
        <v>351459.68034829583</v>
      </c>
      <c r="AA30" s="26">
        <f t="shared" si="33"/>
        <v>355569.50263789971</v>
      </c>
      <c r="AB30" s="26">
        <f t="shared" si="33"/>
        <v>359745.08858082653</v>
      </c>
      <c r="AC30" s="26">
        <f t="shared" si="33"/>
        <v>363987.65292682144</v>
      </c>
      <c r="AD30" s="26">
        <f t="shared" si="33"/>
        <v>367267.10974791314</v>
      </c>
      <c r="AE30" s="26">
        <f t="shared" si="33"/>
        <v>370608.15540918952</v>
      </c>
      <c r="AF30" s="26">
        <f t="shared" si="33"/>
        <v>374012.01768715755</v>
      </c>
      <c r="AG30" s="26">
        <f t="shared" si="33"/>
        <v>377479.94890985481</v>
      </c>
      <c r="AH30" s="26">
        <f t="shared" si="33"/>
        <v>381013.22644787497</v>
      </c>
      <c r="AI30" s="26">
        <f t="shared" si="33"/>
        <v>384613.15321521537</v>
      </c>
      <c r="AJ30" s="26">
        <f t="shared" si="33"/>
        <v>388281.05818014086</v>
      </c>
      <c r="AK30" s="26">
        <f t="shared" si="33"/>
        <v>392018.29688626563</v>
      </c>
      <c r="AL30" s="26">
        <f t="shared" si="33"/>
        <v>395826.25198405533</v>
      </c>
      <c r="AM30" s="26">
        <f t="shared" si="33"/>
        <v>399706.33377296099</v>
      </c>
      <c r="AN30" s="26">
        <f t="shared" si="33"/>
        <v>403659.98075439385</v>
      </c>
      <c r="AO30" s="26">
        <f t="shared" si="33"/>
        <v>407688.66019576142</v>
      </c>
      <c r="AP30" s="26">
        <f t="shared" si="33"/>
        <v>411793.86870578246</v>
      </c>
      <c r="AQ30" s="26">
        <f t="shared" ref="AQ30:AR30" si="34">SUM(AQ31:AQ39)</f>
        <v>415977.13282131031</v>
      </c>
      <c r="AR30" s="26">
        <f t="shared" si="34"/>
        <v>420240.00960588997</v>
      </c>
    </row>
    <row r="31" spans="1:44" ht="12.75" customHeight="1" x14ac:dyDescent="0.15">
      <c r="A31" s="1"/>
      <c r="B31" s="1" t="s">
        <v>23</v>
      </c>
      <c r="C31" s="2">
        <f>AVERAGE(H59:AP59)</f>
        <v>328453.62880530697</v>
      </c>
      <c r="D31" s="1"/>
      <c r="E31" s="4">
        <f>IF($C$8=1, 14.3%/1.05, 14.3%)</f>
        <v>0.14300000000000002</v>
      </c>
      <c r="F31" s="27" t="s">
        <v>24</v>
      </c>
      <c r="G31" s="28">
        <f t="shared" ref="G31" si="35">G27*$E$31</f>
        <v>0</v>
      </c>
      <c r="H31" s="28">
        <f>H27*$E$31</f>
        <v>61772.782500000008</v>
      </c>
      <c r="I31" s="28">
        <f t="shared" ref="I31:AP31" si="36">I27*$E$31</f>
        <v>65331.176625000015</v>
      </c>
      <c r="J31" s="28">
        <f t="shared" si="36"/>
        <v>68597.735456250011</v>
      </c>
      <c r="K31" s="28">
        <f t="shared" si="36"/>
        <v>72027.622229062501</v>
      </c>
      <c r="L31" s="28">
        <f t="shared" si="36"/>
        <v>75629.003340515628</v>
      </c>
      <c r="M31" s="28">
        <f t="shared" si="36"/>
        <v>79410.453507541417</v>
      </c>
      <c r="N31" s="28">
        <f t="shared" si="36"/>
        <v>83380.976182918501</v>
      </c>
      <c r="O31" s="28">
        <f t="shared" si="36"/>
        <v>87550.024992064427</v>
      </c>
      <c r="P31" s="28">
        <f t="shared" si="36"/>
        <v>91927.526241667641</v>
      </c>
      <c r="Q31" s="28">
        <f t="shared" si="36"/>
        <v>96523.902553751032</v>
      </c>
      <c r="R31" s="28">
        <f t="shared" si="36"/>
        <v>101350.09768143861</v>
      </c>
      <c r="S31" s="28">
        <f t="shared" si="36"/>
        <v>102495.22807686676</v>
      </c>
      <c r="T31" s="28">
        <f t="shared" si="36"/>
        <v>103658.31609543569</v>
      </c>
      <c r="U31" s="28">
        <f t="shared" si="36"/>
        <v>104839.69080841463</v>
      </c>
      <c r="V31" s="28">
        <f t="shared" si="36"/>
        <v>106039.68766452943</v>
      </c>
      <c r="W31" s="28">
        <f t="shared" si="36"/>
        <v>107258.64861595648</v>
      </c>
      <c r="X31" s="28">
        <f t="shared" si="36"/>
        <v>108496.92224682287</v>
      </c>
      <c r="Y31" s="28">
        <f t="shared" si="36"/>
        <v>109754.86390426359</v>
      </c>
      <c r="Z31" s="28">
        <f t="shared" si="36"/>
        <v>111032.83583208661</v>
      </c>
      <c r="AA31" s="28">
        <f t="shared" si="36"/>
        <v>112331.20730709741</v>
      </c>
      <c r="AB31" s="28">
        <f t="shared" si="36"/>
        <v>113650.3547781368</v>
      </c>
      <c r="AC31" s="28">
        <f t="shared" si="36"/>
        <v>114990.66200788526</v>
      </c>
      <c r="AD31" s="28">
        <f t="shared" si="36"/>
        <v>116026.70514795145</v>
      </c>
      <c r="AE31" s="28">
        <f t="shared" si="36"/>
        <v>117082.20538071891</v>
      </c>
      <c r="AF31" s="28">
        <f t="shared" si="36"/>
        <v>118157.55058427146</v>
      </c>
      <c r="AG31" s="28">
        <f t="shared" si="36"/>
        <v>119253.13639299106</v>
      </c>
      <c r="AH31" s="28">
        <f t="shared" si="36"/>
        <v>120369.36635268205</v>
      </c>
      <c r="AI31" s="28">
        <f t="shared" si="36"/>
        <v>121506.65207879868</v>
      </c>
      <c r="AJ31" s="28">
        <f t="shared" si="36"/>
        <v>122665.41341783677</v>
      </c>
      <c r="AK31" s="28">
        <f t="shared" si="36"/>
        <v>123846.07861195301</v>
      </c>
      <c r="AL31" s="28">
        <f t="shared" si="36"/>
        <v>125049.08446687736</v>
      </c>
      <c r="AM31" s="28">
        <f t="shared" si="36"/>
        <v>126274.87652318292</v>
      </c>
      <c r="AN31" s="28">
        <f t="shared" si="36"/>
        <v>127523.90923098153</v>
      </c>
      <c r="AO31" s="28">
        <f t="shared" si="36"/>
        <v>128796.64612811343</v>
      </c>
      <c r="AP31" s="28">
        <f t="shared" si="36"/>
        <v>130093.5600219005</v>
      </c>
      <c r="AQ31" s="28">
        <f t="shared" ref="AQ31:AR31" si="37">AQ27*$E$31</f>
        <v>131415.13317453454</v>
      </c>
      <c r="AR31" s="28">
        <f t="shared" si="37"/>
        <v>132761.85749217347</v>
      </c>
    </row>
    <row r="32" spans="1:44" ht="12.75" customHeight="1" x14ac:dyDescent="0.15">
      <c r="A32" s="1"/>
      <c r="B32" s="1"/>
      <c r="C32" s="2"/>
      <c r="D32" s="1"/>
      <c r="E32" s="4">
        <f>IF($C$8=1, 14.3%/1.05, 14.3%)</f>
        <v>0.14300000000000002</v>
      </c>
      <c r="F32" s="27" t="s">
        <v>25</v>
      </c>
      <c r="G32" s="28">
        <f t="shared" ref="G32" si="38">G28*$E$32</f>
        <v>0</v>
      </c>
      <c r="H32" s="28">
        <f>H28*$E$31</f>
        <v>26796.412500000002</v>
      </c>
      <c r="I32" s="28">
        <f t="shared" ref="I32:AP32" si="39">I28*$E$31</f>
        <v>28340.008125000004</v>
      </c>
      <c r="J32" s="28">
        <f t="shared" si="39"/>
        <v>29757.008531250005</v>
      </c>
      <c r="K32" s="28">
        <f t="shared" si="39"/>
        <v>31244.858957812503</v>
      </c>
      <c r="L32" s="28">
        <f t="shared" si="39"/>
        <v>32807.10190570313</v>
      </c>
      <c r="M32" s="28">
        <f t="shared" si="39"/>
        <v>34447.457000988288</v>
      </c>
      <c r="N32" s="28">
        <f t="shared" si="39"/>
        <v>36169.829851037699</v>
      </c>
      <c r="O32" s="28">
        <f t="shared" si="39"/>
        <v>37978.321343589589</v>
      </c>
      <c r="P32" s="28">
        <f t="shared" si="39"/>
        <v>39877.23741076907</v>
      </c>
      <c r="Q32" s="28">
        <f t="shared" si="39"/>
        <v>41871.099281307528</v>
      </c>
      <c r="R32" s="28">
        <f t="shared" si="39"/>
        <v>43964.654245372913</v>
      </c>
      <c r="S32" s="28">
        <f t="shared" si="39"/>
        <v>44461.400307316639</v>
      </c>
      <c r="T32" s="28">
        <f t="shared" si="39"/>
        <v>44965.9362057826</v>
      </c>
      <c r="U32" s="28">
        <f t="shared" si="39"/>
        <v>45478.404688581679</v>
      </c>
      <c r="V32" s="28">
        <f t="shared" si="39"/>
        <v>45998.951270001351</v>
      </c>
      <c r="W32" s="28">
        <f t="shared" si="39"/>
        <v>46527.724285460572</v>
      </c>
      <c r="X32" s="28">
        <f t="shared" si="39"/>
        <v>47064.874947251919</v>
      </c>
      <c r="Y32" s="28">
        <f t="shared" si="39"/>
        <v>47610.557401392885</v>
      </c>
      <c r="Z32" s="28">
        <f t="shared" si="39"/>
        <v>48164.928785608347</v>
      </c>
      <c r="AA32" s="28">
        <f t="shared" si="39"/>
        <v>48728.149288466913</v>
      </c>
      <c r="AB32" s="28">
        <f t="shared" si="39"/>
        <v>49300.382209694042</v>
      </c>
      <c r="AC32" s="28">
        <f t="shared" si="39"/>
        <v>49881.794021685389</v>
      </c>
      <c r="AD32" s="28">
        <f t="shared" si="39"/>
        <v>50331.219128106794</v>
      </c>
      <c r="AE32" s="28">
        <f t="shared" si="39"/>
        <v>50789.084525882623</v>
      </c>
      <c r="AF32" s="28">
        <f t="shared" si="39"/>
        <v>51255.558472629171</v>
      </c>
      <c r="AG32" s="28">
        <f t="shared" si="39"/>
        <v>51730.812590566893</v>
      </c>
      <c r="AH32" s="28">
        <f t="shared" si="39"/>
        <v>52215.021933811848</v>
      </c>
      <c r="AI32" s="28">
        <f t="shared" si="39"/>
        <v>52708.365057013136</v>
      </c>
      <c r="AJ32" s="28">
        <f t="shared" si="39"/>
        <v>53211.02408536298</v>
      </c>
      <c r="AK32" s="28">
        <f t="shared" si="39"/>
        <v>53723.184786007019</v>
      </c>
      <c r="AL32" s="28">
        <f t="shared" si="39"/>
        <v>54245.036640882878</v>
      </c>
      <c r="AM32" s="28">
        <f t="shared" si="39"/>
        <v>54776.772921015421</v>
      </c>
      <c r="AN32" s="28">
        <f t="shared" si="39"/>
        <v>55318.590762297921</v>
      </c>
      <c r="AO32" s="28">
        <f t="shared" si="39"/>
        <v>55870.691242788933</v>
      </c>
      <c r="AP32" s="28">
        <f t="shared" si="39"/>
        <v>56433.279461555001</v>
      </c>
      <c r="AQ32" s="28">
        <f t="shared" ref="AQ32:AR32" si="40">AQ28*$E$31</f>
        <v>57006.564619090328</v>
      </c>
      <c r="AR32" s="28">
        <f t="shared" si="40"/>
        <v>57590.760099344654</v>
      </c>
    </row>
    <row r="33" spans="1:44" ht="12.75" customHeight="1" x14ac:dyDescent="0.15">
      <c r="A33" s="15"/>
      <c r="B33" s="15"/>
      <c r="C33" s="15"/>
      <c r="D33" s="29"/>
      <c r="E33" s="4">
        <v>0.03</v>
      </c>
      <c r="F33" s="27" t="s">
        <v>26</v>
      </c>
      <c r="G33" s="28">
        <f t="shared" ref="G33:AR33" si="41">G$26*$E33</f>
        <v>0</v>
      </c>
      <c r="H33" s="28">
        <f t="shared" si="41"/>
        <v>20439.044999999998</v>
      </c>
      <c r="I33" s="28">
        <f t="shared" si="41"/>
        <v>21616.427250000001</v>
      </c>
      <c r="J33" s="28">
        <f t="shared" si="41"/>
        <v>22697.2486125</v>
      </c>
      <c r="K33" s="28">
        <f t="shared" si="41"/>
        <v>23832.111043125002</v>
      </c>
      <c r="L33" s="28">
        <f t="shared" si="41"/>
        <v>25023.716595281247</v>
      </c>
      <c r="M33" s="28">
        <f t="shared" si="41"/>
        <v>26274.902425045315</v>
      </c>
      <c r="N33" s="28">
        <f t="shared" si="41"/>
        <v>27588.647546297583</v>
      </c>
      <c r="O33" s="28">
        <f t="shared" si="41"/>
        <v>28968.079923612466</v>
      </c>
      <c r="P33" s="28">
        <f t="shared" si="41"/>
        <v>30416.483919793085</v>
      </c>
      <c r="Q33" s="28">
        <f t="shared" si="41"/>
        <v>31937.30811578274</v>
      </c>
      <c r="R33" s="28">
        <f t="shared" si="41"/>
        <v>33534.173521571887</v>
      </c>
      <c r="S33" s="28">
        <f t="shared" si="41"/>
        <v>33913.068088657703</v>
      </c>
      <c r="T33" s="28">
        <f t="shared" si="41"/>
        <v>34297.904377204221</v>
      </c>
      <c r="U33" s="28">
        <f t="shared" si="41"/>
        <v>34688.791268537607</v>
      </c>
      <c r="V33" s="28">
        <f t="shared" si="41"/>
        <v>35085.839754122491</v>
      </c>
      <c r="W33" s="28">
        <f t="shared" si="41"/>
        <v>35489.162977250089</v>
      </c>
      <c r="X33" s="28">
        <f t="shared" si="41"/>
        <v>35898.876275555718</v>
      </c>
      <c r="Y33" s="28">
        <f t="shared" si="41"/>
        <v>36315.097224382262</v>
      </c>
      <c r="Z33" s="28">
        <f t="shared" si="41"/>
        <v>36737.945681006524</v>
      </c>
      <c r="AA33" s="28">
        <f t="shared" si="41"/>
        <v>37167.543829745613</v>
      </c>
      <c r="AB33" s="28">
        <f t="shared" si="41"/>
        <v>37604.016227960958</v>
      </c>
      <c r="AC33" s="28">
        <f t="shared" si="41"/>
        <v>38047.489852977844</v>
      </c>
      <c r="AD33" s="28">
        <f t="shared" si="41"/>
        <v>38390.290217551905</v>
      </c>
      <c r="AE33" s="28">
        <f t="shared" si="41"/>
        <v>38739.528439984962</v>
      </c>
      <c r="AF33" s="28">
        <f t="shared" si="41"/>
        <v>39095.332859284761</v>
      </c>
      <c r="AG33" s="28">
        <f t="shared" si="41"/>
        <v>39457.834380821063</v>
      </c>
      <c r="AH33" s="28">
        <f t="shared" si="41"/>
        <v>39827.166527652429</v>
      </c>
      <c r="AI33" s="28">
        <f t="shared" si="41"/>
        <v>40203.465492879652</v>
      </c>
      <c r="AJ33" s="28">
        <f t="shared" si="41"/>
        <v>40586.870193046088</v>
      </c>
      <c r="AK33" s="28">
        <f t="shared" si="41"/>
        <v>40977.522322606164</v>
      </c>
      <c r="AL33" s="28">
        <f t="shared" si="41"/>
        <v>41375.56640948313</v>
      </c>
      <c r="AM33" s="28">
        <f t="shared" si="41"/>
        <v>41781.149871738075</v>
      </c>
      <c r="AN33" s="28">
        <f t="shared" si="41"/>
        <v>42194.423075372179</v>
      </c>
      <c r="AO33" s="28">
        <f t="shared" si="41"/>
        <v>42615.539393285158</v>
      </c>
      <c r="AP33" s="28">
        <f t="shared" si="41"/>
        <v>43044.655265412803</v>
      </c>
      <c r="AQ33" s="28">
        <f t="shared" si="41"/>
        <v>43481.930260067275</v>
      </c>
      <c r="AR33" s="28">
        <f t="shared" si="41"/>
        <v>43927.527136504177</v>
      </c>
    </row>
    <row r="34" spans="1:44" ht="12.75" customHeight="1" x14ac:dyDescent="0.15">
      <c r="A34" s="15"/>
      <c r="B34" s="11" t="s">
        <v>27</v>
      </c>
      <c r="C34" s="30">
        <f>(C28-C27)/C27</f>
        <v>0.2441692228617027</v>
      </c>
      <c r="D34" s="29"/>
      <c r="E34" s="4">
        <v>0.02</v>
      </c>
      <c r="F34" s="27" t="s">
        <v>28</v>
      </c>
      <c r="G34" s="28">
        <f t="shared" ref="G34:AR34" si="42">G$26*$E34</f>
        <v>0</v>
      </c>
      <c r="H34" s="28">
        <f t="shared" si="42"/>
        <v>13626.03</v>
      </c>
      <c r="I34" s="28">
        <f t="shared" si="42"/>
        <v>14410.951500000001</v>
      </c>
      <c r="J34" s="28">
        <f t="shared" si="42"/>
        <v>15131.499075</v>
      </c>
      <c r="K34" s="28">
        <f t="shared" si="42"/>
        <v>15888.074028750001</v>
      </c>
      <c r="L34" s="28">
        <f t="shared" si="42"/>
        <v>16682.4777301875</v>
      </c>
      <c r="M34" s="28">
        <f t="shared" si="42"/>
        <v>17516.60161669688</v>
      </c>
      <c r="N34" s="28">
        <f t="shared" si="42"/>
        <v>18392.431697531723</v>
      </c>
      <c r="O34" s="28">
        <f t="shared" si="42"/>
        <v>19312.053282408313</v>
      </c>
      <c r="P34" s="28">
        <f t="shared" si="42"/>
        <v>20277.655946528725</v>
      </c>
      <c r="Q34" s="28">
        <f t="shared" si="42"/>
        <v>21291.538743855162</v>
      </c>
      <c r="R34" s="28">
        <f t="shared" si="42"/>
        <v>22356.115681047926</v>
      </c>
      <c r="S34" s="28">
        <f t="shared" si="42"/>
        <v>22608.712059105135</v>
      </c>
      <c r="T34" s="28">
        <f t="shared" si="42"/>
        <v>22865.269584802812</v>
      </c>
      <c r="U34" s="28">
        <f t="shared" si="42"/>
        <v>23125.860845691739</v>
      </c>
      <c r="V34" s="28">
        <f t="shared" si="42"/>
        <v>23390.559836081662</v>
      </c>
      <c r="W34" s="28">
        <f t="shared" si="42"/>
        <v>23659.441984833396</v>
      </c>
      <c r="X34" s="28">
        <f t="shared" si="42"/>
        <v>23932.584183703813</v>
      </c>
      <c r="Y34" s="28">
        <f t="shared" si="42"/>
        <v>24210.064816254842</v>
      </c>
      <c r="Z34" s="28">
        <f t="shared" si="42"/>
        <v>24491.963787337681</v>
      </c>
      <c r="AA34" s="28">
        <f t="shared" si="42"/>
        <v>24778.362553163744</v>
      </c>
      <c r="AB34" s="28">
        <f t="shared" si="42"/>
        <v>25069.344151973972</v>
      </c>
      <c r="AC34" s="28">
        <f t="shared" si="42"/>
        <v>25364.993235318565</v>
      </c>
      <c r="AD34" s="28">
        <f t="shared" si="42"/>
        <v>25593.526811701271</v>
      </c>
      <c r="AE34" s="28">
        <f t="shared" si="42"/>
        <v>25826.352293323311</v>
      </c>
      <c r="AF34" s="28">
        <f t="shared" si="42"/>
        <v>26063.555239523175</v>
      </c>
      <c r="AG34" s="28">
        <f t="shared" si="42"/>
        <v>26305.222920547374</v>
      </c>
      <c r="AH34" s="28">
        <f t="shared" si="42"/>
        <v>26551.444351768288</v>
      </c>
      <c r="AI34" s="28">
        <f t="shared" si="42"/>
        <v>26802.310328586438</v>
      </c>
      <c r="AJ34" s="28">
        <f t="shared" si="42"/>
        <v>27057.913462030727</v>
      </c>
      <c r="AK34" s="28">
        <f t="shared" si="42"/>
        <v>27318.348215070779</v>
      </c>
      <c r="AL34" s="28">
        <f t="shared" si="42"/>
        <v>27583.710939655422</v>
      </c>
      <c r="AM34" s="28">
        <f t="shared" si="42"/>
        <v>27854.099914492053</v>
      </c>
      <c r="AN34" s="28">
        <f t="shared" si="42"/>
        <v>28129.615383581455</v>
      </c>
      <c r="AO34" s="28">
        <f t="shared" si="42"/>
        <v>28410.359595523441</v>
      </c>
      <c r="AP34" s="28">
        <f t="shared" si="42"/>
        <v>28696.436843608535</v>
      </c>
      <c r="AQ34" s="28">
        <f t="shared" si="42"/>
        <v>28987.953506711518</v>
      </c>
      <c r="AR34" s="28">
        <f t="shared" si="42"/>
        <v>29285.018091002788</v>
      </c>
    </row>
    <row r="35" spans="1:44" ht="12.75" customHeight="1" x14ac:dyDescent="0.15">
      <c r="A35" s="15"/>
      <c r="B35" s="11" t="s">
        <v>29</v>
      </c>
      <c r="C35" s="31">
        <f>MIN(G70:AP70)</f>
        <v>32</v>
      </c>
      <c r="D35" s="29"/>
      <c r="E35" s="4">
        <v>1.7000000000000001E-2</v>
      </c>
      <c r="F35" s="27" t="s">
        <v>30</v>
      </c>
      <c r="G35" s="28">
        <f t="shared" ref="G35:AR35" si="43">G$26*$E35</f>
        <v>0</v>
      </c>
      <c r="H35" s="28">
        <f t="shared" si="43"/>
        <v>11582.1255</v>
      </c>
      <c r="I35" s="28">
        <f t="shared" si="43"/>
        <v>12249.308775000001</v>
      </c>
      <c r="J35" s="28">
        <f t="shared" si="43"/>
        <v>12861.774213750001</v>
      </c>
      <c r="K35" s="28">
        <f t="shared" si="43"/>
        <v>13504.862924437502</v>
      </c>
      <c r="L35" s="28">
        <f t="shared" si="43"/>
        <v>14180.106070659374</v>
      </c>
      <c r="M35" s="28">
        <f t="shared" si="43"/>
        <v>14889.111374192347</v>
      </c>
      <c r="N35" s="28">
        <f t="shared" si="43"/>
        <v>15633.566942901965</v>
      </c>
      <c r="O35" s="28">
        <f t="shared" si="43"/>
        <v>16415.245290047067</v>
      </c>
      <c r="P35" s="28">
        <f t="shared" si="43"/>
        <v>17236.007554549415</v>
      </c>
      <c r="Q35" s="28">
        <f t="shared" si="43"/>
        <v>18097.80793227689</v>
      </c>
      <c r="R35" s="28">
        <f t="shared" si="43"/>
        <v>19002.698328890736</v>
      </c>
      <c r="S35" s="28">
        <f t="shared" si="43"/>
        <v>19217.405250239368</v>
      </c>
      <c r="T35" s="28">
        <f t="shared" si="43"/>
        <v>19435.479147082391</v>
      </c>
      <c r="U35" s="28">
        <f t="shared" si="43"/>
        <v>19656.981718837978</v>
      </c>
      <c r="V35" s="28">
        <f t="shared" si="43"/>
        <v>19881.975860669416</v>
      </c>
      <c r="W35" s="28">
        <f t="shared" si="43"/>
        <v>20110.525687108388</v>
      </c>
      <c r="X35" s="28">
        <f t="shared" si="43"/>
        <v>20342.696556148243</v>
      </c>
      <c r="Y35" s="28">
        <f t="shared" si="43"/>
        <v>20578.55509381662</v>
      </c>
      <c r="Z35" s="28">
        <f t="shared" si="43"/>
        <v>20818.169219237032</v>
      </c>
      <c r="AA35" s="28">
        <f t="shared" si="43"/>
        <v>21061.608170189185</v>
      </c>
      <c r="AB35" s="28">
        <f t="shared" si="43"/>
        <v>21308.942529177875</v>
      </c>
      <c r="AC35" s="28">
        <f t="shared" si="43"/>
        <v>21560.24425002078</v>
      </c>
      <c r="AD35" s="28">
        <f t="shared" si="43"/>
        <v>21754.497789946079</v>
      </c>
      <c r="AE35" s="28">
        <f t="shared" si="43"/>
        <v>21952.399449324817</v>
      </c>
      <c r="AF35" s="28">
        <f t="shared" si="43"/>
        <v>22154.0219535947</v>
      </c>
      <c r="AG35" s="28">
        <f t="shared" si="43"/>
        <v>22359.43948246527</v>
      </c>
      <c r="AH35" s="28">
        <f t="shared" si="43"/>
        <v>22568.727699003048</v>
      </c>
      <c r="AI35" s="28">
        <f t="shared" si="43"/>
        <v>22781.963779298472</v>
      </c>
      <c r="AJ35" s="28">
        <f t="shared" si="43"/>
        <v>22999.226442726118</v>
      </c>
      <c r="AK35" s="28">
        <f t="shared" si="43"/>
        <v>23220.595982810162</v>
      </c>
      <c r="AL35" s="28">
        <f t="shared" si="43"/>
        <v>23446.154298707108</v>
      </c>
      <c r="AM35" s="28">
        <f t="shared" si="43"/>
        <v>23675.984927318244</v>
      </c>
      <c r="AN35" s="28">
        <f t="shared" si="43"/>
        <v>23910.173076044237</v>
      </c>
      <c r="AO35" s="28">
        <f t="shared" si="43"/>
        <v>24148.805656194927</v>
      </c>
      <c r="AP35" s="28">
        <f t="shared" si="43"/>
        <v>24391.971317067255</v>
      </c>
      <c r="AQ35" s="28">
        <f t="shared" si="43"/>
        <v>24639.76048070479</v>
      </c>
      <c r="AR35" s="28">
        <f t="shared" si="43"/>
        <v>24892.265377352371</v>
      </c>
    </row>
    <row r="36" spans="1:44" ht="12.75" customHeight="1" x14ac:dyDescent="0.15">
      <c r="A36" s="15"/>
      <c r="B36" s="11" t="s">
        <v>31</v>
      </c>
      <c r="C36" s="31">
        <f>MIN(G75:AP75)</f>
        <v>0</v>
      </c>
      <c r="D36" s="29"/>
      <c r="E36" s="4">
        <v>0.05</v>
      </c>
      <c r="F36" s="27" t="s">
        <v>32</v>
      </c>
      <c r="G36" s="28">
        <f t="shared" ref="G36:AR36" si="44">G$26*$E36</f>
        <v>0</v>
      </c>
      <c r="H36" s="28">
        <f t="shared" si="44"/>
        <v>34065.075000000004</v>
      </c>
      <c r="I36" s="28">
        <f t="shared" si="44"/>
        <v>36027.378750000003</v>
      </c>
      <c r="J36" s="28">
        <f t="shared" si="44"/>
        <v>37828.747687499999</v>
      </c>
      <c r="K36" s="28">
        <f t="shared" si="44"/>
        <v>39720.185071875007</v>
      </c>
      <c r="L36" s="28">
        <f t="shared" si="44"/>
        <v>41706.19432546875</v>
      </c>
      <c r="M36" s="28">
        <f t="shared" si="44"/>
        <v>43791.504041742199</v>
      </c>
      <c r="N36" s="28">
        <f t="shared" si="44"/>
        <v>45981.079243829307</v>
      </c>
      <c r="O36" s="28">
        <f t="shared" si="44"/>
        <v>48280.133206020779</v>
      </c>
      <c r="P36" s="28">
        <f t="shared" si="44"/>
        <v>50694.139866321813</v>
      </c>
      <c r="Q36" s="28">
        <f t="shared" si="44"/>
        <v>53228.84685963791</v>
      </c>
      <c r="R36" s="28">
        <f t="shared" si="44"/>
        <v>55890.28920261981</v>
      </c>
      <c r="S36" s="28">
        <f t="shared" si="44"/>
        <v>56521.780147762845</v>
      </c>
      <c r="T36" s="28">
        <f t="shared" si="44"/>
        <v>57163.173962007037</v>
      </c>
      <c r="U36" s="28">
        <f t="shared" si="44"/>
        <v>57814.65211422935</v>
      </c>
      <c r="V36" s="28">
        <f t="shared" si="44"/>
        <v>58476.399590204157</v>
      </c>
      <c r="W36" s="28">
        <f t="shared" si="44"/>
        <v>59148.604962083489</v>
      </c>
      <c r="X36" s="28">
        <f t="shared" si="44"/>
        <v>59831.460459259542</v>
      </c>
      <c r="Y36" s="28">
        <f t="shared" si="44"/>
        <v>60525.162040637108</v>
      </c>
      <c r="Z36" s="28">
        <f t="shared" si="44"/>
        <v>61229.909468344209</v>
      </c>
      <c r="AA36" s="28">
        <f t="shared" si="44"/>
        <v>61945.906382909365</v>
      </c>
      <c r="AB36" s="28">
        <f t="shared" si="44"/>
        <v>62673.360379934929</v>
      </c>
      <c r="AC36" s="28">
        <f t="shared" si="44"/>
        <v>63412.483088296409</v>
      </c>
      <c r="AD36" s="28">
        <f t="shared" si="44"/>
        <v>63983.817029253172</v>
      </c>
      <c r="AE36" s="28">
        <f t="shared" si="44"/>
        <v>64565.88073330828</v>
      </c>
      <c r="AF36" s="28">
        <f t="shared" si="44"/>
        <v>65158.88809880794</v>
      </c>
      <c r="AG36" s="28">
        <f t="shared" si="44"/>
        <v>65763.057301368433</v>
      </c>
      <c r="AH36" s="28">
        <f t="shared" si="44"/>
        <v>66378.610879420725</v>
      </c>
      <c r="AI36" s="28">
        <f t="shared" si="44"/>
        <v>67005.775821466101</v>
      </c>
      <c r="AJ36" s="28">
        <f t="shared" si="44"/>
        <v>67644.783655076812</v>
      </c>
      <c r="AK36" s="28">
        <f t="shared" si="44"/>
        <v>68295.87053767695</v>
      </c>
      <c r="AL36" s="28">
        <f t="shared" si="44"/>
        <v>68959.27734913856</v>
      </c>
      <c r="AM36" s="28">
        <f t="shared" si="44"/>
        <v>69635.249786230139</v>
      </c>
      <c r="AN36" s="28">
        <f t="shared" si="44"/>
        <v>70324.038458953641</v>
      </c>
      <c r="AO36" s="28">
        <f t="shared" si="44"/>
        <v>71025.898988808607</v>
      </c>
      <c r="AP36" s="28">
        <f t="shared" si="44"/>
        <v>71741.092109021338</v>
      </c>
      <c r="AQ36" s="28">
        <f t="shared" si="44"/>
        <v>72469.883766778788</v>
      </c>
      <c r="AR36" s="28">
        <f t="shared" si="44"/>
        <v>73212.545227506969</v>
      </c>
    </row>
    <row r="37" spans="1:44" ht="12.75" customHeight="1" x14ac:dyDescent="0.15">
      <c r="A37" s="15"/>
      <c r="B37" s="29"/>
      <c r="C37" s="32"/>
      <c r="D37" s="29"/>
      <c r="E37" s="4">
        <v>0.02</v>
      </c>
      <c r="F37" s="27" t="s">
        <v>33</v>
      </c>
      <c r="G37" s="28">
        <f t="shared" ref="G37:AR37" si="45">G$26*$E37</f>
        <v>0</v>
      </c>
      <c r="H37" s="28">
        <f t="shared" si="45"/>
        <v>13626.03</v>
      </c>
      <c r="I37" s="28">
        <f t="shared" si="45"/>
        <v>14410.951500000001</v>
      </c>
      <c r="J37" s="28">
        <f t="shared" si="45"/>
        <v>15131.499075</v>
      </c>
      <c r="K37" s="28">
        <f t="shared" si="45"/>
        <v>15888.074028750001</v>
      </c>
      <c r="L37" s="28">
        <f t="shared" si="45"/>
        <v>16682.4777301875</v>
      </c>
      <c r="M37" s="28">
        <f t="shared" si="45"/>
        <v>17516.60161669688</v>
      </c>
      <c r="N37" s="28">
        <f t="shared" si="45"/>
        <v>18392.431697531723</v>
      </c>
      <c r="O37" s="28">
        <f t="shared" si="45"/>
        <v>19312.053282408313</v>
      </c>
      <c r="P37" s="28">
        <f t="shared" si="45"/>
        <v>20277.655946528725</v>
      </c>
      <c r="Q37" s="28">
        <f t="shared" si="45"/>
        <v>21291.538743855162</v>
      </c>
      <c r="R37" s="28">
        <f t="shared" si="45"/>
        <v>22356.115681047926</v>
      </c>
      <c r="S37" s="28">
        <f t="shared" si="45"/>
        <v>22608.712059105135</v>
      </c>
      <c r="T37" s="28">
        <f t="shared" si="45"/>
        <v>22865.269584802812</v>
      </c>
      <c r="U37" s="28">
        <f t="shared" si="45"/>
        <v>23125.860845691739</v>
      </c>
      <c r="V37" s="28">
        <f t="shared" si="45"/>
        <v>23390.559836081662</v>
      </c>
      <c r="W37" s="28">
        <f t="shared" si="45"/>
        <v>23659.441984833396</v>
      </c>
      <c r="X37" s="28">
        <f t="shared" si="45"/>
        <v>23932.584183703813</v>
      </c>
      <c r="Y37" s="28">
        <f t="shared" si="45"/>
        <v>24210.064816254842</v>
      </c>
      <c r="Z37" s="28">
        <f t="shared" si="45"/>
        <v>24491.963787337681</v>
      </c>
      <c r="AA37" s="28">
        <f t="shared" si="45"/>
        <v>24778.362553163744</v>
      </c>
      <c r="AB37" s="28">
        <f t="shared" si="45"/>
        <v>25069.344151973972</v>
      </c>
      <c r="AC37" s="28">
        <f t="shared" si="45"/>
        <v>25364.993235318565</v>
      </c>
      <c r="AD37" s="28">
        <f t="shared" si="45"/>
        <v>25593.526811701271</v>
      </c>
      <c r="AE37" s="28">
        <f t="shared" si="45"/>
        <v>25826.352293323311</v>
      </c>
      <c r="AF37" s="28">
        <f t="shared" si="45"/>
        <v>26063.555239523175</v>
      </c>
      <c r="AG37" s="28">
        <f t="shared" si="45"/>
        <v>26305.222920547374</v>
      </c>
      <c r="AH37" s="28">
        <f t="shared" si="45"/>
        <v>26551.444351768288</v>
      </c>
      <c r="AI37" s="28">
        <f t="shared" si="45"/>
        <v>26802.310328586438</v>
      </c>
      <c r="AJ37" s="28">
        <f t="shared" si="45"/>
        <v>27057.913462030727</v>
      </c>
      <c r="AK37" s="28">
        <f t="shared" si="45"/>
        <v>27318.348215070779</v>
      </c>
      <c r="AL37" s="28">
        <f t="shared" si="45"/>
        <v>27583.710939655422</v>
      </c>
      <c r="AM37" s="28">
        <f t="shared" si="45"/>
        <v>27854.099914492053</v>
      </c>
      <c r="AN37" s="28">
        <f t="shared" si="45"/>
        <v>28129.615383581455</v>
      </c>
      <c r="AO37" s="28">
        <f t="shared" si="45"/>
        <v>28410.359595523441</v>
      </c>
      <c r="AP37" s="28">
        <f t="shared" si="45"/>
        <v>28696.436843608535</v>
      </c>
      <c r="AQ37" s="28">
        <f t="shared" si="45"/>
        <v>28987.953506711518</v>
      </c>
      <c r="AR37" s="28">
        <f t="shared" si="45"/>
        <v>29285.018091002788</v>
      </c>
    </row>
    <row r="38" spans="1:44" ht="12.75" customHeight="1" x14ac:dyDescent="0.15">
      <c r="A38" s="15"/>
      <c r="B38" s="29"/>
      <c r="C38" s="32"/>
      <c r="D38" s="29"/>
      <c r="E38" s="4">
        <v>0.02</v>
      </c>
      <c r="F38" s="27" t="s">
        <v>34</v>
      </c>
      <c r="G38" s="28">
        <f t="shared" ref="G38:AR38" si="46">G$26*$E38</f>
        <v>0</v>
      </c>
      <c r="H38" s="28">
        <f t="shared" si="46"/>
        <v>13626.03</v>
      </c>
      <c r="I38" s="28">
        <f t="shared" si="46"/>
        <v>14410.951500000001</v>
      </c>
      <c r="J38" s="28">
        <f t="shared" si="46"/>
        <v>15131.499075</v>
      </c>
      <c r="K38" s="28">
        <f t="shared" si="46"/>
        <v>15888.074028750001</v>
      </c>
      <c r="L38" s="28">
        <f t="shared" si="46"/>
        <v>16682.4777301875</v>
      </c>
      <c r="M38" s="28">
        <f t="shared" si="46"/>
        <v>17516.60161669688</v>
      </c>
      <c r="N38" s="28">
        <f t="shared" si="46"/>
        <v>18392.431697531723</v>
      </c>
      <c r="O38" s="28">
        <f t="shared" si="46"/>
        <v>19312.053282408313</v>
      </c>
      <c r="P38" s="28">
        <f t="shared" si="46"/>
        <v>20277.655946528725</v>
      </c>
      <c r="Q38" s="28">
        <f t="shared" si="46"/>
        <v>21291.538743855162</v>
      </c>
      <c r="R38" s="28">
        <f t="shared" si="46"/>
        <v>22356.115681047926</v>
      </c>
      <c r="S38" s="28">
        <f t="shared" si="46"/>
        <v>22608.712059105135</v>
      </c>
      <c r="T38" s="28">
        <f t="shared" si="46"/>
        <v>22865.269584802812</v>
      </c>
      <c r="U38" s="28">
        <f t="shared" si="46"/>
        <v>23125.860845691739</v>
      </c>
      <c r="V38" s="28">
        <f t="shared" si="46"/>
        <v>23390.559836081662</v>
      </c>
      <c r="W38" s="28">
        <f t="shared" si="46"/>
        <v>23659.441984833396</v>
      </c>
      <c r="X38" s="28">
        <f t="shared" si="46"/>
        <v>23932.584183703813</v>
      </c>
      <c r="Y38" s="28">
        <f t="shared" si="46"/>
        <v>24210.064816254842</v>
      </c>
      <c r="Z38" s="28">
        <f t="shared" si="46"/>
        <v>24491.963787337681</v>
      </c>
      <c r="AA38" s="28">
        <f t="shared" si="46"/>
        <v>24778.362553163744</v>
      </c>
      <c r="AB38" s="28">
        <f t="shared" si="46"/>
        <v>25069.344151973972</v>
      </c>
      <c r="AC38" s="28">
        <f t="shared" si="46"/>
        <v>25364.993235318565</v>
      </c>
      <c r="AD38" s="28">
        <f t="shared" si="46"/>
        <v>25593.526811701271</v>
      </c>
      <c r="AE38" s="28">
        <f t="shared" si="46"/>
        <v>25826.352293323311</v>
      </c>
      <c r="AF38" s="28">
        <f t="shared" si="46"/>
        <v>26063.555239523175</v>
      </c>
      <c r="AG38" s="28">
        <f t="shared" si="46"/>
        <v>26305.222920547374</v>
      </c>
      <c r="AH38" s="28">
        <f t="shared" si="46"/>
        <v>26551.444351768288</v>
      </c>
      <c r="AI38" s="28">
        <f t="shared" si="46"/>
        <v>26802.310328586438</v>
      </c>
      <c r="AJ38" s="28">
        <f t="shared" si="46"/>
        <v>27057.913462030727</v>
      </c>
      <c r="AK38" s="28">
        <f t="shared" si="46"/>
        <v>27318.348215070779</v>
      </c>
      <c r="AL38" s="28">
        <f t="shared" si="46"/>
        <v>27583.710939655422</v>
      </c>
      <c r="AM38" s="28">
        <f t="shared" si="46"/>
        <v>27854.099914492053</v>
      </c>
      <c r="AN38" s="28">
        <f t="shared" si="46"/>
        <v>28129.615383581455</v>
      </c>
      <c r="AO38" s="28">
        <f t="shared" si="46"/>
        <v>28410.359595523441</v>
      </c>
      <c r="AP38" s="28">
        <f t="shared" si="46"/>
        <v>28696.436843608535</v>
      </c>
      <c r="AQ38" s="28">
        <f t="shared" si="46"/>
        <v>28987.953506711518</v>
      </c>
      <c r="AR38" s="28">
        <f t="shared" si="46"/>
        <v>29285.018091002788</v>
      </c>
    </row>
    <row r="39" spans="1:44" ht="12.75" customHeight="1" x14ac:dyDescent="0.15">
      <c r="A39" s="1"/>
      <c r="B39" s="1"/>
      <c r="C39" s="2"/>
      <c r="D39" s="33"/>
      <c r="E39" s="6"/>
      <c r="F39" s="6"/>
      <c r="G39" s="28"/>
      <c r="H39" s="28"/>
      <c r="I39" s="34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</row>
    <row r="40" spans="1:44" ht="12.75" customHeight="1" x14ac:dyDescent="0.15">
      <c r="A40" s="1"/>
      <c r="B40" s="21" t="s">
        <v>35</v>
      </c>
      <c r="C40" s="22"/>
      <c r="D40" s="1"/>
      <c r="E40" s="15"/>
      <c r="F40" s="24" t="s">
        <v>36</v>
      </c>
      <c r="G40" s="24">
        <f t="shared" ref="G40:AP40" si="47">G26-G30</f>
        <v>0</v>
      </c>
      <c r="H40" s="24">
        <f t="shared" si="47"/>
        <v>485767.96950000001</v>
      </c>
      <c r="I40" s="24">
        <f t="shared" si="47"/>
        <v>513750.42097500002</v>
      </c>
      <c r="J40" s="24">
        <f t="shared" si="47"/>
        <v>539437.94202374993</v>
      </c>
      <c r="K40" s="24">
        <f t="shared" si="47"/>
        <v>566409.83912493754</v>
      </c>
      <c r="L40" s="24">
        <f t="shared" si="47"/>
        <v>594730.33108118433</v>
      </c>
      <c r="M40" s="24">
        <f t="shared" si="47"/>
        <v>624466.84763524367</v>
      </c>
      <c r="N40" s="24">
        <f t="shared" si="47"/>
        <v>655690.19001700589</v>
      </c>
      <c r="O40" s="24">
        <f t="shared" si="47"/>
        <v>688474.69951785635</v>
      </c>
      <c r="P40" s="24">
        <f t="shared" si="47"/>
        <v>722898.43449374894</v>
      </c>
      <c r="Q40" s="24">
        <f t="shared" si="47"/>
        <v>759043.3562184365</v>
      </c>
      <c r="R40" s="24">
        <f t="shared" si="47"/>
        <v>796995.52402935852</v>
      </c>
      <c r="S40" s="24">
        <f t="shared" si="47"/>
        <v>806000.58490709809</v>
      </c>
      <c r="T40" s="24">
        <f t="shared" si="47"/>
        <v>815146.86069822032</v>
      </c>
      <c r="U40" s="24">
        <f t="shared" si="47"/>
        <v>824436.93914891046</v>
      </c>
      <c r="V40" s="24">
        <f t="shared" si="47"/>
        <v>833873.4581563113</v>
      </c>
      <c r="W40" s="24">
        <f t="shared" si="47"/>
        <v>843459.10675931047</v>
      </c>
      <c r="X40" s="24">
        <f t="shared" si="47"/>
        <v>853196.626149041</v>
      </c>
      <c r="Y40" s="24">
        <f t="shared" si="47"/>
        <v>863088.81069948513</v>
      </c>
      <c r="Z40" s="24">
        <f t="shared" si="47"/>
        <v>873138.50901858823</v>
      </c>
      <c r="AA40" s="24">
        <f t="shared" si="47"/>
        <v>883348.62502028747</v>
      </c>
      <c r="AB40" s="24">
        <f t="shared" si="47"/>
        <v>893722.11901787203</v>
      </c>
      <c r="AC40" s="24">
        <f t="shared" si="47"/>
        <v>904262.00883910665</v>
      </c>
      <c r="AD40" s="24">
        <f t="shared" si="47"/>
        <v>912409.23083715024</v>
      </c>
      <c r="AE40" s="24">
        <f t="shared" si="47"/>
        <v>920709.45925697603</v>
      </c>
      <c r="AF40" s="24">
        <f t="shared" si="47"/>
        <v>929165.74428900122</v>
      </c>
      <c r="AG40" s="24">
        <f t="shared" si="47"/>
        <v>937781.19711751398</v>
      </c>
      <c r="AH40" s="24">
        <f t="shared" si="47"/>
        <v>946558.99114053953</v>
      </c>
      <c r="AI40" s="24">
        <f t="shared" si="47"/>
        <v>955502.36321410653</v>
      </c>
      <c r="AJ40" s="24">
        <f t="shared" si="47"/>
        <v>964614.61492139543</v>
      </c>
      <c r="AK40" s="24">
        <f t="shared" si="47"/>
        <v>973899.1138672732</v>
      </c>
      <c r="AL40" s="24">
        <f t="shared" si="47"/>
        <v>983359.29499871563</v>
      </c>
      <c r="AM40" s="24">
        <f t="shared" si="47"/>
        <v>992998.66195164155</v>
      </c>
      <c r="AN40" s="24">
        <f t="shared" si="47"/>
        <v>1002820.7884246788</v>
      </c>
      <c r="AO40" s="24">
        <f t="shared" si="47"/>
        <v>1012829.3195804106</v>
      </c>
      <c r="AP40" s="24">
        <f t="shared" si="47"/>
        <v>1023027.9734746442</v>
      </c>
      <c r="AQ40" s="24">
        <f t="shared" ref="AQ40:AR40" si="48">AQ26-AQ30</f>
        <v>1033420.5425142655</v>
      </c>
      <c r="AR40" s="24">
        <f t="shared" si="48"/>
        <v>1044010.8949442494</v>
      </c>
    </row>
    <row r="41" spans="1:44" ht="12.75" customHeight="1" x14ac:dyDescent="0.15">
      <c r="A41" s="35"/>
      <c r="B41" s="36"/>
      <c r="C41" s="37"/>
      <c r="D41" s="35"/>
      <c r="E41" s="36"/>
      <c r="F41" s="38" t="s">
        <v>89</v>
      </c>
      <c r="G41" s="38"/>
      <c r="H41" s="38">
        <f t="shared" ref="H41:AP41" si="49">H40/H26</f>
        <v>0.71299999999999997</v>
      </c>
      <c r="I41" s="38">
        <f t="shared" si="49"/>
        <v>0.71299999999999997</v>
      </c>
      <c r="J41" s="38">
        <f t="shared" si="49"/>
        <v>0.71299999999999997</v>
      </c>
      <c r="K41" s="38">
        <f t="shared" si="49"/>
        <v>0.71299999999999997</v>
      </c>
      <c r="L41" s="38">
        <f t="shared" si="49"/>
        <v>0.71299999999999997</v>
      </c>
      <c r="M41" s="38">
        <f t="shared" si="49"/>
        <v>0.71299999999999997</v>
      </c>
      <c r="N41" s="38">
        <f t="shared" si="49"/>
        <v>0.71299999999999997</v>
      </c>
      <c r="O41" s="38">
        <f t="shared" si="49"/>
        <v>0.71300000000000008</v>
      </c>
      <c r="P41" s="38">
        <f t="shared" si="49"/>
        <v>0.71299999999999997</v>
      </c>
      <c r="Q41" s="38">
        <f t="shared" si="49"/>
        <v>0.71299999999999997</v>
      </c>
      <c r="R41" s="38">
        <f t="shared" si="49"/>
        <v>0.71300000000000008</v>
      </c>
      <c r="S41" s="38">
        <f t="shared" si="49"/>
        <v>0.71299999999999997</v>
      </c>
      <c r="T41" s="38">
        <f t="shared" si="49"/>
        <v>0.71300000000000008</v>
      </c>
      <c r="U41" s="38">
        <f t="shared" si="49"/>
        <v>0.71299999999999997</v>
      </c>
      <c r="V41" s="38">
        <f t="shared" si="49"/>
        <v>0.71300000000000008</v>
      </c>
      <c r="W41" s="38">
        <f t="shared" si="49"/>
        <v>0.71299999999999997</v>
      </c>
      <c r="X41" s="38">
        <f t="shared" si="49"/>
        <v>0.71299999999999997</v>
      </c>
      <c r="Y41" s="38">
        <f t="shared" si="49"/>
        <v>0.71299999999999997</v>
      </c>
      <c r="Z41" s="38">
        <f t="shared" si="49"/>
        <v>0.71299999999999986</v>
      </c>
      <c r="AA41" s="38">
        <f t="shared" si="49"/>
        <v>0.71299999999999997</v>
      </c>
      <c r="AB41" s="38">
        <f t="shared" si="49"/>
        <v>0.71299999999999997</v>
      </c>
      <c r="AC41" s="38">
        <f t="shared" si="49"/>
        <v>0.71299999999999986</v>
      </c>
      <c r="AD41" s="38">
        <f t="shared" si="49"/>
        <v>0.71299999999999997</v>
      </c>
      <c r="AE41" s="38">
        <f t="shared" si="49"/>
        <v>0.71299999999999997</v>
      </c>
      <c r="AF41" s="38">
        <f t="shared" si="49"/>
        <v>0.71300000000000008</v>
      </c>
      <c r="AG41" s="38">
        <f t="shared" si="49"/>
        <v>0.71300000000000008</v>
      </c>
      <c r="AH41" s="38">
        <f t="shared" si="49"/>
        <v>0.71300000000000008</v>
      </c>
      <c r="AI41" s="38">
        <f t="shared" si="49"/>
        <v>0.71300000000000008</v>
      </c>
      <c r="AJ41" s="38">
        <f t="shared" si="49"/>
        <v>0.71300000000000008</v>
      </c>
      <c r="AK41" s="38">
        <f t="shared" si="49"/>
        <v>0.71299999999999997</v>
      </c>
      <c r="AL41" s="38">
        <f t="shared" si="49"/>
        <v>0.71299999999999997</v>
      </c>
      <c r="AM41" s="38">
        <f t="shared" si="49"/>
        <v>0.71299999999999997</v>
      </c>
      <c r="AN41" s="38">
        <f t="shared" si="49"/>
        <v>0.71299999999999997</v>
      </c>
      <c r="AO41" s="38">
        <f t="shared" si="49"/>
        <v>0.71299999999999997</v>
      </c>
      <c r="AP41" s="38">
        <f t="shared" si="49"/>
        <v>0.71299999999999997</v>
      </c>
      <c r="AQ41" s="38">
        <f t="shared" ref="AQ41:AR41" si="50">AQ40/AQ26</f>
        <v>0.71299999999999997</v>
      </c>
      <c r="AR41" s="38">
        <f t="shared" si="50"/>
        <v>0.71300000000000008</v>
      </c>
    </row>
    <row r="42" spans="1:44" ht="12.75" customHeight="1" x14ac:dyDescent="0.15">
      <c r="A42" s="1"/>
      <c r="B42" s="13" t="s">
        <v>38</v>
      </c>
      <c r="C42" s="14">
        <v>50000</v>
      </c>
      <c r="D42" s="1"/>
      <c r="E42" s="1"/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1:44" ht="12.75" customHeight="1" x14ac:dyDescent="0.15">
      <c r="A43" s="1"/>
      <c r="B43" s="13" t="s">
        <v>39</v>
      </c>
      <c r="C43" s="14">
        <v>950000</v>
      </c>
      <c r="D43" s="1"/>
      <c r="E43" s="23" t="s">
        <v>40</v>
      </c>
      <c r="F43" s="15" t="s">
        <v>41</v>
      </c>
      <c r="G43" s="26">
        <f t="shared" ref="G43:AP43" si="51">SUM(G44:G54)</f>
        <v>0</v>
      </c>
      <c r="H43" s="26">
        <f t="shared" si="51"/>
        <v>427697.5</v>
      </c>
      <c r="I43" s="26">
        <f t="shared" si="51"/>
        <v>427697.5</v>
      </c>
      <c r="J43" s="26">
        <f t="shared" si="51"/>
        <v>427697.5</v>
      </c>
      <c r="K43" s="26">
        <f t="shared" si="51"/>
        <v>427697.5</v>
      </c>
      <c r="L43" s="26">
        <f t="shared" si="51"/>
        <v>427697.5</v>
      </c>
      <c r="M43" s="26">
        <f t="shared" si="51"/>
        <v>427697.5</v>
      </c>
      <c r="N43" s="26">
        <f t="shared" si="51"/>
        <v>427697.5</v>
      </c>
      <c r="O43" s="26">
        <f t="shared" si="51"/>
        <v>427697.5</v>
      </c>
      <c r="P43" s="26">
        <f t="shared" si="51"/>
        <v>427697.5</v>
      </c>
      <c r="Q43" s="26">
        <f t="shared" si="51"/>
        <v>427697.5</v>
      </c>
      <c r="R43" s="26">
        <f t="shared" si="51"/>
        <v>427697.5</v>
      </c>
      <c r="S43" s="26">
        <f t="shared" si="51"/>
        <v>427697.5</v>
      </c>
      <c r="T43" s="26">
        <f t="shared" si="51"/>
        <v>427697.5</v>
      </c>
      <c r="U43" s="26">
        <f t="shared" si="51"/>
        <v>427697.5</v>
      </c>
      <c r="V43" s="26">
        <f t="shared" si="51"/>
        <v>427697.5</v>
      </c>
      <c r="W43" s="26">
        <f t="shared" si="51"/>
        <v>427697.5</v>
      </c>
      <c r="X43" s="26">
        <f t="shared" si="51"/>
        <v>427697.5</v>
      </c>
      <c r="Y43" s="26">
        <f t="shared" si="51"/>
        <v>427697.5</v>
      </c>
      <c r="Z43" s="26">
        <f t="shared" si="51"/>
        <v>427697.5</v>
      </c>
      <c r="AA43" s="26">
        <f t="shared" si="51"/>
        <v>427697.5</v>
      </c>
      <c r="AB43" s="26">
        <f t="shared" si="51"/>
        <v>427697.5</v>
      </c>
      <c r="AC43" s="26">
        <f t="shared" si="51"/>
        <v>427697.5</v>
      </c>
      <c r="AD43" s="26">
        <f t="shared" si="51"/>
        <v>427697.5</v>
      </c>
      <c r="AE43" s="26">
        <f t="shared" si="51"/>
        <v>427697.5</v>
      </c>
      <c r="AF43" s="26">
        <f t="shared" si="51"/>
        <v>427697.5</v>
      </c>
      <c r="AG43" s="26">
        <f t="shared" si="51"/>
        <v>427697.5</v>
      </c>
      <c r="AH43" s="26">
        <f t="shared" si="51"/>
        <v>427697.5</v>
      </c>
      <c r="AI43" s="26">
        <f t="shared" si="51"/>
        <v>427697.5</v>
      </c>
      <c r="AJ43" s="26">
        <f t="shared" si="51"/>
        <v>427697.5</v>
      </c>
      <c r="AK43" s="26">
        <f t="shared" si="51"/>
        <v>427697.5</v>
      </c>
      <c r="AL43" s="26">
        <f t="shared" si="51"/>
        <v>427697.5</v>
      </c>
      <c r="AM43" s="26">
        <f t="shared" si="51"/>
        <v>427697.5</v>
      </c>
      <c r="AN43" s="26">
        <f t="shared" si="51"/>
        <v>427697.5</v>
      </c>
      <c r="AO43" s="26">
        <f t="shared" si="51"/>
        <v>427697.5</v>
      </c>
      <c r="AP43" s="26">
        <f t="shared" si="51"/>
        <v>427697.5</v>
      </c>
      <c r="AQ43" s="26">
        <f t="shared" ref="AQ43:AR43" si="52">SUM(AQ44:AQ54)</f>
        <v>427697.5</v>
      </c>
      <c r="AR43" s="26">
        <f t="shared" si="52"/>
        <v>427697.5</v>
      </c>
    </row>
    <row r="44" spans="1:44" ht="12.75" customHeight="1" x14ac:dyDescent="0.15">
      <c r="A44" s="1"/>
      <c r="B44" s="13" t="s">
        <v>42</v>
      </c>
      <c r="C44" s="14">
        <v>900000</v>
      </c>
      <c r="D44" s="1"/>
      <c r="E44" s="14">
        <v>135000</v>
      </c>
      <c r="F44" s="27" t="s">
        <v>43</v>
      </c>
      <c r="G44" s="28"/>
      <c r="H44" s="28">
        <f t="shared" ref="H44:AR44" si="53">$E44</f>
        <v>135000</v>
      </c>
      <c r="I44" s="28">
        <f t="shared" si="53"/>
        <v>135000</v>
      </c>
      <c r="J44" s="28">
        <f t="shared" si="53"/>
        <v>135000</v>
      </c>
      <c r="K44" s="28">
        <f t="shared" si="53"/>
        <v>135000</v>
      </c>
      <c r="L44" s="28">
        <f t="shared" si="53"/>
        <v>135000</v>
      </c>
      <c r="M44" s="28">
        <f t="shared" si="53"/>
        <v>135000</v>
      </c>
      <c r="N44" s="28">
        <f t="shared" si="53"/>
        <v>135000</v>
      </c>
      <c r="O44" s="28">
        <f t="shared" si="53"/>
        <v>135000</v>
      </c>
      <c r="P44" s="28">
        <f t="shared" si="53"/>
        <v>135000</v>
      </c>
      <c r="Q44" s="28">
        <f t="shared" si="53"/>
        <v>135000</v>
      </c>
      <c r="R44" s="28">
        <f t="shared" si="53"/>
        <v>135000</v>
      </c>
      <c r="S44" s="28">
        <f t="shared" si="53"/>
        <v>135000</v>
      </c>
      <c r="T44" s="28">
        <f t="shared" si="53"/>
        <v>135000</v>
      </c>
      <c r="U44" s="28">
        <f t="shared" si="53"/>
        <v>135000</v>
      </c>
      <c r="V44" s="28">
        <f t="shared" si="53"/>
        <v>135000</v>
      </c>
      <c r="W44" s="28">
        <f t="shared" si="53"/>
        <v>135000</v>
      </c>
      <c r="X44" s="28">
        <f t="shared" si="53"/>
        <v>135000</v>
      </c>
      <c r="Y44" s="28">
        <f t="shared" si="53"/>
        <v>135000</v>
      </c>
      <c r="Z44" s="28">
        <f t="shared" si="53"/>
        <v>135000</v>
      </c>
      <c r="AA44" s="28">
        <f t="shared" si="53"/>
        <v>135000</v>
      </c>
      <c r="AB44" s="28">
        <f t="shared" si="53"/>
        <v>135000</v>
      </c>
      <c r="AC44" s="28">
        <f t="shared" si="53"/>
        <v>135000</v>
      </c>
      <c r="AD44" s="28">
        <f t="shared" si="53"/>
        <v>135000</v>
      </c>
      <c r="AE44" s="28">
        <f t="shared" si="53"/>
        <v>135000</v>
      </c>
      <c r="AF44" s="28">
        <f t="shared" si="53"/>
        <v>135000</v>
      </c>
      <c r="AG44" s="28">
        <f t="shared" si="53"/>
        <v>135000</v>
      </c>
      <c r="AH44" s="28">
        <f t="shared" si="53"/>
        <v>135000</v>
      </c>
      <c r="AI44" s="28">
        <f t="shared" si="53"/>
        <v>135000</v>
      </c>
      <c r="AJ44" s="28">
        <f t="shared" si="53"/>
        <v>135000</v>
      </c>
      <c r="AK44" s="28">
        <f t="shared" si="53"/>
        <v>135000</v>
      </c>
      <c r="AL44" s="28">
        <f t="shared" si="53"/>
        <v>135000</v>
      </c>
      <c r="AM44" s="28">
        <f t="shared" si="53"/>
        <v>135000</v>
      </c>
      <c r="AN44" s="28">
        <f t="shared" si="53"/>
        <v>135000</v>
      </c>
      <c r="AO44" s="28">
        <f t="shared" si="53"/>
        <v>135000</v>
      </c>
      <c r="AP44" s="28">
        <f t="shared" si="53"/>
        <v>135000</v>
      </c>
      <c r="AQ44" s="28">
        <f t="shared" si="53"/>
        <v>135000</v>
      </c>
      <c r="AR44" s="28">
        <f t="shared" si="53"/>
        <v>135000</v>
      </c>
    </row>
    <row r="45" spans="1:44" ht="12.75" customHeight="1" x14ac:dyDescent="0.15">
      <c r="A45" s="1"/>
      <c r="B45" s="13" t="s">
        <v>44</v>
      </c>
      <c r="C45" s="14">
        <v>700000</v>
      </c>
      <c r="D45" s="1"/>
      <c r="E45" s="14">
        <v>10000</v>
      </c>
      <c r="F45" s="27" t="s">
        <v>45</v>
      </c>
      <c r="G45" s="28"/>
      <c r="H45" s="28">
        <f t="shared" ref="H45:AR45" si="54">$E45</f>
        <v>10000</v>
      </c>
      <c r="I45" s="28">
        <f t="shared" si="54"/>
        <v>10000</v>
      </c>
      <c r="J45" s="28">
        <f t="shared" si="54"/>
        <v>10000</v>
      </c>
      <c r="K45" s="28">
        <f t="shared" si="54"/>
        <v>10000</v>
      </c>
      <c r="L45" s="28">
        <f t="shared" si="54"/>
        <v>10000</v>
      </c>
      <c r="M45" s="28">
        <f t="shared" si="54"/>
        <v>10000</v>
      </c>
      <c r="N45" s="28">
        <f t="shared" si="54"/>
        <v>10000</v>
      </c>
      <c r="O45" s="28">
        <f t="shared" si="54"/>
        <v>10000</v>
      </c>
      <c r="P45" s="28">
        <f t="shared" si="54"/>
        <v>10000</v>
      </c>
      <c r="Q45" s="28">
        <f t="shared" si="54"/>
        <v>10000</v>
      </c>
      <c r="R45" s="28">
        <f t="shared" si="54"/>
        <v>10000</v>
      </c>
      <c r="S45" s="28">
        <f t="shared" si="54"/>
        <v>10000</v>
      </c>
      <c r="T45" s="28">
        <f t="shared" si="54"/>
        <v>10000</v>
      </c>
      <c r="U45" s="28">
        <f t="shared" si="54"/>
        <v>10000</v>
      </c>
      <c r="V45" s="28">
        <f t="shared" si="54"/>
        <v>10000</v>
      </c>
      <c r="W45" s="28">
        <f t="shared" si="54"/>
        <v>10000</v>
      </c>
      <c r="X45" s="28">
        <f t="shared" si="54"/>
        <v>10000</v>
      </c>
      <c r="Y45" s="28">
        <f t="shared" si="54"/>
        <v>10000</v>
      </c>
      <c r="Z45" s="28">
        <f t="shared" si="54"/>
        <v>10000</v>
      </c>
      <c r="AA45" s="28">
        <f t="shared" si="54"/>
        <v>10000</v>
      </c>
      <c r="AB45" s="28">
        <f t="shared" si="54"/>
        <v>10000</v>
      </c>
      <c r="AC45" s="28">
        <f t="shared" si="54"/>
        <v>10000</v>
      </c>
      <c r="AD45" s="28">
        <f t="shared" si="54"/>
        <v>10000</v>
      </c>
      <c r="AE45" s="28">
        <f t="shared" si="54"/>
        <v>10000</v>
      </c>
      <c r="AF45" s="28">
        <f t="shared" si="54"/>
        <v>10000</v>
      </c>
      <c r="AG45" s="28">
        <f t="shared" si="54"/>
        <v>10000</v>
      </c>
      <c r="AH45" s="28">
        <f t="shared" si="54"/>
        <v>10000</v>
      </c>
      <c r="AI45" s="28">
        <f t="shared" si="54"/>
        <v>10000</v>
      </c>
      <c r="AJ45" s="28">
        <f t="shared" si="54"/>
        <v>10000</v>
      </c>
      <c r="AK45" s="28">
        <f t="shared" si="54"/>
        <v>10000</v>
      </c>
      <c r="AL45" s="28">
        <f t="shared" si="54"/>
        <v>10000</v>
      </c>
      <c r="AM45" s="28">
        <f t="shared" si="54"/>
        <v>10000</v>
      </c>
      <c r="AN45" s="28">
        <f t="shared" si="54"/>
        <v>10000</v>
      </c>
      <c r="AO45" s="28">
        <f t="shared" si="54"/>
        <v>10000</v>
      </c>
      <c r="AP45" s="28">
        <f t="shared" si="54"/>
        <v>10000</v>
      </c>
      <c r="AQ45" s="28">
        <f t="shared" si="54"/>
        <v>10000</v>
      </c>
      <c r="AR45" s="28">
        <f t="shared" si="54"/>
        <v>10000</v>
      </c>
    </row>
    <row r="46" spans="1:44" ht="12.75" customHeight="1" x14ac:dyDescent="0.15">
      <c r="A46" s="1"/>
      <c r="B46" s="13" t="s">
        <v>46</v>
      </c>
      <c r="C46" s="14">
        <v>250000</v>
      </c>
      <c r="D46" s="1"/>
      <c r="E46" s="14">
        <f>IF(C10=1, 15000-15000*10%, 15000)</f>
        <v>15000</v>
      </c>
      <c r="F46" s="27" t="s">
        <v>47</v>
      </c>
      <c r="G46" s="28"/>
      <c r="H46" s="28">
        <f t="shared" ref="H46:AR46" si="55">$E46</f>
        <v>15000</v>
      </c>
      <c r="I46" s="28">
        <f t="shared" si="55"/>
        <v>15000</v>
      </c>
      <c r="J46" s="28">
        <f t="shared" si="55"/>
        <v>15000</v>
      </c>
      <c r="K46" s="28">
        <f t="shared" si="55"/>
        <v>15000</v>
      </c>
      <c r="L46" s="28">
        <f t="shared" si="55"/>
        <v>15000</v>
      </c>
      <c r="M46" s="28">
        <f t="shared" si="55"/>
        <v>15000</v>
      </c>
      <c r="N46" s="28">
        <f t="shared" si="55"/>
        <v>15000</v>
      </c>
      <c r="O46" s="28">
        <f t="shared" si="55"/>
        <v>15000</v>
      </c>
      <c r="P46" s="28">
        <f t="shared" si="55"/>
        <v>15000</v>
      </c>
      <c r="Q46" s="28">
        <f t="shared" si="55"/>
        <v>15000</v>
      </c>
      <c r="R46" s="28">
        <f t="shared" si="55"/>
        <v>15000</v>
      </c>
      <c r="S46" s="28">
        <f t="shared" si="55"/>
        <v>15000</v>
      </c>
      <c r="T46" s="28">
        <f t="shared" si="55"/>
        <v>15000</v>
      </c>
      <c r="U46" s="28">
        <f t="shared" si="55"/>
        <v>15000</v>
      </c>
      <c r="V46" s="28">
        <f t="shared" si="55"/>
        <v>15000</v>
      </c>
      <c r="W46" s="28">
        <f t="shared" si="55"/>
        <v>15000</v>
      </c>
      <c r="X46" s="28">
        <f t="shared" si="55"/>
        <v>15000</v>
      </c>
      <c r="Y46" s="28">
        <f t="shared" si="55"/>
        <v>15000</v>
      </c>
      <c r="Z46" s="28">
        <f t="shared" si="55"/>
        <v>15000</v>
      </c>
      <c r="AA46" s="28">
        <f t="shared" si="55"/>
        <v>15000</v>
      </c>
      <c r="AB46" s="28">
        <f t="shared" si="55"/>
        <v>15000</v>
      </c>
      <c r="AC46" s="28">
        <f t="shared" si="55"/>
        <v>15000</v>
      </c>
      <c r="AD46" s="28">
        <f t="shared" si="55"/>
        <v>15000</v>
      </c>
      <c r="AE46" s="28">
        <f t="shared" si="55"/>
        <v>15000</v>
      </c>
      <c r="AF46" s="28">
        <f t="shared" si="55"/>
        <v>15000</v>
      </c>
      <c r="AG46" s="28">
        <f t="shared" si="55"/>
        <v>15000</v>
      </c>
      <c r="AH46" s="28">
        <f t="shared" si="55"/>
        <v>15000</v>
      </c>
      <c r="AI46" s="28">
        <f t="shared" si="55"/>
        <v>15000</v>
      </c>
      <c r="AJ46" s="28">
        <f t="shared" si="55"/>
        <v>15000</v>
      </c>
      <c r="AK46" s="28">
        <f t="shared" si="55"/>
        <v>15000</v>
      </c>
      <c r="AL46" s="28">
        <f t="shared" si="55"/>
        <v>15000</v>
      </c>
      <c r="AM46" s="28">
        <f t="shared" si="55"/>
        <v>15000</v>
      </c>
      <c r="AN46" s="28">
        <f t="shared" si="55"/>
        <v>15000</v>
      </c>
      <c r="AO46" s="28">
        <f t="shared" si="55"/>
        <v>15000</v>
      </c>
      <c r="AP46" s="28">
        <f t="shared" si="55"/>
        <v>15000</v>
      </c>
      <c r="AQ46" s="28">
        <f t="shared" si="55"/>
        <v>15000</v>
      </c>
      <c r="AR46" s="28">
        <f t="shared" si="55"/>
        <v>15000</v>
      </c>
    </row>
    <row r="47" spans="1:44" ht="12.75" customHeight="1" x14ac:dyDescent="0.15">
      <c r="A47" s="1"/>
      <c r="B47" s="13" t="s">
        <v>48</v>
      </c>
      <c r="C47" s="14">
        <v>440000</v>
      </c>
      <c r="D47" s="1"/>
      <c r="E47" s="14">
        <f>IF($C$10=1, 148800-148800*10%, 148800)</f>
        <v>148800</v>
      </c>
      <c r="F47" s="27" t="s">
        <v>49</v>
      </c>
      <c r="G47" s="28"/>
      <c r="H47" s="28">
        <f t="shared" ref="H47:AR47" si="56">$E47</f>
        <v>148800</v>
      </c>
      <c r="I47" s="28">
        <f t="shared" si="56"/>
        <v>148800</v>
      </c>
      <c r="J47" s="28">
        <f t="shared" si="56"/>
        <v>148800</v>
      </c>
      <c r="K47" s="28">
        <f t="shared" si="56"/>
        <v>148800</v>
      </c>
      <c r="L47" s="28">
        <f t="shared" si="56"/>
        <v>148800</v>
      </c>
      <c r="M47" s="28">
        <f t="shared" si="56"/>
        <v>148800</v>
      </c>
      <c r="N47" s="28">
        <f t="shared" si="56"/>
        <v>148800</v>
      </c>
      <c r="O47" s="28">
        <f t="shared" si="56"/>
        <v>148800</v>
      </c>
      <c r="P47" s="28">
        <f t="shared" si="56"/>
        <v>148800</v>
      </c>
      <c r="Q47" s="28">
        <f t="shared" si="56"/>
        <v>148800</v>
      </c>
      <c r="R47" s="28">
        <f t="shared" si="56"/>
        <v>148800</v>
      </c>
      <c r="S47" s="28">
        <f t="shared" si="56"/>
        <v>148800</v>
      </c>
      <c r="T47" s="28">
        <f t="shared" si="56"/>
        <v>148800</v>
      </c>
      <c r="U47" s="28">
        <f t="shared" si="56"/>
        <v>148800</v>
      </c>
      <c r="V47" s="28">
        <f t="shared" si="56"/>
        <v>148800</v>
      </c>
      <c r="W47" s="28">
        <f t="shared" si="56"/>
        <v>148800</v>
      </c>
      <c r="X47" s="28">
        <f t="shared" si="56"/>
        <v>148800</v>
      </c>
      <c r="Y47" s="28">
        <f t="shared" si="56"/>
        <v>148800</v>
      </c>
      <c r="Z47" s="28">
        <f t="shared" si="56"/>
        <v>148800</v>
      </c>
      <c r="AA47" s="28">
        <f t="shared" si="56"/>
        <v>148800</v>
      </c>
      <c r="AB47" s="28">
        <f t="shared" si="56"/>
        <v>148800</v>
      </c>
      <c r="AC47" s="28">
        <f t="shared" si="56"/>
        <v>148800</v>
      </c>
      <c r="AD47" s="28">
        <f t="shared" si="56"/>
        <v>148800</v>
      </c>
      <c r="AE47" s="28">
        <f t="shared" si="56"/>
        <v>148800</v>
      </c>
      <c r="AF47" s="28">
        <f t="shared" si="56"/>
        <v>148800</v>
      </c>
      <c r="AG47" s="28">
        <f t="shared" si="56"/>
        <v>148800</v>
      </c>
      <c r="AH47" s="28">
        <f t="shared" si="56"/>
        <v>148800</v>
      </c>
      <c r="AI47" s="28">
        <f t="shared" si="56"/>
        <v>148800</v>
      </c>
      <c r="AJ47" s="28">
        <f t="shared" si="56"/>
        <v>148800</v>
      </c>
      <c r="AK47" s="28">
        <f t="shared" si="56"/>
        <v>148800</v>
      </c>
      <c r="AL47" s="28">
        <f t="shared" si="56"/>
        <v>148800</v>
      </c>
      <c r="AM47" s="28">
        <f t="shared" si="56"/>
        <v>148800</v>
      </c>
      <c r="AN47" s="28">
        <f t="shared" si="56"/>
        <v>148800</v>
      </c>
      <c r="AO47" s="28">
        <f t="shared" si="56"/>
        <v>148800</v>
      </c>
      <c r="AP47" s="28">
        <f t="shared" si="56"/>
        <v>148800</v>
      </c>
      <c r="AQ47" s="28">
        <f t="shared" si="56"/>
        <v>148800</v>
      </c>
      <c r="AR47" s="28">
        <f t="shared" si="56"/>
        <v>148800</v>
      </c>
    </row>
    <row r="48" spans="1:44" ht="12.75" customHeight="1" x14ac:dyDescent="0.15">
      <c r="A48" s="1"/>
      <c r="B48" s="13" t="s">
        <v>50</v>
      </c>
      <c r="C48" s="14">
        <v>500000</v>
      </c>
      <c r="D48" s="1"/>
      <c r="E48" s="14">
        <f>IF($C$10=1, 66960-66960*10%, 66960)</f>
        <v>66960</v>
      </c>
      <c r="F48" s="27" t="s">
        <v>51</v>
      </c>
      <c r="G48" s="28"/>
      <c r="H48" s="28">
        <f t="shared" ref="H48:AR48" si="57">$E48</f>
        <v>66960</v>
      </c>
      <c r="I48" s="28">
        <f t="shared" si="57"/>
        <v>66960</v>
      </c>
      <c r="J48" s="28">
        <f t="shared" si="57"/>
        <v>66960</v>
      </c>
      <c r="K48" s="28">
        <f t="shared" si="57"/>
        <v>66960</v>
      </c>
      <c r="L48" s="28">
        <f t="shared" si="57"/>
        <v>66960</v>
      </c>
      <c r="M48" s="28">
        <f t="shared" si="57"/>
        <v>66960</v>
      </c>
      <c r="N48" s="28">
        <f t="shared" si="57"/>
        <v>66960</v>
      </c>
      <c r="O48" s="28">
        <f t="shared" si="57"/>
        <v>66960</v>
      </c>
      <c r="P48" s="28">
        <f t="shared" si="57"/>
        <v>66960</v>
      </c>
      <c r="Q48" s="28">
        <f t="shared" si="57"/>
        <v>66960</v>
      </c>
      <c r="R48" s="28">
        <f t="shared" si="57"/>
        <v>66960</v>
      </c>
      <c r="S48" s="28">
        <f t="shared" si="57"/>
        <v>66960</v>
      </c>
      <c r="T48" s="28">
        <f t="shared" si="57"/>
        <v>66960</v>
      </c>
      <c r="U48" s="28">
        <f t="shared" si="57"/>
        <v>66960</v>
      </c>
      <c r="V48" s="28">
        <f t="shared" si="57"/>
        <v>66960</v>
      </c>
      <c r="W48" s="28">
        <f t="shared" si="57"/>
        <v>66960</v>
      </c>
      <c r="X48" s="28">
        <f t="shared" si="57"/>
        <v>66960</v>
      </c>
      <c r="Y48" s="28">
        <f t="shared" si="57"/>
        <v>66960</v>
      </c>
      <c r="Z48" s="28">
        <f t="shared" si="57"/>
        <v>66960</v>
      </c>
      <c r="AA48" s="28">
        <f t="shared" si="57"/>
        <v>66960</v>
      </c>
      <c r="AB48" s="28">
        <f t="shared" si="57"/>
        <v>66960</v>
      </c>
      <c r="AC48" s="28">
        <f t="shared" si="57"/>
        <v>66960</v>
      </c>
      <c r="AD48" s="28">
        <f t="shared" si="57"/>
        <v>66960</v>
      </c>
      <c r="AE48" s="28">
        <f t="shared" si="57"/>
        <v>66960</v>
      </c>
      <c r="AF48" s="28">
        <f t="shared" si="57"/>
        <v>66960</v>
      </c>
      <c r="AG48" s="28">
        <f t="shared" si="57"/>
        <v>66960</v>
      </c>
      <c r="AH48" s="28">
        <f t="shared" si="57"/>
        <v>66960</v>
      </c>
      <c r="AI48" s="28">
        <f t="shared" si="57"/>
        <v>66960</v>
      </c>
      <c r="AJ48" s="28">
        <f t="shared" si="57"/>
        <v>66960</v>
      </c>
      <c r="AK48" s="28">
        <f t="shared" si="57"/>
        <v>66960</v>
      </c>
      <c r="AL48" s="28">
        <f t="shared" si="57"/>
        <v>66960</v>
      </c>
      <c r="AM48" s="28">
        <f t="shared" si="57"/>
        <v>66960</v>
      </c>
      <c r="AN48" s="28">
        <f t="shared" si="57"/>
        <v>66960</v>
      </c>
      <c r="AO48" s="28">
        <f t="shared" si="57"/>
        <v>66960</v>
      </c>
      <c r="AP48" s="28">
        <f t="shared" si="57"/>
        <v>66960</v>
      </c>
      <c r="AQ48" s="28">
        <f t="shared" si="57"/>
        <v>66960</v>
      </c>
      <c r="AR48" s="28">
        <f t="shared" si="57"/>
        <v>66960</v>
      </c>
    </row>
    <row r="49" spans="1:44" ht="12.75" customHeight="1" x14ac:dyDescent="0.15">
      <c r="A49" s="1"/>
      <c r="B49" s="13" t="s">
        <v>52</v>
      </c>
      <c r="C49" s="14">
        <v>1000000</v>
      </c>
      <c r="D49" s="1"/>
      <c r="E49" s="14">
        <f>IF($C$10=1, 36000-36000*10%, 36000)</f>
        <v>36000</v>
      </c>
      <c r="F49" s="27" t="s">
        <v>53</v>
      </c>
      <c r="G49" s="28"/>
      <c r="H49" s="28">
        <f t="shared" ref="H49:AR49" si="58">$E49</f>
        <v>36000</v>
      </c>
      <c r="I49" s="28">
        <f t="shared" si="58"/>
        <v>36000</v>
      </c>
      <c r="J49" s="28">
        <f t="shared" si="58"/>
        <v>36000</v>
      </c>
      <c r="K49" s="28">
        <f t="shared" si="58"/>
        <v>36000</v>
      </c>
      <c r="L49" s="28">
        <f t="shared" si="58"/>
        <v>36000</v>
      </c>
      <c r="M49" s="28">
        <f t="shared" si="58"/>
        <v>36000</v>
      </c>
      <c r="N49" s="28">
        <f t="shared" si="58"/>
        <v>36000</v>
      </c>
      <c r="O49" s="28">
        <f t="shared" si="58"/>
        <v>36000</v>
      </c>
      <c r="P49" s="28">
        <f t="shared" si="58"/>
        <v>36000</v>
      </c>
      <c r="Q49" s="28">
        <f t="shared" si="58"/>
        <v>36000</v>
      </c>
      <c r="R49" s="28">
        <f t="shared" si="58"/>
        <v>36000</v>
      </c>
      <c r="S49" s="28">
        <f t="shared" si="58"/>
        <v>36000</v>
      </c>
      <c r="T49" s="28">
        <f t="shared" si="58"/>
        <v>36000</v>
      </c>
      <c r="U49" s="28">
        <f t="shared" si="58"/>
        <v>36000</v>
      </c>
      <c r="V49" s="28">
        <f t="shared" si="58"/>
        <v>36000</v>
      </c>
      <c r="W49" s="28">
        <f t="shared" si="58"/>
        <v>36000</v>
      </c>
      <c r="X49" s="28">
        <f t="shared" si="58"/>
        <v>36000</v>
      </c>
      <c r="Y49" s="28">
        <f t="shared" si="58"/>
        <v>36000</v>
      </c>
      <c r="Z49" s="28">
        <f t="shared" si="58"/>
        <v>36000</v>
      </c>
      <c r="AA49" s="28">
        <f t="shared" si="58"/>
        <v>36000</v>
      </c>
      <c r="AB49" s="28">
        <f t="shared" si="58"/>
        <v>36000</v>
      </c>
      <c r="AC49" s="28">
        <f t="shared" si="58"/>
        <v>36000</v>
      </c>
      <c r="AD49" s="28">
        <f t="shared" si="58"/>
        <v>36000</v>
      </c>
      <c r="AE49" s="28">
        <f t="shared" si="58"/>
        <v>36000</v>
      </c>
      <c r="AF49" s="28">
        <f t="shared" si="58"/>
        <v>36000</v>
      </c>
      <c r="AG49" s="28">
        <f t="shared" si="58"/>
        <v>36000</v>
      </c>
      <c r="AH49" s="28">
        <f t="shared" si="58"/>
        <v>36000</v>
      </c>
      <c r="AI49" s="28">
        <f t="shared" si="58"/>
        <v>36000</v>
      </c>
      <c r="AJ49" s="28">
        <f t="shared" si="58"/>
        <v>36000</v>
      </c>
      <c r="AK49" s="28">
        <f t="shared" si="58"/>
        <v>36000</v>
      </c>
      <c r="AL49" s="28">
        <f t="shared" si="58"/>
        <v>36000</v>
      </c>
      <c r="AM49" s="28">
        <f t="shared" si="58"/>
        <v>36000</v>
      </c>
      <c r="AN49" s="28">
        <f t="shared" si="58"/>
        <v>36000</v>
      </c>
      <c r="AO49" s="28">
        <f t="shared" si="58"/>
        <v>36000</v>
      </c>
      <c r="AP49" s="28">
        <f t="shared" si="58"/>
        <v>36000</v>
      </c>
      <c r="AQ49" s="28">
        <f t="shared" si="58"/>
        <v>36000</v>
      </c>
      <c r="AR49" s="28">
        <f t="shared" si="58"/>
        <v>36000</v>
      </c>
    </row>
    <row r="50" spans="1:44" ht="12.75" customHeight="1" x14ac:dyDescent="0.15">
      <c r="A50" s="1"/>
      <c r="B50" s="13" t="s">
        <v>54</v>
      </c>
      <c r="C50" s="14">
        <v>300000</v>
      </c>
      <c r="D50" s="1"/>
      <c r="E50" s="14">
        <f>21875/2</f>
        <v>10937.5</v>
      </c>
      <c r="F50" s="39" t="s">
        <v>55</v>
      </c>
      <c r="G50" s="28"/>
      <c r="H50" s="28">
        <f t="shared" ref="H50:AR50" si="59">$E50</f>
        <v>10937.5</v>
      </c>
      <c r="I50" s="28">
        <f t="shared" si="59"/>
        <v>10937.5</v>
      </c>
      <c r="J50" s="28">
        <f t="shared" si="59"/>
        <v>10937.5</v>
      </c>
      <c r="K50" s="28">
        <f t="shared" si="59"/>
        <v>10937.5</v>
      </c>
      <c r="L50" s="28">
        <f t="shared" si="59"/>
        <v>10937.5</v>
      </c>
      <c r="M50" s="28">
        <f t="shared" si="59"/>
        <v>10937.5</v>
      </c>
      <c r="N50" s="28">
        <f t="shared" si="59"/>
        <v>10937.5</v>
      </c>
      <c r="O50" s="28">
        <f t="shared" si="59"/>
        <v>10937.5</v>
      </c>
      <c r="P50" s="28">
        <f t="shared" si="59"/>
        <v>10937.5</v>
      </c>
      <c r="Q50" s="28">
        <f t="shared" si="59"/>
        <v>10937.5</v>
      </c>
      <c r="R50" s="28">
        <f t="shared" si="59"/>
        <v>10937.5</v>
      </c>
      <c r="S50" s="28">
        <f t="shared" si="59"/>
        <v>10937.5</v>
      </c>
      <c r="T50" s="28">
        <f t="shared" si="59"/>
        <v>10937.5</v>
      </c>
      <c r="U50" s="28">
        <f t="shared" si="59"/>
        <v>10937.5</v>
      </c>
      <c r="V50" s="28">
        <f t="shared" si="59"/>
        <v>10937.5</v>
      </c>
      <c r="W50" s="28">
        <f t="shared" si="59"/>
        <v>10937.5</v>
      </c>
      <c r="X50" s="28">
        <f t="shared" si="59"/>
        <v>10937.5</v>
      </c>
      <c r="Y50" s="28">
        <f t="shared" si="59"/>
        <v>10937.5</v>
      </c>
      <c r="Z50" s="28">
        <f t="shared" si="59"/>
        <v>10937.5</v>
      </c>
      <c r="AA50" s="28">
        <f t="shared" si="59"/>
        <v>10937.5</v>
      </c>
      <c r="AB50" s="28">
        <f t="shared" si="59"/>
        <v>10937.5</v>
      </c>
      <c r="AC50" s="28">
        <f t="shared" si="59"/>
        <v>10937.5</v>
      </c>
      <c r="AD50" s="28">
        <f t="shared" si="59"/>
        <v>10937.5</v>
      </c>
      <c r="AE50" s="28">
        <f t="shared" si="59"/>
        <v>10937.5</v>
      </c>
      <c r="AF50" s="28">
        <f t="shared" si="59"/>
        <v>10937.5</v>
      </c>
      <c r="AG50" s="28">
        <f t="shared" si="59"/>
        <v>10937.5</v>
      </c>
      <c r="AH50" s="28">
        <f t="shared" si="59"/>
        <v>10937.5</v>
      </c>
      <c r="AI50" s="28">
        <f t="shared" si="59"/>
        <v>10937.5</v>
      </c>
      <c r="AJ50" s="28">
        <f t="shared" si="59"/>
        <v>10937.5</v>
      </c>
      <c r="AK50" s="28">
        <f t="shared" si="59"/>
        <v>10937.5</v>
      </c>
      <c r="AL50" s="28">
        <f t="shared" si="59"/>
        <v>10937.5</v>
      </c>
      <c r="AM50" s="28">
        <f t="shared" si="59"/>
        <v>10937.5</v>
      </c>
      <c r="AN50" s="28">
        <f t="shared" si="59"/>
        <v>10937.5</v>
      </c>
      <c r="AO50" s="28">
        <f t="shared" si="59"/>
        <v>10937.5</v>
      </c>
      <c r="AP50" s="28">
        <f t="shared" si="59"/>
        <v>10937.5</v>
      </c>
      <c r="AQ50" s="28">
        <f t="shared" si="59"/>
        <v>10937.5</v>
      </c>
      <c r="AR50" s="28">
        <f t="shared" si="59"/>
        <v>10937.5</v>
      </c>
    </row>
    <row r="51" spans="1:44" ht="12.75" customHeight="1" x14ac:dyDescent="0.15">
      <c r="A51" s="1"/>
      <c r="B51" s="13" t="s">
        <v>56</v>
      </c>
      <c r="C51" s="14">
        <f>SUM(H31:J31)</f>
        <v>195701.69458125002</v>
      </c>
      <c r="D51" s="1"/>
      <c r="E51" s="14">
        <v>2000</v>
      </c>
      <c r="F51" s="39" t="s">
        <v>57</v>
      </c>
      <c r="G51" s="28"/>
      <c r="H51" s="28">
        <f t="shared" ref="H51:AR51" si="60">$E51</f>
        <v>2000</v>
      </c>
      <c r="I51" s="28">
        <f t="shared" si="60"/>
        <v>2000</v>
      </c>
      <c r="J51" s="28">
        <f t="shared" si="60"/>
        <v>2000</v>
      </c>
      <c r="K51" s="28">
        <f t="shared" si="60"/>
        <v>2000</v>
      </c>
      <c r="L51" s="28">
        <f t="shared" si="60"/>
        <v>2000</v>
      </c>
      <c r="M51" s="28">
        <f t="shared" si="60"/>
        <v>2000</v>
      </c>
      <c r="N51" s="28">
        <f t="shared" si="60"/>
        <v>2000</v>
      </c>
      <c r="O51" s="28">
        <f t="shared" si="60"/>
        <v>2000</v>
      </c>
      <c r="P51" s="28">
        <f t="shared" si="60"/>
        <v>2000</v>
      </c>
      <c r="Q51" s="28">
        <f t="shared" si="60"/>
        <v>2000</v>
      </c>
      <c r="R51" s="28">
        <f t="shared" si="60"/>
        <v>2000</v>
      </c>
      <c r="S51" s="28">
        <f t="shared" si="60"/>
        <v>2000</v>
      </c>
      <c r="T51" s="28">
        <f t="shared" si="60"/>
        <v>2000</v>
      </c>
      <c r="U51" s="28">
        <f t="shared" si="60"/>
        <v>2000</v>
      </c>
      <c r="V51" s="28">
        <f t="shared" si="60"/>
        <v>2000</v>
      </c>
      <c r="W51" s="28">
        <f t="shared" si="60"/>
        <v>2000</v>
      </c>
      <c r="X51" s="28">
        <f t="shared" si="60"/>
        <v>2000</v>
      </c>
      <c r="Y51" s="28">
        <f t="shared" si="60"/>
        <v>2000</v>
      </c>
      <c r="Z51" s="28">
        <f t="shared" si="60"/>
        <v>2000</v>
      </c>
      <c r="AA51" s="28">
        <f t="shared" si="60"/>
        <v>2000</v>
      </c>
      <c r="AB51" s="28">
        <f t="shared" si="60"/>
        <v>2000</v>
      </c>
      <c r="AC51" s="28">
        <f t="shared" si="60"/>
        <v>2000</v>
      </c>
      <c r="AD51" s="28">
        <f t="shared" si="60"/>
        <v>2000</v>
      </c>
      <c r="AE51" s="28">
        <f t="shared" si="60"/>
        <v>2000</v>
      </c>
      <c r="AF51" s="28">
        <f t="shared" si="60"/>
        <v>2000</v>
      </c>
      <c r="AG51" s="28">
        <f t="shared" si="60"/>
        <v>2000</v>
      </c>
      <c r="AH51" s="28">
        <f t="shared" si="60"/>
        <v>2000</v>
      </c>
      <c r="AI51" s="28">
        <f t="shared" si="60"/>
        <v>2000</v>
      </c>
      <c r="AJ51" s="28">
        <f t="shared" si="60"/>
        <v>2000</v>
      </c>
      <c r="AK51" s="28">
        <f t="shared" si="60"/>
        <v>2000</v>
      </c>
      <c r="AL51" s="28">
        <f t="shared" si="60"/>
        <v>2000</v>
      </c>
      <c r="AM51" s="28">
        <f t="shared" si="60"/>
        <v>2000</v>
      </c>
      <c r="AN51" s="28">
        <f t="shared" si="60"/>
        <v>2000</v>
      </c>
      <c r="AO51" s="28">
        <f t="shared" si="60"/>
        <v>2000</v>
      </c>
      <c r="AP51" s="28">
        <f t="shared" si="60"/>
        <v>2000</v>
      </c>
      <c r="AQ51" s="28">
        <f t="shared" si="60"/>
        <v>2000</v>
      </c>
      <c r="AR51" s="28">
        <f t="shared" si="60"/>
        <v>2000</v>
      </c>
    </row>
    <row r="52" spans="1:44" ht="12.75" customHeight="1" x14ac:dyDescent="0.15">
      <c r="A52" s="1"/>
      <c r="B52" s="13" t="s">
        <v>58</v>
      </c>
      <c r="C52" s="14">
        <f>E44*3</f>
        <v>405000</v>
      </c>
      <c r="D52" s="1"/>
      <c r="E52" s="14">
        <v>3000</v>
      </c>
      <c r="F52" s="39" t="s">
        <v>59</v>
      </c>
      <c r="G52" s="28"/>
      <c r="H52" s="28">
        <f t="shared" ref="H52:AR52" si="61">$E52</f>
        <v>3000</v>
      </c>
      <c r="I52" s="28">
        <f t="shared" si="61"/>
        <v>3000</v>
      </c>
      <c r="J52" s="28">
        <f t="shared" si="61"/>
        <v>3000</v>
      </c>
      <c r="K52" s="28">
        <f t="shared" si="61"/>
        <v>3000</v>
      </c>
      <c r="L52" s="28">
        <f t="shared" si="61"/>
        <v>3000</v>
      </c>
      <c r="M52" s="28">
        <f t="shared" si="61"/>
        <v>3000</v>
      </c>
      <c r="N52" s="28">
        <f t="shared" si="61"/>
        <v>3000</v>
      </c>
      <c r="O52" s="28">
        <f t="shared" si="61"/>
        <v>3000</v>
      </c>
      <c r="P52" s="28">
        <f t="shared" si="61"/>
        <v>3000</v>
      </c>
      <c r="Q52" s="28">
        <f t="shared" si="61"/>
        <v>3000</v>
      </c>
      <c r="R52" s="28">
        <f t="shared" si="61"/>
        <v>3000</v>
      </c>
      <c r="S52" s="28">
        <f t="shared" si="61"/>
        <v>3000</v>
      </c>
      <c r="T52" s="28">
        <f t="shared" si="61"/>
        <v>3000</v>
      </c>
      <c r="U52" s="28">
        <f t="shared" si="61"/>
        <v>3000</v>
      </c>
      <c r="V52" s="28">
        <f t="shared" si="61"/>
        <v>3000</v>
      </c>
      <c r="W52" s="28">
        <f t="shared" si="61"/>
        <v>3000</v>
      </c>
      <c r="X52" s="28">
        <f t="shared" si="61"/>
        <v>3000</v>
      </c>
      <c r="Y52" s="28">
        <f t="shared" si="61"/>
        <v>3000</v>
      </c>
      <c r="Z52" s="28">
        <f t="shared" si="61"/>
        <v>3000</v>
      </c>
      <c r="AA52" s="28">
        <f t="shared" si="61"/>
        <v>3000</v>
      </c>
      <c r="AB52" s="28">
        <f t="shared" si="61"/>
        <v>3000</v>
      </c>
      <c r="AC52" s="28">
        <f t="shared" si="61"/>
        <v>3000</v>
      </c>
      <c r="AD52" s="28">
        <f t="shared" si="61"/>
        <v>3000</v>
      </c>
      <c r="AE52" s="28">
        <f t="shared" si="61"/>
        <v>3000</v>
      </c>
      <c r="AF52" s="28">
        <f t="shared" si="61"/>
        <v>3000</v>
      </c>
      <c r="AG52" s="28">
        <f t="shared" si="61"/>
        <v>3000</v>
      </c>
      <c r="AH52" s="28">
        <f t="shared" si="61"/>
        <v>3000</v>
      </c>
      <c r="AI52" s="28">
        <f t="shared" si="61"/>
        <v>3000</v>
      </c>
      <c r="AJ52" s="28">
        <f t="shared" si="61"/>
        <v>3000</v>
      </c>
      <c r="AK52" s="28">
        <f t="shared" si="61"/>
        <v>3000</v>
      </c>
      <c r="AL52" s="28">
        <f t="shared" si="61"/>
        <v>3000</v>
      </c>
      <c r="AM52" s="28">
        <f t="shared" si="61"/>
        <v>3000</v>
      </c>
      <c r="AN52" s="28">
        <f t="shared" si="61"/>
        <v>3000</v>
      </c>
      <c r="AO52" s="28">
        <f t="shared" si="61"/>
        <v>3000</v>
      </c>
      <c r="AP52" s="28">
        <f t="shared" si="61"/>
        <v>3000</v>
      </c>
      <c r="AQ52" s="28">
        <f t="shared" si="61"/>
        <v>3000</v>
      </c>
      <c r="AR52" s="28">
        <f t="shared" si="61"/>
        <v>3000</v>
      </c>
    </row>
    <row r="53" spans="1:44" ht="12.75" customHeight="1" x14ac:dyDescent="0.15">
      <c r="A53" s="15"/>
      <c r="B53" s="13" t="s">
        <v>60</v>
      </c>
      <c r="C53" s="14">
        <v>500000</v>
      </c>
      <c r="D53" s="15"/>
      <c r="E53" s="14">
        <v>0</v>
      </c>
      <c r="F53" s="27" t="s">
        <v>61</v>
      </c>
      <c r="G53" s="28"/>
      <c r="H53" s="28">
        <f t="shared" ref="H53:AR53" si="62">$E53</f>
        <v>0</v>
      </c>
      <c r="I53" s="28">
        <f t="shared" si="62"/>
        <v>0</v>
      </c>
      <c r="J53" s="28">
        <f t="shared" si="62"/>
        <v>0</v>
      </c>
      <c r="K53" s="28">
        <f t="shared" si="62"/>
        <v>0</v>
      </c>
      <c r="L53" s="28">
        <f t="shared" si="62"/>
        <v>0</v>
      </c>
      <c r="M53" s="28">
        <f t="shared" si="62"/>
        <v>0</v>
      </c>
      <c r="N53" s="28">
        <f t="shared" si="62"/>
        <v>0</v>
      </c>
      <c r="O53" s="28">
        <f t="shared" si="62"/>
        <v>0</v>
      </c>
      <c r="P53" s="28">
        <f t="shared" si="62"/>
        <v>0</v>
      </c>
      <c r="Q53" s="28">
        <f t="shared" si="62"/>
        <v>0</v>
      </c>
      <c r="R53" s="28">
        <f t="shared" si="62"/>
        <v>0</v>
      </c>
      <c r="S53" s="28">
        <f t="shared" si="62"/>
        <v>0</v>
      </c>
      <c r="T53" s="28">
        <f t="shared" si="62"/>
        <v>0</v>
      </c>
      <c r="U53" s="28">
        <f t="shared" si="62"/>
        <v>0</v>
      </c>
      <c r="V53" s="28">
        <f t="shared" si="62"/>
        <v>0</v>
      </c>
      <c r="W53" s="28">
        <f t="shared" si="62"/>
        <v>0</v>
      </c>
      <c r="X53" s="28">
        <f t="shared" si="62"/>
        <v>0</v>
      </c>
      <c r="Y53" s="28">
        <f t="shared" si="62"/>
        <v>0</v>
      </c>
      <c r="Z53" s="28">
        <f t="shared" si="62"/>
        <v>0</v>
      </c>
      <c r="AA53" s="28">
        <f t="shared" si="62"/>
        <v>0</v>
      </c>
      <c r="AB53" s="28">
        <f t="shared" si="62"/>
        <v>0</v>
      </c>
      <c r="AC53" s="28">
        <f t="shared" si="62"/>
        <v>0</v>
      </c>
      <c r="AD53" s="28">
        <f t="shared" si="62"/>
        <v>0</v>
      </c>
      <c r="AE53" s="28">
        <f t="shared" si="62"/>
        <v>0</v>
      </c>
      <c r="AF53" s="28">
        <f t="shared" si="62"/>
        <v>0</v>
      </c>
      <c r="AG53" s="28">
        <f t="shared" si="62"/>
        <v>0</v>
      </c>
      <c r="AH53" s="28">
        <f t="shared" si="62"/>
        <v>0</v>
      </c>
      <c r="AI53" s="28">
        <f t="shared" si="62"/>
        <v>0</v>
      </c>
      <c r="AJ53" s="28">
        <f t="shared" si="62"/>
        <v>0</v>
      </c>
      <c r="AK53" s="28">
        <f t="shared" si="62"/>
        <v>0</v>
      </c>
      <c r="AL53" s="28">
        <f t="shared" si="62"/>
        <v>0</v>
      </c>
      <c r="AM53" s="28">
        <f t="shared" si="62"/>
        <v>0</v>
      </c>
      <c r="AN53" s="28">
        <f t="shared" si="62"/>
        <v>0</v>
      </c>
      <c r="AO53" s="28">
        <f t="shared" si="62"/>
        <v>0</v>
      </c>
      <c r="AP53" s="28">
        <f t="shared" si="62"/>
        <v>0</v>
      </c>
      <c r="AQ53" s="28">
        <f t="shared" si="62"/>
        <v>0</v>
      </c>
      <c r="AR53" s="28">
        <f t="shared" si="62"/>
        <v>0</v>
      </c>
    </row>
    <row r="54" spans="1:44" ht="12.75" customHeight="1" x14ac:dyDescent="0.15">
      <c r="A54" s="15"/>
      <c r="B54" s="13" t="s">
        <v>59</v>
      </c>
      <c r="C54" s="14">
        <v>300000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1:44" ht="12.75" customHeight="1" x14ac:dyDescent="0.15">
      <c r="A55" s="1"/>
      <c r="B55" s="1"/>
      <c r="C55" s="2"/>
      <c r="D55" s="1"/>
      <c r="E55" s="15"/>
      <c r="F55" s="24" t="s">
        <v>62</v>
      </c>
      <c r="G55" s="24">
        <f t="shared" ref="G55:AP55" si="63">G40-G43</f>
        <v>0</v>
      </c>
      <c r="H55" s="24">
        <f t="shared" si="63"/>
        <v>58070.469500000007</v>
      </c>
      <c r="I55" s="24">
        <f t="shared" si="63"/>
        <v>86052.920975000015</v>
      </c>
      <c r="J55" s="24">
        <f t="shared" si="63"/>
        <v>111740.44202374993</v>
      </c>
      <c r="K55" s="24">
        <f t="shared" si="63"/>
        <v>138712.33912493754</v>
      </c>
      <c r="L55" s="24">
        <f t="shared" si="63"/>
        <v>167032.83108118433</v>
      </c>
      <c r="M55" s="24">
        <f t="shared" si="63"/>
        <v>196769.34763524367</v>
      </c>
      <c r="N55" s="24">
        <f t="shared" si="63"/>
        <v>227992.69001700589</v>
      </c>
      <c r="O55" s="24">
        <f t="shared" si="63"/>
        <v>260777.19951785635</v>
      </c>
      <c r="P55" s="24">
        <f t="shared" si="63"/>
        <v>295200.93449374894</v>
      </c>
      <c r="Q55" s="24">
        <f t="shared" si="63"/>
        <v>331345.8562184365</v>
      </c>
      <c r="R55" s="24">
        <f t="shared" si="63"/>
        <v>369298.02402935852</v>
      </c>
      <c r="S55" s="24">
        <f t="shared" si="63"/>
        <v>378303.08490709809</v>
      </c>
      <c r="T55" s="24">
        <f t="shared" si="63"/>
        <v>387449.36069822032</v>
      </c>
      <c r="U55" s="24">
        <f t="shared" si="63"/>
        <v>396739.43914891046</v>
      </c>
      <c r="V55" s="24">
        <f t="shared" si="63"/>
        <v>406175.9581563113</v>
      </c>
      <c r="W55" s="24">
        <f t="shared" si="63"/>
        <v>415761.60675931047</v>
      </c>
      <c r="X55" s="24">
        <f t="shared" si="63"/>
        <v>425499.126149041</v>
      </c>
      <c r="Y55" s="24">
        <f t="shared" si="63"/>
        <v>435391.31069948513</v>
      </c>
      <c r="Z55" s="24">
        <f t="shared" si="63"/>
        <v>445441.00901858823</v>
      </c>
      <c r="AA55" s="24">
        <f t="shared" si="63"/>
        <v>455651.12502028747</v>
      </c>
      <c r="AB55" s="24">
        <f t="shared" si="63"/>
        <v>466024.61901787203</v>
      </c>
      <c r="AC55" s="24">
        <f t="shared" si="63"/>
        <v>476564.50883910665</v>
      </c>
      <c r="AD55" s="24">
        <f t="shared" si="63"/>
        <v>484711.73083715024</v>
      </c>
      <c r="AE55" s="24">
        <f t="shared" si="63"/>
        <v>493011.95925697603</v>
      </c>
      <c r="AF55" s="24">
        <f t="shared" si="63"/>
        <v>501468.24428900122</v>
      </c>
      <c r="AG55" s="24">
        <f t="shared" si="63"/>
        <v>510083.69711751398</v>
      </c>
      <c r="AH55" s="24">
        <f t="shared" si="63"/>
        <v>518861.49114053953</v>
      </c>
      <c r="AI55" s="24">
        <f t="shared" si="63"/>
        <v>527804.86321410653</v>
      </c>
      <c r="AJ55" s="24">
        <f t="shared" si="63"/>
        <v>536917.11492139543</v>
      </c>
      <c r="AK55" s="24">
        <f t="shared" si="63"/>
        <v>546201.6138672732</v>
      </c>
      <c r="AL55" s="24">
        <f t="shared" si="63"/>
        <v>555661.79499871563</v>
      </c>
      <c r="AM55" s="24">
        <f t="shared" si="63"/>
        <v>565301.16195164155</v>
      </c>
      <c r="AN55" s="24">
        <f t="shared" si="63"/>
        <v>575123.28842467885</v>
      </c>
      <c r="AO55" s="24">
        <f t="shared" si="63"/>
        <v>585131.81958041061</v>
      </c>
      <c r="AP55" s="24">
        <f t="shared" si="63"/>
        <v>595330.47347464424</v>
      </c>
      <c r="AQ55" s="24">
        <f t="shared" ref="AQ55:AR55" si="64">AQ40-AQ43</f>
        <v>605723.04251426551</v>
      </c>
      <c r="AR55" s="24">
        <f t="shared" si="64"/>
        <v>616313.39494424942</v>
      </c>
    </row>
    <row r="56" spans="1:44" ht="12.75" customHeight="1" x14ac:dyDescent="0.15">
      <c r="A56" s="15"/>
      <c r="B56" s="18" t="s">
        <v>63</v>
      </c>
      <c r="C56" s="40">
        <f>SUM(C42:C55)</f>
        <v>6490701.6945812497</v>
      </c>
      <c r="D56" s="15"/>
      <c r="E56" s="4">
        <v>0.06</v>
      </c>
      <c r="F56" s="27" t="s">
        <v>64</v>
      </c>
      <c r="G56" s="28">
        <f t="shared" ref="G56:AP56" si="65">G26*$E$56</f>
        <v>0</v>
      </c>
      <c r="H56" s="28">
        <f>H26*$E$56</f>
        <v>40878.089999999997</v>
      </c>
      <c r="I56" s="28">
        <f t="shared" si="65"/>
        <v>43232.854500000001</v>
      </c>
      <c r="J56" s="28">
        <f t="shared" si="65"/>
        <v>45394.497224999999</v>
      </c>
      <c r="K56" s="28">
        <f t="shared" si="65"/>
        <v>47664.222086250003</v>
      </c>
      <c r="L56" s="28">
        <f t="shared" si="65"/>
        <v>50047.433190562493</v>
      </c>
      <c r="M56" s="28">
        <f t="shared" si="65"/>
        <v>52549.80485009063</v>
      </c>
      <c r="N56" s="28">
        <f t="shared" si="65"/>
        <v>55177.295092595166</v>
      </c>
      <c r="O56" s="28">
        <f t="shared" si="65"/>
        <v>57936.159847224932</v>
      </c>
      <c r="P56" s="28">
        <f t="shared" si="65"/>
        <v>60832.96783958617</v>
      </c>
      <c r="Q56" s="28">
        <f t="shared" si="65"/>
        <v>63874.61623156548</v>
      </c>
      <c r="R56" s="28">
        <f t="shared" si="65"/>
        <v>67068.347043143774</v>
      </c>
      <c r="S56" s="28">
        <f t="shared" si="65"/>
        <v>67826.136177315406</v>
      </c>
      <c r="T56" s="28">
        <f t="shared" si="65"/>
        <v>68595.808754408441</v>
      </c>
      <c r="U56" s="28">
        <f t="shared" si="65"/>
        <v>69377.582537075214</v>
      </c>
      <c r="V56" s="28">
        <f t="shared" si="65"/>
        <v>70171.679508244983</v>
      </c>
      <c r="W56" s="28">
        <f t="shared" si="65"/>
        <v>70978.325954500178</v>
      </c>
      <c r="X56" s="28">
        <f t="shared" si="65"/>
        <v>71797.752551111436</v>
      </c>
      <c r="Y56" s="28">
        <f t="shared" si="65"/>
        <v>72630.194448764523</v>
      </c>
      <c r="Z56" s="28">
        <f t="shared" si="65"/>
        <v>73475.891362013048</v>
      </c>
      <c r="AA56" s="28">
        <f t="shared" si="65"/>
        <v>74335.087659491226</v>
      </c>
      <c r="AB56" s="28">
        <f t="shared" si="65"/>
        <v>75208.032455921915</v>
      </c>
      <c r="AC56" s="28">
        <f t="shared" si="65"/>
        <v>76094.979705955688</v>
      </c>
      <c r="AD56" s="28">
        <f t="shared" si="65"/>
        <v>76780.58043510381</v>
      </c>
      <c r="AE56" s="28">
        <f t="shared" si="65"/>
        <v>77479.056879969925</v>
      </c>
      <c r="AF56" s="28">
        <f t="shared" si="65"/>
        <v>78190.665718569522</v>
      </c>
      <c r="AG56" s="28">
        <f t="shared" si="65"/>
        <v>78915.668761642126</v>
      </c>
      <c r="AH56" s="28">
        <f t="shared" si="65"/>
        <v>79654.333055304858</v>
      </c>
      <c r="AI56" s="28">
        <f t="shared" si="65"/>
        <v>80406.930985759303</v>
      </c>
      <c r="AJ56" s="28">
        <f t="shared" si="65"/>
        <v>81173.740386092177</v>
      </c>
      <c r="AK56" s="28">
        <f t="shared" si="65"/>
        <v>81955.044645212329</v>
      </c>
      <c r="AL56" s="28">
        <f t="shared" si="65"/>
        <v>82751.13281896626</v>
      </c>
      <c r="AM56" s="28">
        <f t="shared" si="65"/>
        <v>83562.299743476149</v>
      </c>
      <c r="AN56" s="28">
        <f t="shared" si="65"/>
        <v>84388.846150744357</v>
      </c>
      <c r="AO56" s="28">
        <f t="shared" si="65"/>
        <v>85231.078786570317</v>
      </c>
      <c r="AP56" s="28">
        <f t="shared" si="65"/>
        <v>86089.310530825605</v>
      </c>
      <c r="AQ56" s="28">
        <f t="shared" ref="AQ56:AR56" si="66">AQ26*$E$56</f>
        <v>86963.860520134549</v>
      </c>
      <c r="AR56" s="28">
        <f t="shared" si="66"/>
        <v>87855.054273008354</v>
      </c>
    </row>
    <row r="57" spans="1:44" ht="12.75" customHeight="1" x14ac:dyDescent="0.15">
      <c r="A57" s="15"/>
      <c r="B57" s="15"/>
      <c r="C57" s="15"/>
      <c r="D57" s="1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1:44" ht="12.75" customHeight="1" x14ac:dyDescent="0.15">
      <c r="A58" s="1"/>
      <c r="B58" s="1"/>
      <c r="C58" s="2"/>
      <c r="D58" s="1"/>
      <c r="E58" s="1"/>
      <c r="F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spans="1:44" ht="12.75" customHeight="1" x14ac:dyDescent="0.15">
      <c r="A59" s="1"/>
      <c r="B59" s="1"/>
      <c r="C59" s="2"/>
      <c r="D59" s="1"/>
      <c r="E59" s="15"/>
      <c r="F59" s="15" t="s">
        <v>65</v>
      </c>
      <c r="G59" s="26">
        <f>G55-G56</f>
        <v>0</v>
      </c>
      <c r="H59" s="26">
        <f t="shared" ref="H59:AP59" si="67">H55-H56-H57</f>
        <v>17192.37950000001</v>
      </c>
      <c r="I59" s="26">
        <f t="shared" si="67"/>
        <v>42820.066475000014</v>
      </c>
      <c r="J59" s="26">
        <f t="shared" si="67"/>
        <v>66345.94479874993</v>
      </c>
      <c r="K59" s="26">
        <f t="shared" si="67"/>
        <v>91048.117038687546</v>
      </c>
      <c r="L59" s="26">
        <f t="shared" si="67"/>
        <v>116985.39789062183</v>
      </c>
      <c r="M59" s="26">
        <f t="shared" si="67"/>
        <v>144219.54278515303</v>
      </c>
      <c r="N59" s="26">
        <f t="shared" si="67"/>
        <v>172815.39492441074</v>
      </c>
      <c r="O59" s="26">
        <f t="shared" si="67"/>
        <v>202841.03967063141</v>
      </c>
      <c r="P59" s="26">
        <f t="shared" si="67"/>
        <v>234367.96665416277</v>
      </c>
      <c r="Q59" s="26">
        <f t="shared" si="67"/>
        <v>267471.23998687102</v>
      </c>
      <c r="R59" s="26">
        <f t="shared" si="67"/>
        <v>302229.67698621476</v>
      </c>
      <c r="S59" s="26">
        <f t="shared" si="67"/>
        <v>310476.94872978271</v>
      </c>
      <c r="T59" s="26">
        <f t="shared" si="67"/>
        <v>318853.55194381188</v>
      </c>
      <c r="U59" s="26">
        <f t="shared" si="67"/>
        <v>327361.85661183525</v>
      </c>
      <c r="V59" s="26">
        <f t="shared" si="67"/>
        <v>336004.27864806633</v>
      </c>
      <c r="W59" s="26">
        <f t="shared" si="67"/>
        <v>344783.28080481029</v>
      </c>
      <c r="X59" s="26">
        <f t="shared" si="67"/>
        <v>353701.37359792955</v>
      </c>
      <c r="Y59" s="26">
        <f t="shared" si="67"/>
        <v>362761.11625072057</v>
      </c>
      <c r="Z59" s="26">
        <f t="shared" si="67"/>
        <v>371965.11765657517</v>
      </c>
      <c r="AA59" s="26">
        <f t="shared" si="67"/>
        <v>381316.03736079624</v>
      </c>
      <c r="AB59" s="26">
        <f t="shared" si="67"/>
        <v>390816.5865619501</v>
      </c>
      <c r="AC59" s="26">
        <f t="shared" si="67"/>
        <v>400469.52913315094</v>
      </c>
      <c r="AD59" s="26">
        <f t="shared" si="67"/>
        <v>407931.15040204645</v>
      </c>
      <c r="AE59" s="26">
        <f t="shared" si="67"/>
        <v>415532.90237700613</v>
      </c>
      <c r="AF59" s="26">
        <f t="shared" si="67"/>
        <v>423277.57857043168</v>
      </c>
      <c r="AG59" s="26">
        <f t="shared" si="67"/>
        <v>431168.02835587185</v>
      </c>
      <c r="AH59" s="26">
        <f t="shared" si="67"/>
        <v>439207.1580852347</v>
      </c>
      <c r="AI59" s="26">
        <f t="shared" si="67"/>
        <v>447397.93222834723</v>
      </c>
      <c r="AJ59" s="26">
        <f t="shared" si="67"/>
        <v>455743.37453530327</v>
      </c>
      <c r="AK59" s="26">
        <f t="shared" si="67"/>
        <v>464246.56922206085</v>
      </c>
      <c r="AL59" s="26">
        <f t="shared" si="67"/>
        <v>472910.66217974934</v>
      </c>
      <c r="AM59" s="26">
        <f t="shared" si="67"/>
        <v>481738.8622081654</v>
      </c>
      <c r="AN59" s="26">
        <f t="shared" si="67"/>
        <v>490734.44227393449</v>
      </c>
      <c r="AO59" s="26">
        <f t="shared" si="67"/>
        <v>499900.74079384026</v>
      </c>
      <c r="AP59" s="26">
        <f t="shared" si="67"/>
        <v>509241.16294381861</v>
      </c>
      <c r="AQ59" s="26">
        <f t="shared" ref="AQ59:AR59" si="68">AQ55-AQ56-AQ57</f>
        <v>518759.18199413095</v>
      </c>
      <c r="AR59" s="26">
        <f t="shared" si="68"/>
        <v>528458.34067124105</v>
      </c>
    </row>
    <row r="60" spans="1:44" ht="12.75" customHeight="1" x14ac:dyDescent="0.15">
      <c r="A60" s="35"/>
      <c r="B60" s="35"/>
      <c r="C60" s="35"/>
      <c r="D60" s="35"/>
      <c r="E60" s="36"/>
      <c r="F60" s="38" t="s">
        <v>37</v>
      </c>
      <c r="G60" s="41"/>
      <c r="H60" s="38">
        <f t="shared" ref="H60:AP60" si="69">H59/H26</f>
        <v>2.5234612722854727E-2</v>
      </c>
      <c r="I60" s="38">
        <f t="shared" si="69"/>
        <v>5.9427118986556872E-2</v>
      </c>
      <c r="J60" s="38">
        <f t="shared" si="69"/>
        <v>8.7692494272911203E-2</v>
      </c>
      <c r="K60" s="38">
        <f t="shared" si="69"/>
        <v>0.11461189930753461</v>
      </c>
      <c r="L60" s="38">
        <f t="shared" si="69"/>
        <v>0.14024942791193762</v>
      </c>
      <c r="M60" s="38">
        <f t="shared" si="69"/>
        <v>0.16466612182089307</v>
      </c>
      <c r="N60" s="38">
        <f t="shared" si="69"/>
        <v>0.18792011601989822</v>
      </c>
      <c r="O60" s="38">
        <f t="shared" si="69"/>
        <v>0.21006677716180794</v>
      </c>
      <c r="P60" s="38">
        <f t="shared" si="69"/>
        <v>0.23115883539219786</v>
      </c>
      <c r="Q60" s="38">
        <f t="shared" si="69"/>
        <v>0.25124650989733138</v>
      </c>
      <c r="R60" s="38">
        <f t="shared" si="69"/>
        <v>0.27037762847364905</v>
      </c>
      <c r="S60" s="38">
        <f t="shared" si="69"/>
        <v>0.27465248610191867</v>
      </c>
      <c r="T60" s="38">
        <f t="shared" si="69"/>
        <v>0.27889769745442661</v>
      </c>
      <c r="U60" s="38">
        <f t="shared" si="69"/>
        <v>0.2831132287755001</v>
      </c>
      <c r="V60" s="38">
        <f t="shared" si="69"/>
        <v>0.28729904799435796</v>
      </c>
      <c r="W60" s="38">
        <f t="shared" si="69"/>
        <v>0.29145512478766789</v>
      </c>
      <c r="X60" s="38">
        <f t="shared" si="69"/>
        <v>0.29558143064113573</v>
      </c>
      <c r="Y60" s="38">
        <f t="shared" si="69"/>
        <v>0.29967793891006822</v>
      </c>
      <c r="Z60" s="38">
        <f t="shared" si="69"/>
        <v>0.30374462487885984</v>
      </c>
      <c r="AA60" s="38">
        <f t="shared" si="69"/>
        <v>0.30778146581934579</v>
      </c>
      <c r="AB60" s="38">
        <f t="shared" si="69"/>
        <v>0.31178844104796977</v>
      </c>
      <c r="AC60" s="38">
        <f t="shared" si="69"/>
        <v>0.31576553198171697</v>
      </c>
      <c r="AD60" s="38">
        <f t="shared" si="69"/>
        <v>0.31877681681255571</v>
      </c>
      <c r="AE60" s="38">
        <f t="shared" si="69"/>
        <v>0.32178985065918941</v>
      </c>
      <c r="AF60" s="38">
        <f t="shared" si="69"/>
        <v>0.32480417554744573</v>
      </c>
      <c r="AG60" s="38">
        <f t="shared" si="69"/>
        <v>0.3278193305247229</v>
      </c>
      <c r="AH60" s="38">
        <f t="shared" si="69"/>
        <v>0.33083485196991486</v>
      </c>
      <c r="AI60" s="38">
        <f t="shared" si="69"/>
        <v>0.33385027390804273</v>
      </c>
      <c r="AJ60" s="38">
        <f t="shared" si="69"/>
        <v>0.33686512832915183</v>
      </c>
      <c r="AK60" s="38">
        <f t="shared" si="69"/>
        <v>0.33987894551102388</v>
      </c>
      <c r="AL60" s="38">
        <f t="shared" si="69"/>
        <v>0.34289125434524076</v>
      </c>
      <c r="AM60" s="38">
        <f t="shared" si="69"/>
        <v>0.34590158266612969</v>
      </c>
      <c r="AN60" s="38">
        <f t="shared" si="69"/>
        <v>0.34890945758210673</v>
      </c>
      <c r="AO60" s="38">
        <f t="shared" si="69"/>
        <v>0.35191440580893496</v>
      </c>
      <c r="AP60" s="38">
        <f t="shared" si="69"/>
        <v>0.35491595400440124</v>
      </c>
      <c r="AQ60" s="38">
        <f t="shared" ref="AQ60:AR60" si="70">AQ59/AQ26</f>
        <v>0.35791362910391294</v>
      </c>
      <c r="AR60" s="38">
        <f t="shared" si="70"/>
        <v>0.36090695865651445</v>
      </c>
    </row>
    <row r="61" spans="1:44" ht="12.75" customHeight="1" x14ac:dyDescent="0.1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" ht="12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" ht="12.75" customHeight="1" x14ac:dyDescent="0.15">
      <c r="A63" s="15"/>
      <c r="B63" s="15"/>
      <c r="C63" s="26"/>
      <c r="D63" s="15"/>
      <c r="E63" s="1"/>
      <c r="F63" s="24" t="s">
        <v>66</v>
      </c>
      <c r="G63" s="24">
        <v>0</v>
      </c>
      <c r="H63" s="24">
        <f t="shared" ref="H63:AR63" si="71">G68</f>
        <v>509298.30541875027</v>
      </c>
      <c r="I63" s="24">
        <f t="shared" si="71"/>
        <v>526490.68491875031</v>
      </c>
      <c r="J63" s="24">
        <f t="shared" si="71"/>
        <v>564153.03754375025</v>
      </c>
      <c r="K63" s="24">
        <f t="shared" si="71"/>
        <v>617652.96240000019</v>
      </c>
      <c r="L63" s="24">
        <f t="shared" si="71"/>
        <v>688797.29599906283</v>
      </c>
      <c r="M63" s="24">
        <f t="shared" si="71"/>
        <v>778468.25877807837</v>
      </c>
      <c r="N63" s="24">
        <f t="shared" si="71"/>
        <v>887592.18219604483</v>
      </c>
      <c r="O63" s="24">
        <f t="shared" si="71"/>
        <v>1017141.7142849095</v>
      </c>
      <c r="P63" s="24">
        <f t="shared" si="71"/>
        <v>1168138.1354782176</v>
      </c>
      <c r="Q63" s="24">
        <f t="shared" si="71"/>
        <v>1341653.7902311911</v>
      </c>
      <c r="R63" s="24">
        <f t="shared" si="71"/>
        <v>1538814.6402218132</v>
      </c>
      <c r="S63" s="24">
        <f t="shared" si="71"/>
        <v>1760802.9452119665</v>
      </c>
      <c r="T63" s="24">
        <f t="shared" si="71"/>
        <v>1980610.9908458849</v>
      </c>
      <c r="U63" s="24">
        <f t="shared" si="71"/>
        <v>2206321.4581707618</v>
      </c>
      <c r="V63" s="24">
        <f t="shared" si="71"/>
        <v>2438027.2491994537</v>
      </c>
      <c r="W63" s="24">
        <f t="shared" si="71"/>
        <v>2675822.9708639695</v>
      </c>
      <c r="X63" s="24">
        <f t="shared" si="71"/>
        <v>2919804.9680743599</v>
      </c>
      <c r="Y63" s="24">
        <f t="shared" si="71"/>
        <v>3170071.3574308464</v>
      </c>
      <c r="Z63" s="24">
        <f t="shared" si="71"/>
        <v>3426722.0616021883</v>
      </c>
      <c r="AA63" s="24">
        <f t="shared" si="71"/>
        <v>3689858.8443835471</v>
      </c>
      <c r="AB63" s="24">
        <f t="shared" si="71"/>
        <v>3959585.3464473709</v>
      </c>
      <c r="AC63" s="24">
        <f t="shared" si="71"/>
        <v>4236007.121801082</v>
      </c>
      <c r="AD63" s="24">
        <f t="shared" si="71"/>
        <v>4519231.674965648</v>
      </c>
      <c r="AE63" s="24">
        <f t="shared" si="71"/>
        <v>4807021.9666277496</v>
      </c>
      <c r="AF63" s="24">
        <f t="shared" si="71"/>
        <v>5100175.5238841418</v>
      </c>
      <c r="AG63" s="24">
        <f t="shared" si="71"/>
        <v>5398793.2317414721</v>
      </c>
      <c r="AH63" s="24">
        <f t="shared" si="71"/>
        <v>5702977.9865262145</v>
      </c>
      <c r="AI63" s="24">
        <f t="shared" si="71"/>
        <v>6012834.7361046877</v>
      </c>
      <c r="AJ63" s="24">
        <f t="shared" si="71"/>
        <v>6328470.5209074644</v>
      </c>
      <c r="AK63" s="24">
        <f t="shared" si="71"/>
        <v>6649994.515774264</v>
      </c>
      <c r="AL63" s="24">
        <f t="shared" si="71"/>
        <v>6977518.0726357345</v>
      </c>
      <c r="AM63" s="24">
        <f t="shared" si="71"/>
        <v>7311154.764048866</v>
      </c>
      <c r="AN63" s="24">
        <f t="shared" si="71"/>
        <v>7651020.427603106</v>
      </c>
      <c r="AO63" s="24">
        <f t="shared" si="71"/>
        <v>7997233.2112145908</v>
      </c>
      <c r="AP63" s="24">
        <f t="shared" si="71"/>
        <v>8349913.6193262516</v>
      </c>
      <c r="AQ63" s="24">
        <f t="shared" si="71"/>
        <v>8709184.5600319188</v>
      </c>
      <c r="AR63" s="24">
        <f t="shared" si="71"/>
        <v>9075171.3931429032</v>
      </c>
    </row>
    <row r="64" spans="1:44" ht="12.75" customHeight="1" x14ac:dyDescent="0.15">
      <c r="A64" s="15"/>
      <c r="B64" s="15"/>
      <c r="C64" s="26"/>
      <c r="D64" s="15"/>
      <c r="E64" s="42">
        <v>7000000</v>
      </c>
      <c r="F64" s="43" t="s">
        <v>67</v>
      </c>
      <c r="G64" s="42">
        <f>E64</f>
        <v>7000000</v>
      </c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</row>
    <row r="65" spans="1:44" ht="12.75" customHeight="1" x14ac:dyDescent="0.15">
      <c r="A65" s="15"/>
      <c r="B65" s="15"/>
      <c r="C65" s="26"/>
      <c r="D65" s="15"/>
      <c r="E65" s="15"/>
      <c r="F65" s="27" t="s">
        <v>68</v>
      </c>
      <c r="G65" s="28">
        <f>-C56</f>
        <v>-6490701.6945812497</v>
      </c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</row>
    <row r="66" spans="1:44" ht="12.75" customHeight="1" x14ac:dyDescent="0.15">
      <c r="A66" s="15"/>
      <c r="B66" s="15"/>
      <c r="C66" s="26"/>
      <c r="D66" s="15"/>
      <c r="E66" s="1"/>
      <c r="F66" s="27" t="s">
        <v>69</v>
      </c>
      <c r="G66" s="28">
        <f t="shared" ref="G66:AP66" si="72">G59</f>
        <v>0</v>
      </c>
      <c r="H66" s="28">
        <f t="shared" si="72"/>
        <v>17192.37950000001</v>
      </c>
      <c r="I66" s="28">
        <f t="shared" si="72"/>
        <v>42820.066475000014</v>
      </c>
      <c r="J66" s="28">
        <f t="shared" si="72"/>
        <v>66345.94479874993</v>
      </c>
      <c r="K66" s="28">
        <f t="shared" si="72"/>
        <v>91048.117038687546</v>
      </c>
      <c r="L66" s="28">
        <f t="shared" si="72"/>
        <v>116985.39789062183</v>
      </c>
      <c r="M66" s="28">
        <f t="shared" si="72"/>
        <v>144219.54278515303</v>
      </c>
      <c r="N66" s="28">
        <f t="shared" si="72"/>
        <v>172815.39492441074</v>
      </c>
      <c r="O66" s="28">
        <f t="shared" si="72"/>
        <v>202841.03967063141</v>
      </c>
      <c r="P66" s="28">
        <f t="shared" si="72"/>
        <v>234367.96665416277</v>
      </c>
      <c r="Q66" s="28">
        <f t="shared" si="72"/>
        <v>267471.23998687102</v>
      </c>
      <c r="R66" s="28">
        <f t="shared" si="72"/>
        <v>302229.67698621476</v>
      </c>
      <c r="S66" s="28">
        <f t="shared" si="72"/>
        <v>310476.94872978271</v>
      </c>
      <c r="T66" s="28">
        <f t="shared" si="72"/>
        <v>318853.55194381188</v>
      </c>
      <c r="U66" s="28">
        <f t="shared" si="72"/>
        <v>327361.85661183525</v>
      </c>
      <c r="V66" s="28">
        <f t="shared" si="72"/>
        <v>336004.27864806633</v>
      </c>
      <c r="W66" s="28">
        <f t="shared" si="72"/>
        <v>344783.28080481029</v>
      </c>
      <c r="X66" s="28">
        <f t="shared" si="72"/>
        <v>353701.37359792955</v>
      </c>
      <c r="Y66" s="28">
        <f t="shared" si="72"/>
        <v>362761.11625072057</v>
      </c>
      <c r="Z66" s="28">
        <f t="shared" si="72"/>
        <v>371965.11765657517</v>
      </c>
      <c r="AA66" s="28">
        <f t="shared" si="72"/>
        <v>381316.03736079624</v>
      </c>
      <c r="AB66" s="28">
        <f t="shared" si="72"/>
        <v>390816.5865619501</v>
      </c>
      <c r="AC66" s="28">
        <f t="shared" si="72"/>
        <v>400469.52913315094</v>
      </c>
      <c r="AD66" s="28">
        <f t="shared" si="72"/>
        <v>407931.15040204645</v>
      </c>
      <c r="AE66" s="28">
        <f t="shared" si="72"/>
        <v>415532.90237700613</v>
      </c>
      <c r="AF66" s="28">
        <f t="shared" si="72"/>
        <v>423277.57857043168</v>
      </c>
      <c r="AG66" s="28">
        <f t="shared" si="72"/>
        <v>431168.02835587185</v>
      </c>
      <c r="AH66" s="28">
        <f t="shared" si="72"/>
        <v>439207.1580852347</v>
      </c>
      <c r="AI66" s="28">
        <f t="shared" si="72"/>
        <v>447397.93222834723</v>
      </c>
      <c r="AJ66" s="28">
        <f t="shared" si="72"/>
        <v>455743.37453530327</v>
      </c>
      <c r="AK66" s="28">
        <f t="shared" si="72"/>
        <v>464246.56922206085</v>
      </c>
      <c r="AL66" s="28">
        <f t="shared" si="72"/>
        <v>472910.66217974934</v>
      </c>
      <c r="AM66" s="28">
        <f t="shared" si="72"/>
        <v>481738.8622081654</v>
      </c>
      <c r="AN66" s="28">
        <f t="shared" si="72"/>
        <v>490734.44227393449</v>
      </c>
      <c r="AO66" s="28">
        <f t="shared" si="72"/>
        <v>499900.74079384026</v>
      </c>
      <c r="AP66" s="28">
        <f t="shared" si="72"/>
        <v>509241.16294381861</v>
      </c>
      <c r="AQ66" s="28">
        <f t="shared" ref="AQ66:AR66" si="73">AQ59</f>
        <v>518759.18199413095</v>
      </c>
      <c r="AR66" s="28">
        <f t="shared" si="73"/>
        <v>528458.34067124105</v>
      </c>
    </row>
    <row r="67" spans="1:44" ht="12.75" customHeight="1" x14ac:dyDescent="0.15">
      <c r="A67" s="15"/>
      <c r="B67" s="15"/>
      <c r="C67" s="26"/>
      <c r="D67" s="15"/>
      <c r="E67" s="4">
        <f>IF(C9=1, 30%, 20%)</f>
        <v>0.3</v>
      </c>
      <c r="F67" s="44" t="s">
        <v>70</v>
      </c>
      <c r="G67" s="45"/>
      <c r="H67" s="45">
        <f>IF(G59&gt;0, -G59*$E$67, 0)</f>
        <v>0</v>
      </c>
      <c r="I67" s="45">
        <f>IF(H59&gt;0, -H59*$E$67, 0)</f>
        <v>-5157.7138500000028</v>
      </c>
      <c r="J67" s="45">
        <f t="shared" ref="J67:AR67" si="74">IF(I59&gt;0, -I59*$E$67, 0)</f>
        <v>-12846.019942500005</v>
      </c>
      <c r="K67" s="45">
        <f t="shared" si="74"/>
        <v>-19903.783439624978</v>
      </c>
      <c r="L67" s="45">
        <f t="shared" si="74"/>
        <v>-27314.435111606264</v>
      </c>
      <c r="M67" s="45">
        <f t="shared" si="74"/>
        <v>-35095.619367186548</v>
      </c>
      <c r="N67" s="45">
        <f t="shared" si="74"/>
        <v>-43265.862835545908</v>
      </c>
      <c r="O67" s="45">
        <f t="shared" si="74"/>
        <v>-51844.618477323216</v>
      </c>
      <c r="P67" s="45">
        <f t="shared" si="74"/>
        <v>-60852.311901189416</v>
      </c>
      <c r="Q67" s="45">
        <f t="shared" si="74"/>
        <v>-70310.389996248821</v>
      </c>
      <c r="R67" s="45">
        <f t="shared" si="74"/>
        <v>-80241.371996061309</v>
      </c>
      <c r="S67" s="45">
        <f t="shared" si="74"/>
        <v>-90668.903095864429</v>
      </c>
      <c r="T67" s="45">
        <f t="shared" si="74"/>
        <v>-93143.084618934809</v>
      </c>
      <c r="U67" s="45">
        <f t="shared" si="74"/>
        <v>-95656.065583143558</v>
      </c>
      <c r="V67" s="45">
        <f t="shared" si="74"/>
        <v>-98208.556983550574</v>
      </c>
      <c r="W67" s="45">
        <f t="shared" si="74"/>
        <v>-100801.2835944199</v>
      </c>
      <c r="X67" s="45">
        <f t="shared" si="74"/>
        <v>-103434.98424144309</v>
      </c>
      <c r="Y67" s="45">
        <f t="shared" si="74"/>
        <v>-106110.41207937886</v>
      </c>
      <c r="Z67" s="45">
        <f t="shared" si="74"/>
        <v>-108828.33487521617</v>
      </c>
      <c r="AA67" s="45">
        <f t="shared" si="74"/>
        <v>-111589.53529697255</v>
      </c>
      <c r="AB67" s="45">
        <f t="shared" si="74"/>
        <v>-114394.81120823887</v>
      </c>
      <c r="AC67" s="45">
        <f t="shared" si="74"/>
        <v>-117244.97596858503</v>
      </c>
      <c r="AD67" s="45">
        <f t="shared" si="74"/>
        <v>-120140.85873994528</v>
      </c>
      <c r="AE67" s="45">
        <f t="shared" si="74"/>
        <v>-122379.34512061393</v>
      </c>
      <c r="AF67" s="45">
        <f t="shared" si="74"/>
        <v>-124659.87071310183</v>
      </c>
      <c r="AG67" s="45">
        <f t="shared" si="74"/>
        <v>-126983.2735711295</v>
      </c>
      <c r="AH67" s="45">
        <f t="shared" si="74"/>
        <v>-129350.40850676155</v>
      </c>
      <c r="AI67" s="45">
        <f t="shared" si="74"/>
        <v>-131762.14742557041</v>
      </c>
      <c r="AJ67" s="45">
        <f t="shared" si="74"/>
        <v>-134219.37966850417</v>
      </c>
      <c r="AK67" s="45">
        <f t="shared" si="74"/>
        <v>-136723.01236059098</v>
      </c>
      <c r="AL67" s="45">
        <f t="shared" si="74"/>
        <v>-139273.97076661824</v>
      </c>
      <c r="AM67" s="45">
        <f t="shared" si="74"/>
        <v>-141873.1986539248</v>
      </c>
      <c r="AN67" s="45">
        <f t="shared" si="74"/>
        <v>-144521.65866244963</v>
      </c>
      <c r="AO67" s="45">
        <f t="shared" si="74"/>
        <v>-147220.33268218033</v>
      </c>
      <c r="AP67" s="45">
        <f t="shared" si="74"/>
        <v>-149970.22223815208</v>
      </c>
      <c r="AQ67" s="45">
        <f t="shared" si="74"/>
        <v>-152772.34888314558</v>
      </c>
      <c r="AR67" s="45">
        <f t="shared" si="74"/>
        <v>-155627.75459823929</v>
      </c>
    </row>
    <row r="68" spans="1:44" ht="12.75" customHeight="1" x14ac:dyDescent="0.15">
      <c r="A68" s="15"/>
      <c r="B68" s="15"/>
      <c r="C68" s="26"/>
      <c r="D68" s="15"/>
      <c r="E68" s="1"/>
      <c r="F68" s="24" t="s">
        <v>71</v>
      </c>
      <c r="G68" s="24">
        <f t="shared" ref="G68:AP68" si="75">SUM(G63:G67)</f>
        <v>509298.30541875027</v>
      </c>
      <c r="H68" s="24">
        <f t="shared" si="75"/>
        <v>526490.68491875031</v>
      </c>
      <c r="I68" s="24">
        <f>SUM(I63:I67)</f>
        <v>564153.03754375025</v>
      </c>
      <c r="J68" s="24">
        <f t="shared" si="75"/>
        <v>617652.96240000019</v>
      </c>
      <c r="K68" s="24">
        <f t="shared" si="75"/>
        <v>688797.29599906283</v>
      </c>
      <c r="L68" s="24">
        <f t="shared" si="75"/>
        <v>778468.25877807837</v>
      </c>
      <c r="M68" s="24">
        <f t="shared" si="75"/>
        <v>887592.18219604483</v>
      </c>
      <c r="N68" s="24">
        <f t="shared" si="75"/>
        <v>1017141.7142849095</v>
      </c>
      <c r="O68" s="24">
        <f t="shared" si="75"/>
        <v>1168138.1354782176</v>
      </c>
      <c r="P68" s="24">
        <f t="shared" si="75"/>
        <v>1341653.7902311911</v>
      </c>
      <c r="Q68" s="24">
        <f t="shared" si="75"/>
        <v>1538814.6402218132</v>
      </c>
      <c r="R68" s="24">
        <f t="shared" si="75"/>
        <v>1760802.9452119665</v>
      </c>
      <c r="S68" s="24">
        <f t="shared" si="75"/>
        <v>1980610.9908458849</v>
      </c>
      <c r="T68" s="24">
        <f t="shared" si="75"/>
        <v>2206321.4581707618</v>
      </c>
      <c r="U68" s="24">
        <f t="shared" si="75"/>
        <v>2438027.2491994537</v>
      </c>
      <c r="V68" s="24">
        <f t="shared" si="75"/>
        <v>2675822.9708639695</v>
      </c>
      <c r="W68" s="24">
        <f t="shared" si="75"/>
        <v>2919804.9680743599</v>
      </c>
      <c r="X68" s="24">
        <f t="shared" si="75"/>
        <v>3170071.3574308464</v>
      </c>
      <c r="Y68" s="24">
        <f t="shared" si="75"/>
        <v>3426722.0616021883</v>
      </c>
      <c r="Z68" s="24">
        <f t="shared" si="75"/>
        <v>3689858.8443835471</v>
      </c>
      <c r="AA68" s="24">
        <f t="shared" si="75"/>
        <v>3959585.3464473709</v>
      </c>
      <c r="AB68" s="24">
        <f t="shared" si="75"/>
        <v>4236007.121801082</v>
      </c>
      <c r="AC68" s="24">
        <f t="shared" si="75"/>
        <v>4519231.674965648</v>
      </c>
      <c r="AD68" s="24">
        <f t="shared" si="75"/>
        <v>4807021.9666277496</v>
      </c>
      <c r="AE68" s="24">
        <f t="shared" si="75"/>
        <v>5100175.5238841418</v>
      </c>
      <c r="AF68" s="24">
        <f t="shared" si="75"/>
        <v>5398793.2317414721</v>
      </c>
      <c r="AG68" s="24">
        <f t="shared" si="75"/>
        <v>5702977.9865262145</v>
      </c>
      <c r="AH68" s="24">
        <f t="shared" si="75"/>
        <v>6012834.7361046877</v>
      </c>
      <c r="AI68" s="24">
        <f t="shared" si="75"/>
        <v>6328470.5209074644</v>
      </c>
      <c r="AJ68" s="24">
        <f t="shared" si="75"/>
        <v>6649994.515774264</v>
      </c>
      <c r="AK68" s="24">
        <f t="shared" si="75"/>
        <v>6977518.0726357345</v>
      </c>
      <c r="AL68" s="24">
        <f t="shared" si="75"/>
        <v>7311154.764048866</v>
      </c>
      <c r="AM68" s="24">
        <f t="shared" si="75"/>
        <v>7651020.427603106</v>
      </c>
      <c r="AN68" s="24">
        <f t="shared" si="75"/>
        <v>7997233.2112145908</v>
      </c>
      <c r="AO68" s="24">
        <f t="shared" si="75"/>
        <v>8349913.6193262516</v>
      </c>
      <c r="AP68" s="24">
        <f t="shared" si="75"/>
        <v>8709184.5600319188</v>
      </c>
      <c r="AQ68" s="24">
        <f t="shared" ref="AQ68:AR68" si="76">SUM(AQ63:AQ67)</f>
        <v>9075171.3931429032</v>
      </c>
      <c r="AR68" s="24">
        <f t="shared" si="76"/>
        <v>9448001.9792159051</v>
      </c>
    </row>
    <row r="69" spans="1:44" ht="12.75" customHeight="1" x14ac:dyDescent="0.1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ht="12.75" customHeight="1" x14ac:dyDescent="0.15">
      <c r="A70" s="1"/>
      <c r="B70" s="1"/>
      <c r="C70" s="2"/>
      <c r="D70" s="1"/>
      <c r="E70" s="1"/>
      <c r="F70" s="1" t="s">
        <v>72</v>
      </c>
      <c r="G70" s="1" t="str">
        <f t="shared" ref="G70:AP70" si="77">IF(G68&gt;$G$64,G5,"")</f>
        <v/>
      </c>
      <c r="H70" s="1" t="str">
        <f t="shared" si="77"/>
        <v/>
      </c>
      <c r="I70" s="1" t="str">
        <f t="shared" si="77"/>
        <v/>
      </c>
      <c r="J70" s="1" t="str">
        <f t="shared" si="77"/>
        <v/>
      </c>
      <c r="K70" s="1" t="str">
        <f t="shared" si="77"/>
        <v/>
      </c>
      <c r="L70" s="1" t="str">
        <f t="shared" si="77"/>
        <v/>
      </c>
      <c r="M70" s="1" t="str">
        <f t="shared" si="77"/>
        <v/>
      </c>
      <c r="N70" s="1" t="str">
        <f t="shared" si="77"/>
        <v/>
      </c>
      <c r="O70" s="1" t="str">
        <f t="shared" si="77"/>
        <v/>
      </c>
      <c r="P70" s="1" t="str">
        <f t="shared" si="77"/>
        <v/>
      </c>
      <c r="Q70" s="1" t="str">
        <f t="shared" si="77"/>
        <v/>
      </c>
      <c r="R70" s="1" t="str">
        <f t="shared" si="77"/>
        <v/>
      </c>
      <c r="S70" s="1" t="str">
        <f t="shared" si="77"/>
        <v/>
      </c>
      <c r="T70" s="1" t="str">
        <f t="shared" si="77"/>
        <v/>
      </c>
      <c r="U70" s="1" t="str">
        <f t="shared" si="77"/>
        <v/>
      </c>
      <c r="V70" s="1" t="str">
        <f t="shared" si="77"/>
        <v/>
      </c>
      <c r="W70" s="1" t="str">
        <f t="shared" si="77"/>
        <v/>
      </c>
      <c r="X70" s="1" t="str">
        <f t="shared" si="77"/>
        <v/>
      </c>
      <c r="Y70" s="1" t="str">
        <f t="shared" si="77"/>
        <v/>
      </c>
      <c r="Z70" s="1" t="str">
        <f t="shared" si="77"/>
        <v/>
      </c>
      <c r="AA70" s="1" t="str">
        <f t="shared" si="77"/>
        <v/>
      </c>
      <c r="AB70" s="1" t="str">
        <f t="shared" si="77"/>
        <v/>
      </c>
      <c r="AC70" s="1" t="str">
        <f t="shared" si="77"/>
        <v/>
      </c>
      <c r="AD70" s="1" t="str">
        <f t="shared" si="77"/>
        <v/>
      </c>
      <c r="AE70" s="1" t="str">
        <f t="shared" si="77"/>
        <v/>
      </c>
      <c r="AF70" s="1" t="str">
        <f t="shared" si="77"/>
        <v/>
      </c>
      <c r="AG70" s="1" t="str">
        <f t="shared" si="77"/>
        <v/>
      </c>
      <c r="AH70" s="1" t="str">
        <f t="shared" si="77"/>
        <v/>
      </c>
      <c r="AI70" s="1" t="str">
        <f t="shared" si="77"/>
        <v/>
      </c>
      <c r="AJ70" s="1" t="str">
        <f t="shared" si="77"/>
        <v/>
      </c>
      <c r="AK70" s="1" t="str">
        <f t="shared" si="77"/>
        <v/>
      </c>
      <c r="AL70" s="1">
        <f t="shared" si="77"/>
        <v>32</v>
      </c>
      <c r="AM70" s="1">
        <f t="shared" si="77"/>
        <v>33</v>
      </c>
      <c r="AN70" s="1">
        <f t="shared" si="77"/>
        <v>34</v>
      </c>
      <c r="AO70" s="1">
        <f t="shared" si="77"/>
        <v>35</v>
      </c>
      <c r="AP70" s="1">
        <f t="shared" si="77"/>
        <v>36</v>
      </c>
      <c r="AQ70" s="1">
        <f t="shared" ref="AQ70:AR70" si="78">IF(AQ68&gt;$G$64,AQ5,"")</f>
        <v>37</v>
      </c>
      <c r="AR70" s="1">
        <f t="shared" si="78"/>
        <v>38</v>
      </c>
    </row>
    <row r="71" spans="1:44" ht="12.75" customHeight="1" x14ac:dyDescent="0.1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ht="12.75" customHeight="1" x14ac:dyDescent="0.15">
      <c r="A72" s="1"/>
      <c r="B72" s="1"/>
      <c r="C72" s="2"/>
      <c r="D72" s="1"/>
      <c r="E72" s="1"/>
      <c r="F72" s="46" t="s">
        <v>73</v>
      </c>
      <c r="G72" s="47">
        <f>G64</f>
        <v>7000000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spans="1:44" ht="12.75" customHeight="1" x14ac:dyDescent="0.15">
      <c r="A73" s="1"/>
      <c r="B73" s="1"/>
      <c r="C73" s="2"/>
      <c r="D73" s="1"/>
      <c r="E73" s="1"/>
      <c r="F73" s="1" t="s">
        <v>74</v>
      </c>
      <c r="G73" s="1"/>
      <c r="H73" s="2">
        <f t="shared" ref="H73:AR73" si="79">G73-H67</f>
        <v>0</v>
      </c>
      <c r="I73" s="2">
        <f t="shared" si="79"/>
        <v>5157.7138500000028</v>
      </c>
      <c r="J73" s="2">
        <f t="shared" si="79"/>
        <v>18003.733792500007</v>
      </c>
      <c r="K73" s="2">
        <f t="shared" si="79"/>
        <v>37907.517232124985</v>
      </c>
      <c r="L73" s="2">
        <f t="shared" si="79"/>
        <v>65221.952343731245</v>
      </c>
      <c r="M73" s="2">
        <f t="shared" si="79"/>
        <v>100317.57171091779</v>
      </c>
      <c r="N73" s="2">
        <f t="shared" si="79"/>
        <v>143583.43454646372</v>
      </c>
      <c r="O73" s="2">
        <f t="shared" si="79"/>
        <v>195428.05302378692</v>
      </c>
      <c r="P73" s="2">
        <f t="shared" si="79"/>
        <v>256280.36492497634</v>
      </c>
      <c r="Q73" s="2">
        <f t="shared" si="79"/>
        <v>326590.75492122513</v>
      </c>
      <c r="R73" s="2">
        <f t="shared" si="79"/>
        <v>406832.12691728643</v>
      </c>
      <c r="S73" s="2">
        <f t="shared" si="79"/>
        <v>497501.03001315088</v>
      </c>
      <c r="T73" s="2">
        <f t="shared" si="79"/>
        <v>590644.11463208566</v>
      </c>
      <c r="U73" s="2">
        <f t="shared" si="79"/>
        <v>686300.18021522928</v>
      </c>
      <c r="V73" s="2">
        <f t="shared" si="79"/>
        <v>784508.73719877983</v>
      </c>
      <c r="W73" s="2">
        <f t="shared" si="79"/>
        <v>885310.02079319977</v>
      </c>
      <c r="X73" s="2">
        <f t="shared" si="79"/>
        <v>988745.00503464288</v>
      </c>
      <c r="Y73" s="2">
        <f t="shared" si="79"/>
        <v>1094855.4171140217</v>
      </c>
      <c r="Z73" s="2">
        <f t="shared" si="79"/>
        <v>1203683.751989238</v>
      </c>
      <c r="AA73" s="2">
        <f t="shared" si="79"/>
        <v>1315273.2872862106</v>
      </c>
      <c r="AB73" s="2">
        <f t="shared" si="79"/>
        <v>1429668.0984944494</v>
      </c>
      <c r="AC73" s="2">
        <f t="shared" si="79"/>
        <v>1546913.0744630345</v>
      </c>
      <c r="AD73" s="2">
        <f t="shared" si="79"/>
        <v>1667053.9332029799</v>
      </c>
      <c r="AE73" s="2">
        <f t="shared" si="79"/>
        <v>1789433.2783235938</v>
      </c>
      <c r="AF73" s="2">
        <f t="shared" si="79"/>
        <v>1914093.1490366957</v>
      </c>
      <c r="AG73" s="2">
        <f t="shared" si="79"/>
        <v>2041076.4226078251</v>
      </c>
      <c r="AH73" s="2">
        <f t="shared" si="79"/>
        <v>2170426.8311145869</v>
      </c>
      <c r="AI73" s="2">
        <f t="shared" si="79"/>
        <v>2302188.9785401574</v>
      </c>
      <c r="AJ73" s="2">
        <f t="shared" si="79"/>
        <v>2436408.3582086614</v>
      </c>
      <c r="AK73" s="2">
        <f t="shared" si="79"/>
        <v>2573131.3705692524</v>
      </c>
      <c r="AL73" s="2">
        <f t="shared" si="79"/>
        <v>2712405.3413358708</v>
      </c>
      <c r="AM73" s="2">
        <f t="shared" si="79"/>
        <v>2854278.5399897955</v>
      </c>
      <c r="AN73" s="2">
        <f t="shared" si="79"/>
        <v>2998800.1986522451</v>
      </c>
      <c r="AO73" s="2">
        <f t="shared" si="79"/>
        <v>3146020.5313344253</v>
      </c>
      <c r="AP73" s="2">
        <f t="shared" si="79"/>
        <v>3295990.7535725776</v>
      </c>
      <c r="AQ73" s="2">
        <f t="shared" si="79"/>
        <v>3448763.1024557231</v>
      </c>
      <c r="AR73" s="2">
        <f t="shared" si="79"/>
        <v>3604390.8570539625</v>
      </c>
    </row>
    <row r="74" spans="1:44" ht="12.75" customHeight="1" x14ac:dyDescent="0.15">
      <c r="A74" s="1"/>
      <c r="B74" s="1"/>
      <c r="C74" s="2"/>
      <c r="D74" s="1"/>
      <c r="E74" s="1"/>
      <c r="F74" s="1" t="s">
        <v>75</v>
      </c>
      <c r="G74" s="2">
        <f>-G64</f>
        <v>-7000000</v>
      </c>
      <c r="H74" s="2">
        <f t="shared" ref="H74:AR74" si="80">G74-H67</f>
        <v>-7000000</v>
      </c>
      <c r="I74" s="2">
        <f t="shared" si="80"/>
        <v>-6994842.2861500001</v>
      </c>
      <c r="J74" s="2">
        <f t="shared" si="80"/>
        <v>-6981996.2662075004</v>
      </c>
      <c r="K74" s="2">
        <f t="shared" si="80"/>
        <v>-6962092.4827678753</v>
      </c>
      <c r="L74" s="2">
        <f t="shared" si="80"/>
        <v>-6934778.0476562688</v>
      </c>
      <c r="M74" s="2">
        <f t="shared" si="80"/>
        <v>-6899682.4282890819</v>
      </c>
      <c r="N74" s="2">
        <f t="shared" si="80"/>
        <v>-6856416.5654535359</v>
      </c>
      <c r="O74" s="2">
        <f t="shared" si="80"/>
        <v>-6804571.9469762128</v>
      </c>
      <c r="P74" s="2">
        <f t="shared" si="80"/>
        <v>-6743719.6350750234</v>
      </c>
      <c r="Q74" s="2">
        <f t="shared" si="80"/>
        <v>-6673409.2450787742</v>
      </c>
      <c r="R74" s="2">
        <f t="shared" si="80"/>
        <v>-6593167.8730827132</v>
      </c>
      <c r="S74" s="2">
        <f t="shared" si="80"/>
        <v>-6502498.9699868485</v>
      </c>
      <c r="T74" s="2">
        <f t="shared" si="80"/>
        <v>-6409355.8853679141</v>
      </c>
      <c r="U74" s="2">
        <f t="shared" si="80"/>
        <v>-6313699.8197847707</v>
      </c>
      <c r="V74" s="2">
        <f t="shared" si="80"/>
        <v>-6215491.2628012197</v>
      </c>
      <c r="W74" s="2">
        <f t="shared" si="80"/>
        <v>-6114689.9792067995</v>
      </c>
      <c r="X74" s="2">
        <f t="shared" si="80"/>
        <v>-6011254.9949653568</v>
      </c>
      <c r="Y74" s="2">
        <f t="shared" si="80"/>
        <v>-5905144.5828859778</v>
      </c>
      <c r="Z74" s="2">
        <f t="shared" si="80"/>
        <v>-5796316.248010762</v>
      </c>
      <c r="AA74" s="2">
        <f t="shared" si="80"/>
        <v>-5684726.7127137892</v>
      </c>
      <c r="AB74" s="2">
        <f t="shared" si="80"/>
        <v>-5570331.9015055504</v>
      </c>
      <c r="AC74" s="2">
        <f t="shared" si="80"/>
        <v>-5453086.925536965</v>
      </c>
      <c r="AD74" s="2">
        <f t="shared" si="80"/>
        <v>-5332946.0667970199</v>
      </c>
      <c r="AE74" s="2">
        <f t="shared" si="80"/>
        <v>-5210566.7216764055</v>
      </c>
      <c r="AF74" s="2">
        <f t="shared" si="80"/>
        <v>-5085906.8509633038</v>
      </c>
      <c r="AG74" s="2">
        <f t="shared" si="80"/>
        <v>-4958923.5773921739</v>
      </c>
      <c r="AH74" s="2">
        <f t="shared" si="80"/>
        <v>-4829573.1688854126</v>
      </c>
      <c r="AI74" s="2">
        <f t="shared" si="80"/>
        <v>-4697811.0214598421</v>
      </c>
      <c r="AJ74" s="2">
        <f t="shared" si="80"/>
        <v>-4563591.6417913381</v>
      </c>
      <c r="AK74" s="2">
        <f t="shared" si="80"/>
        <v>-4426868.6294307467</v>
      </c>
      <c r="AL74" s="2">
        <f t="shared" si="80"/>
        <v>-4287594.6586641287</v>
      </c>
      <c r="AM74" s="2">
        <f t="shared" si="80"/>
        <v>-4145721.460010204</v>
      </c>
      <c r="AN74" s="2">
        <f t="shared" si="80"/>
        <v>-4001199.8013477544</v>
      </c>
      <c r="AO74" s="2">
        <f t="shared" si="80"/>
        <v>-3853979.4686655742</v>
      </c>
      <c r="AP74" s="2">
        <f t="shared" si="80"/>
        <v>-3704009.2464274219</v>
      </c>
      <c r="AQ74" s="2">
        <f t="shared" si="80"/>
        <v>-3551236.8975442764</v>
      </c>
      <c r="AR74" s="2">
        <f t="shared" si="80"/>
        <v>-3395609.142946037</v>
      </c>
    </row>
    <row r="75" spans="1:44" ht="12.75" customHeight="1" x14ac:dyDescent="0.15">
      <c r="A75" s="1"/>
      <c r="B75" s="1"/>
      <c r="C75" s="2"/>
      <c r="D75" s="1"/>
      <c r="E75" s="1"/>
      <c r="F75" s="1" t="s">
        <v>76</v>
      </c>
      <c r="G75" s="1"/>
      <c r="H75" s="1" t="str">
        <f t="shared" ref="H75:AP75" si="81">IF(H74&gt;0,H4,"")</f>
        <v/>
      </c>
      <c r="I75" s="1" t="str">
        <f t="shared" si="81"/>
        <v/>
      </c>
      <c r="J75" s="1" t="str">
        <f t="shared" si="81"/>
        <v/>
      </c>
      <c r="K75" s="1" t="str">
        <f t="shared" si="81"/>
        <v/>
      </c>
      <c r="L75" s="1" t="str">
        <f t="shared" si="81"/>
        <v/>
      </c>
      <c r="M75" s="1" t="str">
        <f t="shared" si="81"/>
        <v/>
      </c>
      <c r="N75" s="1" t="str">
        <f t="shared" si="81"/>
        <v/>
      </c>
      <c r="O75" s="1" t="str">
        <f t="shared" si="81"/>
        <v/>
      </c>
      <c r="P75" s="1" t="str">
        <f t="shared" si="81"/>
        <v/>
      </c>
      <c r="Q75" s="1" t="str">
        <f t="shared" si="81"/>
        <v/>
      </c>
      <c r="R75" s="1" t="str">
        <f t="shared" si="81"/>
        <v/>
      </c>
      <c r="S75" s="1" t="str">
        <f t="shared" si="81"/>
        <v/>
      </c>
      <c r="T75" s="1" t="str">
        <f t="shared" si="81"/>
        <v/>
      </c>
      <c r="U75" s="1" t="str">
        <f t="shared" si="81"/>
        <v/>
      </c>
      <c r="V75" s="1" t="str">
        <f t="shared" si="81"/>
        <v/>
      </c>
      <c r="W75" s="1" t="str">
        <f t="shared" si="81"/>
        <v/>
      </c>
      <c r="X75" s="1" t="str">
        <f t="shared" si="81"/>
        <v/>
      </c>
      <c r="Y75" s="1" t="str">
        <f t="shared" si="81"/>
        <v/>
      </c>
      <c r="Z75" s="1" t="str">
        <f t="shared" si="81"/>
        <v/>
      </c>
      <c r="AA75" s="1" t="str">
        <f t="shared" si="81"/>
        <v/>
      </c>
      <c r="AB75" s="1" t="str">
        <f t="shared" si="81"/>
        <v/>
      </c>
      <c r="AC75" s="1" t="str">
        <f t="shared" si="81"/>
        <v/>
      </c>
      <c r="AD75" s="1" t="str">
        <f t="shared" si="81"/>
        <v/>
      </c>
      <c r="AE75" s="1" t="str">
        <f t="shared" si="81"/>
        <v/>
      </c>
      <c r="AF75" s="1" t="str">
        <f t="shared" si="81"/>
        <v/>
      </c>
      <c r="AG75" s="1" t="str">
        <f t="shared" si="81"/>
        <v/>
      </c>
      <c r="AH75" s="1" t="str">
        <f t="shared" si="81"/>
        <v/>
      </c>
      <c r="AI75" s="1" t="str">
        <f t="shared" si="81"/>
        <v/>
      </c>
      <c r="AJ75" s="1" t="str">
        <f t="shared" si="81"/>
        <v/>
      </c>
      <c r="AK75" s="1" t="str">
        <f t="shared" si="81"/>
        <v/>
      </c>
      <c r="AL75" s="1" t="str">
        <f t="shared" si="81"/>
        <v/>
      </c>
      <c r="AM75" s="1" t="str">
        <f t="shared" si="81"/>
        <v/>
      </c>
      <c r="AN75" s="1" t="str">
        <f t="shared" si="81"/>
        <v/>
      </c>
      <c r="AO75" s="1" t="str">
        <f t="shared" si="81"/>
        <v/>
      </c>
      <c r="AP75" s="1" t="str">
        <f t="shared" si="81"/>
        <v/>
      </c>
    </row>
    <row r="76" spans="1:44" ht="12.75" customHeight="1" x14ac:dyDescent="0.1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4" ht="12.75" customHeight="1" x14ac:dyDescent="0.1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4" ht="12.75" customHeight="1" x14ac:dyDescent="0.1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4" ht="12.75" customHeight="1" x14ac:dyDescent="0.1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4" ht="12.75" customHeight="1" x14ac:dyDescent="0.1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2.75" customHeight="1" x14ac:dyDescent="0.1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2.75" customHeight="1" x14ac:dyDescent="0.1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2.75" customHeight="1" x14ac:dyDescent="0.1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2.75" customHeight="1" x14ac:dyDescent="0.1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2.75" customHeight="1" x14ac:dyDescent="0.1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2.75" customHeight="1" x14ac:dyDescent="0.1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2.75" customHeight="1" x14ac:dyDescent="0.1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2.75" customHeight="1" x14ac:dyDescent="0.1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2.75" customHeight="1" x14ac:dyDescent="0.1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2.75" customHeight="1" x14ac:dyDescent="0.1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2.75" customHeight="1" x14ac:dyDescent="0.1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2.75" customHeight="1" x14ac:dyDescent="0.1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2.75" customHeight="1" x14ac:dyDescent="0.1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2.75" customHeight="1" x14ac:dyDescent="0.1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2.75" customHeight="1" x14ac:dyDescent="0.1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2.75" customHeight="1" x14ac:dyDescent="0.1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2.75" customHeight="1" x14ac:dyDescent="0.1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2.75" customHeight="1" x14ac:dyDescent="0.1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2.75" customHeight="1" x14ac:dyDescent="0.1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2.75" customHeight="1" x14ac:dyDescent="0.1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2.75" customHeight="1" x14ac:dyDescent="0.1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2.75" customHeight="1" x14ac:dyDescent="0.1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2.75" customHeight="1" x14ac:dyDescent="0.1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2.75" customHeight="1" x14ac:dyDescent="0.1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2.75" customHeight="1" x14ac:dyDescent="0.1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2.75" customHeight="1" x14ac:dyDescent="0.1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2.75" customHeight="1" x14ac:dyDescent="0.1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2.75" customHeight="1" x14ac:dyDescent="0.1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2.75" customHeight="1" x14ac:dyDescent="0.1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2.75" customHeight="1" x14ac:dyDescent="0.1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2.75" customHeight="1" x14ac:dyDescent="0.1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2.75" customHeight="1" x14ac:dyDescent="0.1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2.75" customHeight="1" x14ac:dyDescent="0.1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2.75" customHeight="1" x14ac:dyDescent="0.1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2.75" customHeight="1" x14ac:dyDescent="0.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2.75" customHeight="1" x14ac:dyDescent="0.1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2.75" customHeight="1" x14ac:dyDescent="0.1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2.75" customHeight="1" x14ac:dyDescent="0.1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2.75" customHeight="1" x14ac:dyDescent="0.1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2.75" customHeight="1" x14ac:dyDescent="0.1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2.75" customHeight="1" x14ac:dyDescent="0.1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2.75" customHeight="1" x14ac:dyDescent="0.1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2.75" customHeight="1" x14ac:dyDescent="0.1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2.75" customHeight="1" x14ac:dyDescent="0.1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2.75" customHeight="1" x14ac:dyDescent="0.1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2.75" customHeight="1" x14ac:dyDescent="0.1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2.75" customHeight="1" x14ac:dyDescent="0.1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2.75" customHeight="1" x14ac:dyDescent="0.1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2.75" customHeight="1" x14ac:dyDescent="0.1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2.75" customHeight="1" x14ac:dyDescent="0.1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2.75" customHeight="1" x14ac:dyDescent="0.1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2.75" customHeight="1" x14ac:dyDescent="0.1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2.75" customHeight="1" x14ac:dyDescent="0.1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2.75" customHeight="1" x14ac:dyDescent="0.1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2.75" customHeight="1" x14ac:dyDescent="0.1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2.75" customHeight="1" x14ac:dyDescent="0.1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2.75" customHeight="1" x14ac:dyDescent="0.1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2.75" customHeight="1" x14ac:dyDescent="0.1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2.75" customHeight="1" x14ac:dyDescent="0.1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2.75" customHeight="1" x14ac:dyDescent="0.1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2.75" customHeight="1" x14ac:dyDescent="0.1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2.75" customHeight="1" x14ac:dyDescent="0.1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2.75" customHeight="1" x14ac:dyDescent="0.1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2.75" customHeight="1" x14ac:dyDescent="0.1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2.75" customHeight="1" x14ac:dyDescent="0.1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2.75" customHeight="1" x14ac:dyDescent="0.1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2.75" customHeight="1" x14ac:dyDescent="0.1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2.75" customHeight="1" x14ac:dyDescent="0.1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2.75" customHeight="1" x14ac:dyDescent="0.1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2.75" customHeight="1" x14ac:dyDescent="0.1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2.75" customHeight="1" x14ac:dyDescent="0.15">
      <c r="A151" s="1"/>
      <c r="B151" s="6"/>
      <c r="C151" s="6"/>
      <c r="D151" s="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2.75" customHeight="1" x14ac:dyDescent="0.15">
      <c r="A152" s="1"/>
      <c r="B152" s="6"/>
      <c r="C152" s="6"/>
      <c r="D152" s="6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2.75" customHeight="1" x14ac:dyDescent="0.15">
      <c r="A153" s="1"/>
      <c r="B153" s="6"/>
      <c r="C153" s="6"/>
      <c r="D153" s="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2.75" customHeight="1" x14ac:dyDescent="0.15">
      <c r="A154" s="1"/>
      <c r="B154" s="6"/>
      <c r="C154" s="6"/>
      <c r="D154" s="6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2.75" customHeight="1" x14ac:dyDescent="0.15">
      <c r="A155" s="1"/>
      <c r="B155" s="6"/>
      <c r="C155" s="6"/>
      <c r="D155" s="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2.75" customHeight="1" x14ac:dyDescent="0.15">
      <c r="A156" s="1"/>
      <c r="B156" s="6"/>
      <c r="C156" s="6"/>
      <c r="D156" s="6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2.75" customHeight="1" x14ac:dyDescent="0.15">
      <c r="A157" s="1"/>
      <c r="B157" s="6"/>
      <c r="C157" s="6"/>
      <c r="D157" s="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2.75" customHeight="1" x14ac:dyDescent="0.15">
      <c r="A158" s="1"/>
      <c r="B158" s="6"/>
      <c r="C158" s="6"/>
      <c r="D158" s="6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2.75" customHeight="1" x14ac:dyDescent="0.15">
      <c r="A159" s="1"/>
      <c r="B159" s="6"/>
      <c r="C159" s="6"/>
      <c r="D159" s="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2.75" customHeight="1" x14ac:dyDescent="0.15">
      <c r="A160" s="1"/>
      <c r="B160" s="6"/>
      <c r="C160" s="6"/>
      <c r="D160" s="6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2.75" customHeight="1" x14ac:dyDescent="0.1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2.75" customHeight="1" x14ac:dyDescent="0.1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2.75" customHeight="1" x14ac:dyDescent="0.1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2.75" customHeight="1" x14ac:dyDescent="0.1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2.75" customHeight="1" x14ac:dyDescent="0.1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2.75" customHeight="1" x14ac:dyDescent="0.1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2.75" customHeight="1" x14ac:dyDescent="0.1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2.75" customHeight="1" x14ac:dyDescent="0.1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2.75" customHeight="1" x14ac:dyDescent="0.1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2.75" customHeight="1" x14ac:dyDescent="0.1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2.75" customHeight="1" x14ac:dyDescent="0.1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2.75" customHeight="1" x14ac:dyDescent="0.1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2.75" customHeight="1" x14ac:dyDescent="0.1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2.75" customHeight="1" x14ac:dyDescent="0.1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2.75" customHeight="1" x14ac:dyDescent="0.1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2.75" customHeight="1" x14ac:dyDescent="0.1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2.75" customHeight="1" x14ac:dyDescent="0.1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2.75" customHeight="1" x14ac:dyDescent="0.1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2.75" customHeight="1" x14ac:dyDescent="0.1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2.75" customHeight="1" x14ac:dyDescent="0.1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2.75" customHeight="1" x14ac:dyDescent="0.1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2.75" customHeight="1" x14ac:dyDescent="0.1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2.75" customHeight="1" x14ac:dyDescent="0.1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2.75" customHeight="1" x14ac:dyDescent="0.1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2.75" customHeight="1" x14ac:dyDescent="0.1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2.75" customHeight="1" x14ac:dyDescent="0.1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2.75" customHeight="1" x14ac:dyDescent="0.1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2.75" customHeight="1" x14ac:dyDescent="0.1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2.75" customHeight="1" x14ac:dyDescent="0.1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2.75" customHeight="1" x14ac:dyDescent="0.1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2.75" customHeight="1" x14ac:dyDescent="0.1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2.75" customHeight="1" x14ac:dyDescent="0.1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2.75" customHeight="1" x14ac:dyDescent="0.1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2.75" customHeight="1" x14ac:dyDescent="0.1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2.75" customHeight="1" x14ac:dyDescent="0.1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2.75" customHeight="1" x14ac:dyDescent="0.1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2.75" customHeight="1" x14ac:dyDescent="0.1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2.75" customHeight="1" x14ac:dyDescent="0.1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2.75" customHeight="1" x14ac:dyDescent="0.1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2.75" customHeight="1" x14ac:dyDescent="0.1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2.75" customHeight="1" x14ac:dyDescent="0.1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2.75" customHeight="1" x14ac:dyDescent="0.1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2.75" customHeight="1" x14ac:dyDescent="0.1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2.75" customHeight="1" x14ac:dyDescent="0.1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2.75" customHeight="1" x14ac:dyDescent="0.1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2.75" customHeight="1" x14ac:dyDescent="0.1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2.75" customHeight="1" x14ac:dyDescent="0.1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2.75" customHeight="1" x14ac:dyDescent="0.1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2.75" customHeight="1" x14ac:dyDescent="0.1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2.75" customHeight="1" x14ac:dyDescent="0.1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2.75" customHeight="1" x14ac:dyDescent="0.1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2.75" customHeight="1" x14ac:dyDescent="0.1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2.75" customHeight="1" x14ac:dyDescent="0.1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2.75" customHeight="1" x14ac:dyDescent="0.1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2.75" customHeight="1" x14ac:dyDescent="0.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2.75" customHeight="1" x14ac:dyDescent="0.1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2.75" customHeight="1" x14ac:dyDescent="0.1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2.75" customHeight="1" x14ac:dyDescent="0.1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2.75" customHeight="1" x14ac:dyDescent="0.1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2.75" customHeight="1" x14ac:dyDescent="0.1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2.75" customHeight="1" x14ac:dyDescent="0.1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2.75" customHeight="1" x14ac:dyDescent="0.1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2.75" customHeight="1" x14ac:dyDescent="0.1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2.75" customHeight="1" x14ac:dyDescent="0.1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2.75" customHeight="1" x14ac:dyDescent="0.1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2.75" customHeight="1" x14ac:dyDescent="0.1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2.75" customHeight="1" x14ac:dyDescent="0.1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2.75" customHeight="1" x14ac:dyDescent="0.1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2.75" customHeight="1" x14ac:dyDescent="0.1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2.75" customHeight="1" x14ac:dyDescent="0.1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2.75" customHeight="1" x14ac:dyDescent="0.1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2.75" customHeight="1" x14ac:dyDescent="0.1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2.75" customHeight="1" x14ac:dyDescent="0.1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2.75" customHeight="1" x14ac:dyDescent="0.1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2.75" customHeight="1" x14ac:dyDescent="0.1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2.75" customHeight="1" x14ac:dyDescent="0.1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2.75" customHeight="1" x14ac:dyDescent="0.1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2.75" customHeight="1" x14ac:dyDescent="0.1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2.75" customHeight="1" x14ac:dyDescent="0.1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2.75" customHeight="1" x14ac:dyDescent="0.1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2.75" customHeight="1" x14ac:dyDescent="0.1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2.75" customHeight="1" x14ac:dyDescent="0.1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2.75" customHeight="1" x14ac:dyDescent="0.1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2.75" customHeight="1" x14ac:dyDescent="0.1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2.75" customHeight="1" x14ac:dyDescent="0.1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2.75" customHeight="1" x14ac:dyDescent="0.1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2.75" customHeight="1" x14ac:dyDescent="0.1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2.75" customHeight="1" x14ac:dyDescent="0.1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2.75" customHeight="1" x14ac:dyDescent="0.1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2.75" customHeight="1" x14ac:dyDescent="0.1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2.75" customHeight="1" x14ac:dyDescent="0.1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2.75" customHeight="1" x14ac:dyDescent="0.1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2.75" customHeight="1" x14ac:dyDescent="0.1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2.75" customHeight="1" x14ac:dyDescent="0.1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2.75" customHeight="1" x14ac:dyDescent="0.1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2.75" customHeight="1" x14ac:dyDescent="0.1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2.75" customHeight="1" x14ac:dyDescent="0.1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2.75" customHeight="1" x14ac:dyDescent="0.1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2.75" customHeight="1" x14ac:dyDescent="0.1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2.75" customHeight="1" x14ac:dyDescent="0.1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2.75" customHeight="1" x14ac:dyDescent="0.1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2.75" customHeight="1" x14ac:dyDescent="0.1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2.75" customHeight="1" x14ac:dyDescent="0.1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2.75" customHeight="1" x14ac:dyDescent="0.1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2.75" customHeight="1" x14ac:dyDescent="0.1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2.75" customHeight="1" x14ac:dyDescent="0.1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2.75" customHeight="1" x14ac:dyDescent="0.1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2.75" customHeight="1" x14ac:dyDescent="0.1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2.75" customHeight="1" x14ac:dyDescent="0.1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2.75" customHeight="1" x14ac:dyDescent="0.1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2.75" customHeight="1" x14ac:dyDescent="0.1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2.75" customHeight="1" x14ac:dyDescent="0.1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2.75" customHeight="1" x14ac:dyDescent="0.1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2.75" customHeight="1" x14ac:dyDescent="0.1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2.75" customHeight="1" x14ac:dyDescent="0.1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2.75" customHeight="1" x14ac:dyDescent="0.1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2.75" customHeight="1" x14ac:dyDescent="0.1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2.75" customHeight="1" x14ac:dyDescent="0.1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2.75" customHeight="1" x14ac:dyDescent="0.1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2.75" customHeight="1" x14ac:dyDescent="0.1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2.75" customHeight="1" x14ac:dyDescent="0.1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2.75" customHeight="1" x14ac:dyDescent="0.1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2.75" customHeight="1" x14ac:dyDescent="0.1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2.75" customHeight="1" x14ac:dyDescent="0.1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2.75" customHeight="1" x14ac:dyDescent="0.1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2.75" customHeight="1" x14ac:dyDescent="0.1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2.75" customHeight="1" x14ac:dyDescent="0.1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2.75" customHeight="1" x14ac:dyDescent="0.1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2.75" customHeight="1" x14ac:dyDescent="0.1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2.75" customHeight="1" x14ac:dyDescent="0.1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2.75" customHeight="1" x14ac:dyDescent="0.1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2.75" customHeight="1" x14ac:dyDescent="0.1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2.75" customHeight="1" x14ac:dyDescent="0.1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2.75" customHeight="1" x14ac:dyDescent="0.1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2.75" customHeight="1" x14ac:dyDescent="0.1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2.75" customHeight="1" x14ac:dyDescent="0.1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2.75" customHeight="1" x14ac:dyDescent="0.1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2.75" customHeight="1" x14ac:dyDescent="0.1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2.75" customHeight="1" x14ac:dyDescent="0.1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2.75" customHeight="1" x14ac:dyDescent="0.1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2.75" customHeight="1" x14ac:dyDescent="0.1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2.75" customHeight="1" x14ac:dyDescent="0.1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2.75" customHeight="1" x14ac:dyDescent="0.1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2.75" customHeight="1" x14ac:dyDescent="0.1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2.75" customHeight="1" x14ac:dyDescent="0.1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2.75" customHeight="1" x14ac:dyDescent="0.1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2.75" customHeight="1" x14ac:dyDescent="0.1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2.75" customHeight="1" x14ac:dyDescent="0.1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2.75" customHeight="1" x14ac:dyDescent="0.1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2.75" customHeight="1" x14ac:dyDescent="0.1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2.75" customHeight="1" x14ac:dyDescent="0.1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2.75" customHeight="1" x14ac:dyDescent="0.1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2.75" customHeight="1" x14ac:dyDescent="0.1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2.75" customHeight="1" x14ac:dyDescent="0.1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2.75" customHeight="1" x14ac:dyDescent="0.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2.75" customHeight="1" x14ac:dyDescent="0.1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2.75" customHeight="1" x14ac:dyDescent="0.1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2.75" customHeight="1" x14ac:dyDescent="0.1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2.75" customHeight="1" x14ac:dyDescent="0.1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2.75" customHeight="1" x14ac:dyDescent="0.1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2.75" customHeight="1" x14ac:dyDescent="0.1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2.75" customHeight="1" x14ac:dyDescent="0.1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2.75" customHeight="1" x14ac:dyDescent="0.1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2.75" customHeight="1" x14ac:dyDescent="0.1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2.75" customHeight="1" x14ac:dyDescent="0.1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2.75" customHeight="1" x14ac:dyDescent="0.1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2.75" customHeight="1" x14ac:dyDescent="0.1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2.75" customHeight="1" x14ac:dyDescent="0.1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2.75" customHeight="1" x14ac:dyDescent="0.1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2.75" customHeight="1" x14ac:dyDescent="0.1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2.75" customHeight="1" x14ac:dyDescent="0.1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2.75" customHeight="1" x14ac:dyDescent="0.1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2.75" customHeight="1" x14ac:dyDescent="0.1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2.75" customHeight="1" x14ac:dyDescent="0.1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2.75" customHeight="1" x14ac:dyDescent="0.1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2.75" customHeight="1" x14ac:dyDescent="0.1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2.75" customHeight="1" x14ac:dyDescent="0.1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2.75" customHeight="1" x14ac:dyDescent="0.1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2.75" customHeight="1" x14ac:dyDescent="0.1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2.75" customHeight="1" x14ac:dyDescent="0.1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2.75" customHeight="1" x14ac:dyDescent="0.1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2.75" customHeight="1" x14ac:dyDescent="0.1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2.75" customHeight="1" x14ac:dyDescent="0.1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2.75" customHeight="1" x14ac:dyDescent="0.1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2.75" customHeight="1" x14ac:dyDescent="0.1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2.75" customHeight="1" x14ac:dyDescent="0.1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2.75" customHeight="1" x14ac:dyDescent="0.1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2.75" customHeight="1" x14ac:dyDescent="0.1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2.75" customHeight="1" x14ac:dyDescent="0.1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2.75" customHeight="1" x14ac:dyDescent="0.1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2.75" customHeight="1" x14ac:dyDescent="0.1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2.75" customHeight="1" x14ac:dyDescent="0.1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2.75" customHeight="1" x14ac:dyDescent="0.1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2.75" customHeight="1" x14ac:dyDescent="0.1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2.75" customHeight="1" x14ac:dyDescent="0.1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2.75" customHeight="1" x14ac:dyDescent="0.1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2.75" customHeight="1" x14ac:dyDescent="0.1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2.75" customHeight="1" x14ac:dyDescent="0.1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2.75" customHeight="1" x14ac:dyDescent="0.1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2.75" customHeight="1" x14ac:dyDescent="0.1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2.75" customHeight="1" x14ac:dyDescent="0.1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2.75" customHeight="1" x14ac:dyDescent="0.1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2.75" customHeight="1" x14ac:dyDescent="0.1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2.75" customHeight="1" x14ac:dyDescent="0.1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2.75" customHeight="1" x14ac:dyDescent="0.1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2.75" customHeight="1" x14ac:dyDescent="0.1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2.75" customHeight="1" x14ac:dyDescent="0.1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2.75" customHeight="1" x14ac:dyDescent="0.1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2.75" customHeight="1" x14ac:dyDescent="0.1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2.75" customHeight="1" x14ac:dyDescent="0.1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2.75" customHeight="1" x14ac:dyDescent="0.1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2.75" customHeight="1" x14ac:dyDescent="0.1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2.75" customHeight="1" x14ac:dyDescent="0.1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2.75" customHeight="1" x14ac:dyDescent="0.1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2.75" customHeight="1" x14ac:dyDescent="0.1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2.75" customHeight="1" x14ac:dyDescent="0.1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2.75" customHeight="1" x14ac:dyDescent="0.1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2.75" customHeight="1" x14ac:dyDescent="0.1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2.75" customHeight="1" x14ac:dyDescent="0.1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2.75" customHeight="1" x14ac:dyDescent="0.1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2.75" customHeight="1" x14ac:dyDescent="0.1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2.75" customHeight="1" x14ac:dyDescent="0.1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2.75" customHeight="1" x14ac:dyDescent="0.1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2.75" customHeight="1" x14ac:dyDescent="0.1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2.75" customHeight="1" x14ac:dyDescent="0.1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2.75" customHeight="1" x14ac:dyDescent="0.1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2.75" customHeight="1" x14ac:dyDescent="0.1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2.75" customHeight="1" x14ac:dyDescent="0.1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2.75" customHeight="1" x14ac:dyDescent="0.1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2.75" customHeight="1" x14ac:dyDescent="0.1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2.75" customHeight="1" x14ac:dyDescent="0.1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2.75" customHeight="1" x14ac:dyDescent="0.1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2.75" customHeight="1" x14ac:dyDescent="0.1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2.75" customHeight="1" x14ac:dyDescent="0.1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2.75" customHeight="1" x14ac:dyDescent="0.1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2.75" customHeight="1" x14ac:dyDescent="0.1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2.75" customHeight="1" x14ac:dyDescent="0.1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2.75" customHeight="1" x14ac:dyDescent="0.1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2.75" customHeight="1" x14ac:dyDescent="0.1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2.75" customHeight="1" x14ac:dyDescent="0.1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2.75" customHeight="1" x14ac:dyDescent="0.1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2.75" customHeight="1" x14ac:dyDescent="0.1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2.75" customHeight="1" x14ac:dyDescent="0.1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2.75" customHeight="1" x14ac:dyDescent="0.1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2.75" customHeight="1" x14ac:dyDescent="0.1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2.75" customHeight="1" x14ac:dyDescent="0.1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2.75" customHeight="1" x14ac:dyDescent="0.1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2.75" customHeight="1" x14ac:dyDescent="0.1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2.75" customHeight="1" x14ac:dyDescent="0.1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2.75" customHeight="1" x14ac:dyDescent="0.1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2.75" customHeight="1" x14ac:dyDescent="0.1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2.75" customHeight="1" x14ac:dyDescent="0.1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2.75" customHeight="1" x14ac:dyDescent="0.1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2.75" customHeight="1" x14ac:dyDescent="0.1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2.75" customHeight="1" x14ac:dyDescent="0.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2.75" customHeight="1" x14ac:dyDescent="0.1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2.75" customHeight="1" x14ac:dyDescent="0.1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2.75" customHeight="1" x14ac:dyDescent="0.1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2.75" customHeight="1" x14ac:dyDescent="0.1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2.75" customHeight="1" x14ac:dyDescent="0.1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2.75" customHeight="1" x14ac:dyDescent="0.1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2.75" customHeight="1" x14ac:dyDescent="0.1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2.75" customHeight="1" x14ac:dyDescent="0.1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2.75" customHeight="1" x14ac:dyDescent="0.1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2.75" customHeight="1" x14ac:dyDescent="0.1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2.75" customHeight="1" x14ac:dyDescent="0.1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2.75" customHeight="1" x14ac:dyDescent="0.1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2.75" customHeight="1" x14ac:dyDescent="0.1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2.75" customHeight="1" x14ac:dyDescent="0.1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2.75" customHeight="1" x14ac:dyDescent="0.1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2.75" customHeight="1" x14ac:dyDescent="0.1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2.75" customHeight="1" x14ac:dyDescent="0.1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2.75" customHeight="1" x14ac:dyDescent="0.1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2.75" customHeight="1" x14ac:dyDescent="0.1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2.75" customHeight="1" x14ac:dyDescent="0.1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2.75" customHeight="1" x14ac:dyDescent="0.1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2.75" customHeight="1" x14ac:dyDescent="0.1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2.75" customHeight="1" x14ac:dyDescent="0.1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2.75" customHeight="1" x14ac:dyDescent="0.1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2.75" customHeight="1" x14ac:dyDescent="0.1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2.75" customHeight="1" x14ac:dyDescent="0.1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2.75" customHeight="1" x14ac:dyDescent="0.1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2.75" customHeight="1" x14ac:dyDescent="0.1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2.75" customHeight="1" x14ac:dyDescent="0.1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2.75" customHeight="1" x14ac:dyDescent="0.1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2.75" customHeight="1" x14ac:dyDescent="0.1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2.75" customHeight="1" x14ac:dyDescent="0.1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2.75" customHeight="1" x14ac:dyDescent="0.1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2.75" customHeight="1" x14ac:dyDescent="0.1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2.75" customHeight="1" x14ac:dyDescent="0.1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2.75" customHeight="1" x14ac:dyDescent="0.1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2.75" customHeight="1" x14ac:dyDescent="0.1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2.75" customHeight="1" x14ac:dyDescent="0.1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2.75" customHeight="1" x14ac:dyDescent="0.1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2.75" customHeight="1" x14ac:dyDescent="0.1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2.75" customHeight="1" x14ac:dyDescent="0.1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2.75" customHeight="1" x14ac:dyDescent="0.1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2.75" customHeight="1" x14ac:dyDescent="0.1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2.75" customHeight="1" x14ac:dyDescent="0.1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2.75" customHeight="1" x14ac:dyDescent="0.1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2.75" customHeight="1" x14ac:dyDescent="0.1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2.75" customHeight="1" x14ac:dyDescent="0.1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2.75" customHeight="1" x14ac:dyDescent="0.1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2.75" customHeight="1" x14ac:dyDescent="0.1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2.75" customHeight="1" x14ac:dyDescent="0.1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2.75" customHeight="1" x14ac:dyDescent="0.1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2.75" customHeight="1" x14ac:dyDescent="0.1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2.75" customHeight="1" x14ac:dyDescent="0.1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2.75" customHeight="1" x14ac:dyDescent="0.1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2.75" customHeight="1" x14ac:dyDescent="0.1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2.75" customHeight="1" x14ac:dyDescent="0.1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2.75" customHeight="1" x14ac:dyDescent="0.1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2.75" customHeight="1" x14ac:dyDescent="0.1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2.75" customHeight="1" x14ac:dyDescent="0.1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2.75" customHeight="1" x14ac:dyDescent="0.1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2.75" customHeight="1" x14ac:dyDescent="0.1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2.75" customHeight="1" x14ac:dyDescent="0.1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2.75" customHeight="1" x14ac:dyDescent="0.1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2.75" customHeight="1" x14ac:dyDescent="0.1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2.75" customHeight="1" x14ac:dyDescent="0.1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2.75" customHeight="1" x14ac:dyDescent="0.1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2.75" customHeight="1" x14ac:dyDescent="0.1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2.75" customHeight="1" x14ac:dyDescent="0.1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2.75" customHeight="1" x14ac:dyDescent="0.1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2.75" customHeight="1" x14ac:dyDescent="0.1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2.75" customHeight="1" x14ac:dyDescent="0.1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2.75" customHeight="1" x14ac:dyDescent="0.1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2.75" customHeight="1" x14ac:dyDescent="0.1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2.75" customHeight="1" x14ac:dyDescent="0.1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2.75" customHeight="1" x14ac:dyDescent="0.1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2.75" customHeight="1" x14ac:dyDescent="0.1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2.75" customHeight="1" x14ac:dyDescent="0.1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2.75" customHeight="1" x14ac:dyDescent="0.1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2.75" customHeight="1" x14ac:dyDescent="0.1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2.75" customHeight="1" x14ac:dyDescent="0.1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2.75" customHeight="1" x14ac:dyDescent="0.1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2.75" customHeight="1" x14ac:dyDescent="0.1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2.75" customHeight="1" x14ac:dyDescent="0.1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2.75" customHeight="1" x14ac:dyDescent="0.1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2.75" customHeight="1" x14ac:dyDescent="0.1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2.75" customHeight="1" x14ac:dyDescent="0.1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2.75" customHeight="1" x14ac:dyDescent="0.1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2.75" customHeight="1" x14ac:dyDescent="0.1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2.75" customHeight="1" x14ac:dyDescent="0.1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2.75" customHeight="1" x14ac:dyDescent="0.1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2.75" customHeight="1" x14ac:dyDescent="0.1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2.75" customHeight="1" x14ac:dyDescent="0.1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2.75" customHeight="1" x14ac:dyDescent="0.1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2.75" customHeight="1" x14ac:dyDescent="0.1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2.75" customHeight="1" x14ac:dyDescent="0.1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2.75" customHeight="1" x14ac:dyDescent="0.1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2.75" customHeight="1" x14ac:dyDescent="0.1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2.75" customHeight="1" x14ac:dyDescent="0.1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2.75" customHeight="1" x14ac:dyDescent="0.1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2.75" customHeight="1" x14ac:dyDescent="0.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2.75" customHeight="1" x14ac:dyDescent="0.1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2.75" customHeight="1" x14ac:dyDescent="0.1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2.75" customHeight="1" x14ac:dyDescent="0.1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2.75" customHeight="1" x14ac:dyDescent="0.1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2.75" customHeight="1" x14ac:dyDescent="0.1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2.75" customHeight="1" x14ac:dyDescent="0.1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2.75" customHeight="1" x14ac:dyDescent="0.1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2.75" customHeight="1" x14ac:dyDescent="0.1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2.75" customHeight="1" x14ac:dyDescent="0.1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2.75" customHeight="1" x14ac:dyDescent="0.1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2.75" customHeight="1" x14ac:dyDescent="0.1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2.75" customHeight="1" x14ac:dyDescent="0.1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2.75" customHeight="1" x14ac:dyDescent="0.1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2.75" customHeight="1" x14ac:dyDescent="0.1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2.75" customHeight="1" x14ac:dyDescent="0.1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2.75" customHeight="1" x14ac:dyDescent="0.1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2.75" customHeight="1" x14ac:dyDescent="0.1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2.75" customHeight="1" x14ac:dyDescent="0.1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2.75" customHeight="1" x14ac:dyDescent="0.1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2.75" customHeight="1" x14ac:dyDescent="0.1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2.75" customHeight="1" x14ac:dyDescent="0.1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2.75" customHeight="1" x14ac:dyDescent="0.1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2.75" customHeight="1" x14ac:dyDescent="0.1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2.75" customHeight="1" x14ac:dyDescent="0.1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2.75" customHeight="1" x14ac:dyDescent="0.1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2.75" customHeight="1" x14ac:dyDescent="0.1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2.75" customHeight="1" x14ac:dyDescent="0.1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2.75" customHeight="1" x14ac:dyDescent="0.1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2.75" customHeight="1" x14ac:dyDescent="0.1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2.75" customHeight="1" x14ac:dyDescent="0.1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2.75" customHeight="1" x14ac:dyDescent="0.1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2.75" customHeight="1" x14ac:dyDescent="0.1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2.75" customHeight="1" x14ac:dyDescent="0.1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2.75" customHeight="1" x14ac:dyDescent="0.1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2.75" customHeight="1" x14ac:dyDescent="0.1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2.75" customHeight="1" x14ac:dyDescent="0.1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2.75" customHeight="1" x14ac:dyDescent="0.1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2.75" customHeight="1" x14ac:dyDescent="0.1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2.75" customHeight="1" x14ac:dyDescent="0.1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2.75" customHeight="1" x14ac:dyDescent="0.1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2.75" customHeight="1" x14ac:dyDescent="0.1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2.75" customHeight="1" x14ac:dyDescent="0.1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2.75" customHeight="1" x14ac:dyDescent="0.1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2.75" customHeight="1" x14ac:dyDescent="0.1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2.75" customHeight="1" x14ac:dyDescent="0.1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2.75" customHeight="1" x14ac:dyDescent="0.1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2.75" customHeight="1" x14ac:dyDescent="0.1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2.75" customHeight="1" x14ac:dyDescent="0.1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2.75" customHeight="1" x14ac:dyDescent="0.1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2.75" customHeight="1" x14ac:dyDescent="0.1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2.75" customHeight="1" x14ac:dyDescent="0.1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2.75" customHeight="1" x14ac:dyDescent="0.1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2.75" customHeight="1" x14ac:dyDescent="0.1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2.75" customHeight="1" x14ac:dyDescent="0.1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2.75" customHeight="1" x14ac:dyDescent="0.1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2.75" customHeight="1" x14ac:dyDescent="0.1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2.75" customHeight="1" x14ac:dyDescent="0.1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2.75" customHeight="1" x14ac:dyDescent="0.1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2.75" customHeight="1" x14ac:dyDescent="0.1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2.75" customHeight="1" x14ac:dyDescent="0.1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2.75" customHeight="1" x14ac:dyDescent="0.1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2.75" customHeight="1" x14ac:dyDescent="0.1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2.75" customHeight="1" x14ac:dyDescent="0.1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2.75" customHeight="1" x14ac:dyDescent="0.1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2.75" customHeight="1" x14ac:dyDescent="0.1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2.75" customHeight="1" x14ac:dyDescent="0.1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2.75" customHeight="1" x14ac:dyDescent="0.1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2.75" customHeight="1" x14ac:dyDescent="0.1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2.75" customHeight="1" x14ac:dyDescent="0.1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2.75" customHeight="1" x14ac:dyDescent="0.1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2.75" customHeight="1" x14ac:dyDescent="0.1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2.75" customHeight="1" x14ac:dyDescent="0.1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2.75" customHeight="1" x14ac:dyDescent="0.1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2.75" customHeight="1" x14ac:dyDescent="0.1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2.75" customHeight="1" x14ac:dyDescent="0.1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2.75" customHeight="1" x14ac:dyDescent="0.1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2.75" customHeight="1" x14ac:dyDescent="0.1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2.75" customHeight="1" x14ac:dyDescent="0.1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2.75" customHeight="1" x14ac:dyDescent="0.1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2.75" customHeight="1" x14ac:dyDescent="0.1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2.75" customHeight="1" x14ac:dyDescent="0.1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2.75" customHeight="1" x14ac:dyDescent="0.1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2.75" customHeight="1" x14ac:dyDescent="0.1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2.75" customHeight="1" x14ac:dyDescent="0.1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2.75" customHeight="1" x14ac:dyDescent="0.1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2.75" customHeight="1" x14ac:dyDescent="0.1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2.75" customHeight="1" x14ac:dyDescent="0.1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2.75" customHeight="1" x14ac:dyDescent="0.1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2.75" customHeight="1" x14ac:dyDescent="0.1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2.75" customHeight="1" x14ac:dyDescent="0.1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2.75" customHeight="1" x14ac:dyDescent="0.1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2.75" customHeight="1" x14ac:dyDescent="0.1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2.75" customHeight="1" x14ac:dyDescent="0.1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2.75" customHeight="1" x14ac:dyDescent="0.1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2.75" customHeight="1" x14ac:dyDescent="0.1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2.75" customHeight="1" x14ac:dyDescent="0.1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2.75" customHeight="1" x14ac:dyDescent="0.1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2.75" customHeight="1" x14ac:dyDescent="0.1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2.75" customHeight="1" x14ac:dyDescent="0.1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2.75" customHeight="1" x14ac:dyDescent="0.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2.75" customHeight="1" x14ac:dyDescent="0.1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2.75" customHeight="1" x14ac:dyDescent="0.1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2.75" customHeight="1" x14ac:dyDescent="0.1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2.75" customHeight="1" x14ac:dyDescent="0.1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2.75" customHeight="1" x14ac:dyDescent="0.1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2.75" customHeight="1" x14ac:dyDescent="0.1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2.75" customHeight="1" x14ac:dyDescent="0.1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2.75" customHeight="1" x14ac:dyDescent="0.1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2.75" customHeight="1" x14ac:dyDescent="0.1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2.75" customHeight="1" x14ac:dyDescent="0.1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2.75" customHeight="1" x14ac:dyDescent="0.1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2.75" customHeight="1" x14ac:dyDescent="0.1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2.75" customHeight="1" x14ac:dyDescent="0.1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2.75" customHeight="1" x14ac:dyDescent="0.1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2.75" customHeight="1" x14ac:dyDescent="0.1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2.75" customHeight="1" x14ac:dyDescent="0.1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2.75" customHeight="1" x14ac:dyDescent="0.1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2.75" customHeight="1" x14ac:dyDescent="0.1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2.75" customHeight="1" x14ac:dyDescent="0.1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2.75" customHeight="1" x14ac:dyDescent="0.1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2.75" customHeight="1" x14ac:dyDescent="0.1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2.75" customHeight="1" x14ac:dyDescent="0.1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2.75" customHeight="1" x14ac:dyDescent="0.1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2.75" customHeight="1" x14ac:dyDescent="0.1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2.75" customHeight="1" x14ac:dyDescent="0.1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2.75" customHeight="1" x14ac:dyDescent="0.1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2.75" customHeight="1" x14ac:dyDescent="0.1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2.75" customHeight="1" x14ac:dyDescent="0.1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2.75" customHeight="1" x14ac:dyDescent="0.1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2.75" customHeight="1" x14ac:dyDescent="0.1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2.75" customHeight="1" x14ac:dyDescent="0.1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2.75" customHeight="1" x14ac:dyDescent="0.1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2.75" customHeight="1" x14ac:dyDescent="0.1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2.75" customHeight="1" x14ac:dyDescent="0.1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2.75" customHeight="1" x14ac:dyDescent="0.1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2.75" customHeight="1" x14ac:dyDescent="0.1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2.75" customHeight="1" x14ac:dyDescent="0.1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2.75" customHeight="1" x14ac:dyDescent="0.1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2.75" customHeight="1" x14ac:dyDescent="0.1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2.75" customHeight="1" x14ac:dyDescent="0.1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2.75" customHeight="1" x14ac:dyDescent="0.1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2.75" customHeight="1" x14ac:dyDescent="0.1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2.75" customHeight="1" x14ac:dyDescent="0.1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2.75" customHeight="1" x14ac:dyDescent="0.1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2.75" customHeight="1" x14ac:dyDescent="0.1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2.75" customHeight="1" x14ac:dyDescent="0.1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2.75" customHeight="1" x14ac:dyDescent="0.1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2.75" customHeight="1" x14ac:dyDescent="0.1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2.75" customHeight="1" x14ac:dyDescent="0.1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2.75" customHeight="1" x14ac:dyDescent="0.1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2.75" customHeight="1" x14ac:dyDescent="0.1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2.75" customHeight="1" x14ac:dyDescent="0.1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2.75" customHeight="1" x14ac:dyDescent="0.1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2.75" customHeight="1" x14ac:dyDescent="0.1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2.75" customHeight="1" x14ac:dyDescent="0.1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2.75" customHeight="1" x14ac:dyDescent="0.1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2.75" customHeight="1" x14ac:dyDescent="0.1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2.75" customHeight="1" x14ac:dyDescent="0.1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2.75" customHeight="1" x14ac:dyDescent="0.1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2.75" customHeight="1" x14ac:dyDescent="0.1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2.75" customHeight="1" x14ac:dyDescent="0.1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2.75" customHeight="1" x14ac:dyDescent="0.1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2.75" customHeight="1" x14ac:dyDescent="0.1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2.75" customHeight="1" x14ac:dyDescent="0.1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2.75" customHeight="1" x14ac:dyDescent="0.1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2.75" customHeight="1" x14ac:dyDescent="0.1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2.75" customHeight="1" x14ac:dyDescent="0.1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2.75" customHeight="1" x14ac:dyDescent="0.1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2.75" customHeight="1" x14ac:dyDescent="0.1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2.75" customHeight="1" x14ac:dyDescent="0.1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2.75" customHeight="1" x14ac:dyDescent="0.1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2.75" customHeight="1" x14ac:dyDescent="0.1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2.75" customHeight="1" x14ac:dyDescent="0.1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2.75" customHeight="1" x14ac:dyDescent="0.1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2.75" customHeight="1" x14ac:dyDescent="0.1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2.75" customHeight="1" x14ac:dyDescent="0.1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2.75" customHeight="1" x14ac:dyDescent="0.1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2.75" customHeight="1" x14ac:dyDescent="0.1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2.75" customHeight="1" x14ac:dyDescent="0.1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2.75" customHeight="1" x14ac:dyDescent="0.1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2.75" customHeight="1" x14ac:dyDescent="0.1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2.75" customHeight="1" x14ac:dyDescent="0.1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2.75" customHeight="1" x14ac:dyDescent="0.1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2.75" customHeight="1" x14ac:dyDescent="0.1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2.75" customHeight="1" x14ac:dyDescent="0.1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2.75" customHeight="1" x14ac:dyDescent="0.1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2.75" customHeight="1" x14ac:dyDescent="0.1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2.75" customHeight="1" x14ac:dyDescent="0.1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2.75" customHeight="1" x14ac:dyDescent="0.1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2.75" customHeight="1" x14ac:dyDescent="0.1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2.75" customHeight="1" x14ac:dyDescent="0.1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2.75" customHeight="1" x14ac:dyDescent="0.1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2.75" customHeight="1" x14ac:dyDescent="0.1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2.75" customHeight="1" x14ac:dyDescent="0.1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2.75" customHeight="1" x14ac:dyDescent="0.1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2.75" customHeight="1" x14ac:dyDescent="0.1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2.75" customHeight="1" x14ac:dyDescent="0.1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2.75" customHeight="1" x14ac:dyDescent="0.1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2.75" customHeight="1" x14ac:dyDescent="0.1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2.75" customHeight="1" x14ac:dyDescent="0.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2.75" customHeight="1" x14ac:dyDescent="0.1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2.75" customHeight="1" x14ac:dyDescent="0.1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2.75" customHeight="1" x14ac:dyDescent="0.1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2.75" customHeight="1" x14ac:dyDescent="0.1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2.75" customHeight="1" x14ac:dyDescent="0.1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2.75" customHeight="1" x14ac:dyDescent="0.1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2.75" customHeight="1" x14ac:dyDescent="0.1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2.75" customHeight="1" x14ac:dyDescent="0.1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2.75" customHeight="1" x14ac:dyDescent="0.1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2.75" customHeight="1" x14ac:dyDescent="0.1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2.75" customHeight="1" x14ac:dyDescent="0.1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2.75" customHeight="1" x14ac:dyDescent="0.1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2.75" customHeight="1" x14ac:dyDescent="0.1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2.75" customHeight="1" x14ac:dyDescent="0.1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2.75" customHeight="1" x14ac:dyDescent="0.1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2.75" customHeight="1" x14ac:dyDescent="0.1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2.75" customHeight="1" x14ac:dyDescent="0.1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2.75" customHeight="1" x14ac:dyDescent="0.1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2.75" customHeight="1" x14ac:dyDescent="0.1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2.75" customHeight="1" x14ac:dyDescent="0.1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2.75" customHeight="1" x14ac:dyDescent="0.1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2.75" customHeight="1" x14ac:dyDescent="0.1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2.75" customHeight="1" x14ac:dyDescent="0.1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2.75" customHeight="1" x14ac:dyDescent="0.1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2.75" customHeight="1" x14ac:dyDescent="0.1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2.75" customHeight="1" x14ac:dyDescent="0.1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2.75" customHeight="1" x14ac:dyDescent="0.1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2.75" customHeight="1" x14ac:dyDescent="0.1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2.75" customHeight="1" x14ac:dyDescent="0.1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2.75" customHeight="1" x14ac:dyDescent="0.1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2.75" customHeight="1" x14ac:dyDescent="0.1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2.75" customHeight="1" x14ac:dyDescent="0.1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2.75" customHeight="1" x14ac:dyDescent="0.1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2.75" customHeight="1" x14ac:dyDescent="0.1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2.75" customHeight="1" x14ac:dyDescent="0.1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2.75" customHeight="1" x14ac:dyDescent="0.1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2.75" customHeight="1" x14ac:dyDescent="0.1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2.75" customHeight="1" x14ac:dyDescent="0.1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2.75" customHeight="1" x14ac:dyDescent="0.1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2.75" customHeight="1" x14ac:dyDescent="0.1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2.75" customHeight="1" x14ac:dyDescent="0.1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2.75" customHeight="1" x14ac:dyDescent="0.1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2.75" customHeight="1" x14ac:dyDescent="0.1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2.75" customHeight="1" x14ac:dyDescent="0.1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2.75" customHeight="1" x14ac:dyDescent="0.1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2.75" customHeight="1" x14ac:dyDescent="0.1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2.75" customHeight="1" x14ac:dyDescent="0.1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2.75" customHeight="1" x14ac:dyDescent="0.1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2.75" customHeight="1" x14ac:dyDescent="0.1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2.75" customHeight="1" x14ac:dyDescent="0.1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2.75" customHeight="1" x14ac:dyDescent="0.1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2.75" customHeight="1" x14ac:dyDescent="0.1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2.75" customHeight="1" x14ac:dyDescent="0.1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2.75" customHeight="1" x14ac:dyDescent="0.1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2.75" customHeight="1" x14ac:dyDescent="0.1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2.75" customHeight="1" x14ac:dyDescent="0.1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2.75" customHeight="1" x14ac:dyDescent="0.1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2.75" customHeight="1" x14ac:dyDescent="0.1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2.75" customHeight="1" x14ac:dyDescent="0.1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2.75" customHeight="1" x14ac:dyDescent="0.1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2.75" customHeight="1" x14ac:dyDescent="0.1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2.75" customHeight="1" x14ac:dyDescent="0.1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2.75" customHeight="1" x14ac:dyDescent="0.1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2.75" customHeight="1" x14ac:dyDescent="0.1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2.75" customHeight="1" x14ac:dyDescent="0.1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2.75" customHeight="1" x14ac:dyDescent="0.1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2.75" customHeight="1" x14ac:dyDescent="0.1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2.75" customHeight="1" x14ac:dyDescent="0.1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2.75" customHeight="1" x14ac:dyDescent="0.1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2.75" customHeight="1" x14ac:dyDescent="0.1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2.75" customHeight="1" x14ac:dyDescent="0.1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2.75" customHeight="1" x14ac:dyDescent="0.1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2.75" customHeight="1" x14ac:dyDescent="0.1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2.75" customHeight="1" x14ac:dyDescent="0.1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2.75" customHeight="1" x14ac:dyDescent="0.1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2.75" customHeight="1" x14ac:dyDescent="0.1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2.75" customHeight="1" x14ac:dyDescent="0.1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2.75" customHeight="1" x14ac:dyDescent="0.1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2.75" customHeight="1" x14ac:dyDescent="0.1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2.75" customHeight="1" x14ac:dyDescent="0.1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2.75" customHeight="1" x14ac:dyDescent="0.1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2.75" customHeight="1" x14ac:dyDescent="0.1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2.75" customHeight="1" x14ac:dyDescent="0.1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2.75" customHeight="1" x14ac:dyDescent="0.1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2.75" customHeight="1" x14ac:dyDescent="0.1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2.75" customHeight="1" x14ac:dyDescent="0.1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2.75" customHeight="1" x14ac:dyDescent="0.1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2.75" customHeight="1" x14ac:dyDescent="0.1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2.75" customHeight="1" x14ac:dyDescent="0.1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2.75" customHeight="1" x14ac:dyDescent="0.1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2.75" customHeight="1" x14ac:dyDescent="0.1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2.75" customHeight="1" x14ac:dyDescent="0.1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2.75" customHeight="1" x14ac:dyDescent="0.1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2.75" customHeight="1" x14ac:dyDescent="0.1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2.75" customHeight="1" x14ac:dyDescent="0.1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2.75" customHeight="1" x14ac:dyDescent="0.1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2.75" customHeight="1" x14ac:dyDescent="0.1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2.75" customHeight="1" x14ac:dyDescent="0.1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2.75" customHeight="1" x14ac:dyDescent="0.1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2.75" customHeight="1" x14ac:dyDescent="0.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2.75" customHeight="1" x14ac:dyDescent="0.1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2.75" customHeight="1" x14ac:dyDescent="0.1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2.75" customHeight="1" x14ac:dyDescent="0.1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2.75" customHeight="1" x14ac:dyDescent="0.1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2.75" customHeight="1" x14ac:dyDescent="0.1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2.75" customHeight="1" x14ac:dyDescent="0.1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2.75" customHeight="1" x14ac:dyDescent="0.1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2.75" customHeight="1" x14ac:dyDescent="0.1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2.75" customHeight="1" x14ac:dyDescent="0.1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2.75" customHeight="1" x14ac:dyDescent="0.1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2.75" customHeight="1" x14ac:dyDescent="0.1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2.75" customHeight="1" x14ac:dyDescent="0.1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2.75" customHeight="1" x14ac:dyDescent="0.1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2.75" customHeight="1" x14ac:dyDescent="0.1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2.75" customHeight="1" x14ac:dyDescent="0.1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2.75" customHeight="1" x14ac:dyDescent="0.1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2.75" customHeight="1" x14ac:dyDescent="0.1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2.75" customHeight="1" x14ac:dyDescent="0.1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2.75" customHeight="1" x14ac:dyDescent="0.1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2.75" customHeight="1" x14ac:dyDescent="0.1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2.75" customHeight="1" x14ac:dyDescent="0.1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2.75" customHeight="1" x14ac:dyDescent="0.1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2.75" customHeight="1" x14ac:dyDescent="0.1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2.75" customHeight="1" x14ac:dyDescent="0.1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2.75" customHeight="1" x14ac:dyDescent="0.1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2.75" customHeight="1" x14ac:dyDescent="0.1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2.75" customHeight="1" x14ac:dyDescent="0.1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2.75" customHeight="1" x14ac:dyDescent="0.1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2.75" customHeight="1" x14ac:dyDescent="0.1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2.75" customHeight="1" x14ac:dyDescent="0.1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2.75" customHeight="1" x14ac:dyDescent="0.1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2.75" customHeight="1" x14ac:dyDescent="0.1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2.75" customHeight="1" x14ac:dyDescent="0.1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2.75" customHeight="1" x14ac:dyDescent="0.1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2.75" customHeight="1" x14ac:dyDescent="0.1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2.75" customHeight="1" x14ac:dyDescent="0.1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2.75" customHeight="1" x14ac:dyDescent="0.1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2.75" customHeight="1" x14ac:dyDescent="0.1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2.75" customHeight="1" x14ac:dyDescent="0.1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2.75" customHeight="1" x14ac:dyDescent="0.1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2.75" customHeight="1" x14ac:dyDescent="0.1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2.75" customHeight="1" x14ac:dyDescent="0.1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2.75" customHeight="1" x14ac:dyDescent="0.1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2.75" customHeight="1" x14ac:dyDescent="0.1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2.75" customHeight="1" x14ac:dyDescent="0.1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2.75" customHeight="1" x14ac:dyDescent="0.1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2.75" customHeight="1" x14ac:dyDescent="0.1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2.75" customHeight="1" x14ac:dyDescent="0.1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2.75" customHeight="1" x14ac:dyDescent="0.1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2.75" customHeight="1" x14ac:dyDescent="0.1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2.75" customHeight="1" x14ac:dyDescent="0.1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2.75" customHeight="1" x14ac:dyDescent="0.1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2.75" customHeight="1" x14ac:dyDescent="0.1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2.75" customHeight="1" x14ac:dyDescent="0.1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2.75" customHeight="1" x14ac:dyDescent="0.1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2.75" customHeight="1" x14ac:dyDescent="0.1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2.75" customHeight="1" x14ac:dyDescent="0.1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2.75" customHeight="1" x14ac:dyDescent="0.1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2.75" customHeight="1" x14ac:dyDescent="0.1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2.75" customHeight="1" x14ac:dyDescent="0.1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2.75" customHeight="1" x14ac:dyDescent="0.1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2.75" customHeight="1" x14ac:dyDescent="0.1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2.75" customHeight="1" x14ac:dyDescent="0.1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2.75" customHeight="1" x14ac:dyDescent="0.1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2.75" customHeight="1" x14ac:dyDescent="0.1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2.75" customHeight="1" x14ac:dyDescent="0.1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2.75" customHeight="1" x14ac:dyDescent="0.1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2.75" customHeight="1" x14ac:dyDescent="0.1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2.75" customHeight="1" x14ac:dyDescent="0.1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2.75" customHeight="1" x14ac:dyDescent="0.1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2.75" customHeight="1" x14ac:dyDescent="0.1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2.75" customHeight="1" x14ac:dyDescent="0.1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2.75" customHeight="1" x14ac:dyDescent="0.1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2.75" customHeight="1" x14ac:dyDescent="0.1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2.75" customHeight="1" x14ac:dyDescent="0.1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2.75" customHeight="1" x14ac:dyDescent="0.1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2.75" customHeight="1" x14ac:dyDescent="0.1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2.75" customHeight="1" x14ac:dyDescent="0.1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2.75" customHeight="1" x14ac:dyDescent="0.1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2.75" customHeight="1" x14ac:dyDescent="0.1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2.75" customHeight="1" x14ac:dyDescent="0.1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2.75" customHeight="1" x14ac:dyDescent="0.1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2.75" customHeight="1" x14ac:dyDescent="0.1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2.75" customHeight="1" x14ac:dyDescent="0.1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2.75" customHeight="1" x14ac:dyDescent="0.1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2.75" customHeight="1" x14ac:dyDescent="0.1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2.75" customHeight="1" x14ac:dyDescent="0.1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2.75" customHeight="1" x14ac:dyDescent="0.1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2.75" customHeight="1" x14ac:dyDescent="0.1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2.75" customHeight="1" x14ac:dyDescent="0.1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2.75" customHeight="1" x14ac:dyDescent="0.1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2.75" customHeight="1" x14ac:dyDescent="0.1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2.75" customHeight="1" x14ac:dyDescent="0.1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2.75" customHeight="1" x14ac:dyDescent="0.1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2.75" customHeight="1" x14ac:dyDescent="0.1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2.75" customHeight="1" x14ac:dyDescent="0.1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2.75" customHeight="1" x14ac:dyDescent="0.1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2.75" customHeight="1" x14ac:dyDescent="0.1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2.75" customHeight="1" x14ac:dyDescent="0.1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2.75" customHeight="1" x14ac:dyDescent="0.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2.75" customHeight="1" x14ac:dyDescent="0.1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2.75" customHeight="1" x14ac:dyDescent="0.1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2.75" customHeight="1" x14ac:dyDescent="0.1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2.75" customHeight="1" x14ac:dyDescent="0.1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2.75" customHeight="1" x14ac:dyDescent="0.1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2.75" customHeight="1" x14ac:dyDescent="0.1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2.75" customHeight="1" x14ac:dyDescent="0.1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2.75" customHeight="1" x14ac:dyDescent="0.1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2.75" customHeight="1" x14ac:dyDescent="0.1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2.75" customHeight="1" x14ac:dyDescent="0.1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2.75" customHeight="1" x14ac:dyDescent="0.1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2.75" customHeight="1" x14ac:dyDescent="0.1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2.75" customHeight="1" x14ac:dyDescent="0.1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2.75" customHeight="1" x14ac:dyDescent="0.1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2.75" customHeight="1" x14ac:dyDescent="0.1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2.75" customHeight="1" x14ac:dyDescent="0.1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2.75" customHeight="1" x14ac:dyDescent="0.1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2.75" customHeight="1" x14ac:dyDescent="0.1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2.75" customHeight="1" x14ac:dyDescent="0.1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2.75" customHeight="1" x14ac:dyDescent="0.1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2.75" customHeight="1" x14ac:dyDescent="0.1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2.75" customHeight="1" x14ac:dyDescent="0.1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2.75" customHeight="1" x14ac:dyDescent="0.1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2.75" customHeight="1" x14ac:dyDescent="0.1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2.75" customHeight="1" x14ac:dyDescent="0.1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2.75" customHeight="1" x14ac:dyDescent="0.1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2.75" customHeight="1" x14ac:dyDescent="0.1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2.75" customHeight="1" x14ac:dyDescent="0.1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2.75" customHeight="1" x14ac:dyDescent="0.1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2.75" customHeight="1" x14ac:dyDescent="0.1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2.75" customHeight="1" x14ac:dyDescent="0.1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2.75" customHeight="1" x14ac:dyDescent="0.1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2.75" customHeight="1" x14ac:dyDescent="0.1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2.75" customHeight="1" x14ac:dyDescent="0.1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2.75" customHeight="1" x14ac:dyDescent="0.1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2.75" customHeight="1" x14ac:dyDescent="0.1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2.75" customHeight="1" x14ac:dyDescent="0.1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2.75" customHeight="1" x14ac:dyDescent="0.1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2.75" customHeight="1" x14ac:dyDescent="0.1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2.75" customHeight="1" x14ac:dyDescent="0.1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2.75" customHeight="1" x14ac:dyDescent="0.1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2.75" customHeight="1" x14ac:dyDescent="0.1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2.75" customHeight="1" x14ac:dyDescent="0.1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2.75" customHeight="1" x14ac:dyDescent="0.1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2.75" customHeight="1" x14ac:dyDescent="0.1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2.75" customHeight="1" x14ac:dyDescent="0.1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2.75" customHeight="1" x14ac:dyDescent="0.1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2.75" customHeight="1" x14ac:dyDescent="0.1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2.75" customHeight="1" x14ac:dyDescent="0.1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2.75" customHeight="1" x14ac:dyDescent="0.1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2.75" customHeight="1" x14ac:dyDescent="0.1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2.75" customHeight="1" x14ac:dyDescent="0.1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2.75" customHeight="1" x14ac:dyDescent="0.1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2.75" customHeight="1" x14ac:dyDescent="0.1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2.75" customHeight="1" x14ac:dyDescent="0.1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2.75" customHeight="1" x14ac:dyDescent="0.1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2.75" customHeight="1" x14ac:dyDescent="0.1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2.75" customHeight="1" x14ac:dyDescent="0.1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2.75" customHeight="1" x14ac:dyDescent="0.1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2.75" customHeight="1" x14ac:dyDescent="0.1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2.75" customHeight="1" x14ac:dyDescent="0.1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2.75" customHeight="1" x14ac:dyDescent="0.1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2.75" customHeight="1" x14ac:dyDescent="0.1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2.75" customHeight="1" x14ac:dyDescent="0.1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2.75" customHeight="1" x14ac:dyDescent="0.1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2.75" customHeight="1" x14ac:dyDescent="0.1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2.75" customHeight="1" x14ac:dyDescent="0.1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2.75" customHeight="1" x14ac:dyDescent="0.1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2.75" customHeight="1" x14ac:dyDescent="0.1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2.75" customHeight="1" x14ac:dyDescent="0.1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2.75" customHeight="1" x14ac:dyDescent="0.1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2.75" customHeight="1" x14ac:dyDescent="0.1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2.75" customHeight="1" x14ac:dyDescent="0.1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2.75" customHeight="1" x14ac:dyDescent="0.1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2.75" customHeight="1" x14ac:dyDescent="0.1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2.75" customHeight="1" x14ac:dyDescent="0.1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2.75" customHeight="1" x14ac:dyDescent="0.1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2.75" customHeight="1" x14ac:dyDescent="0.1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2.75" customHeight="1" x14ac:dyDescent="0.1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2.75" customHeight="1" x14ac:dyDescent="0.1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2.75" customHeight="1" x14ac:dyDescent="0.1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2.75" customHeight="1" x14ac:dyDescent="0.1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2.75" customHeight="1" x14ac:dyDescent="0.1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2.75" customHeight="1" x14ac:dyDescent="0.1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2.75" customHeight="1" x14ac:dyDescent="0.1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</sheetData>
  <conditionalFormatting sqref="G59:AR59">
    <cfRule type="cellIs" dxfId="1" priority="1" operator="lessThan">
      <formula>0</formula>
    </cfRule>
  </conditionalFormatting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20473-F281-8E4F-80A6-E3AA2986605A}">
  <sheetPr>
    <tabColor rgb="FFD883FF"/>
  </sheetPr>
  <dimension ref="A1:AJ156"/>
  <sheetViews>
    <sheetView tabSelected="1" topLeftCell="A4" zoomScale="92" zoomScaleNormal="100" workbookViewId="0">
      <selection activeCell="D20" sqref="D20"/>
    </sheetView>
  </sheetViews>
  <sheetFormatPr baseColWidth="10" defaultRowHeight="13" x14ac:dyDescent="0.15"/>
  <cols>
    <col min="1" max="1" width="18.6640625" style="49" bestFit="1" customWidth="1"/>
    <col min="2" max="2" width="47.33203125" style="49" bestFit="1" customWidth="1"/>
    <col min="3" max="3" width="14.83203125" style="49" bestFit="1" customWidth="1"/>
    <col min="4" max="4" width="11.5" style="49" customWidth="1"/>
    <col min="5" max="5" width="12" style="49" customWidth="1"/>
    <col min="6" max="6" width="22.5" style="49" bestFit="1" customWidth="1"/>
    <col min="7" max="7" width="18.6640625" style="49" bestFit="1" customWidth="1"/>
    <col min="8" max="17" width="10.83203125" style="49"/>
    <col min="18" max="18" width="11.83203125" style="49" customWidth="1"/>
    <col min="19" max="16384" width="10.83203125" style="49"/>
  </cols>
  <sheetData>
    <row r="1" spans="2:8" x14ac:dyDescent="0.15">
      <c r="B1" s="50" t="s">
        <v>84</v>
      </c>
    </row>
    <row r="3" spans="2:8" x14ac:dyDescent="0.15">
      <c r="B3" s="54" t="s">
        <v>95</v>
      </c>
      <c r="C3" s="57" t="s">
        <v>90</v>
      </c>
      <c r="D3" s="53" t="s">
        <v>86</v>
      </c>
      <c r="E3" s="53" t="s">
        <v>87</v>
      </c>
      <c r="F3" s="53" t="s">
        <v>85</v>
      </c>
      <c r="G3" s="53" t="s">
        <v>100</v>
      </c>
    </row>
    <row r="4" spans="2:8" x14ac:dyDescent="0.15">
      <c r="B4" s="55" t="s">
        <v>88</v>
      </c>
      <c r="C4" s="60">
        <v>-31304</v>
      </c>
      <c r="D4" s="52">
        <v>1052695.4319995921</v>
      </c>
      <c r="E4" s="52">
        <v>246027.57647973884</v>
      </c>
      <c r="F4" s="52">
        <v>7471537.2899415242</v>
      </c>
      <c r="G4" s="49">
        <v>35</v>
      </c>
      <c r="H4" s="71" t="s">
        <v>97</v>
      </c>
    </row>
    <row r="5" spans="2:8" x14ac:dyDescent="0.15">
      <c r="B5" s="56" t="s">
        <v>78</v>
      </c>
      <c r="C5" s="60">
        <v>8335.4599999999336</v>
      </c>
      <c r="D5" s="51">
        <v>1157964.9751995513</v>
      </c>
      <c r="E5" s="51">
        <v>313400.08412771276</v>
      </c>
      <c r="F5" s="51">
        <v>9363048.1873356812</v>
      </c>
      <c r="G5" s="49">
        <v>30</v>
      </c>
      <c r="H5" s="71" t="s">
        <v>102</v>
      </c>
    </row>
    <row r="6" spans="2:8" x14ac:dyDescent="0.15">
      <c r="B6" s="56" t="s">
        <v>79</v>
      </c>
      <c r="C6" s="60">
        <v>17192.37950000001</v>
      </c>
      <c r="D6" s="7">
        <v>1157964.9751995516</v>
      </c>
      <c r="E6" s="51">
        <v>328453.62880530697</v>
      </c>
      <c r="F6" s="51">
        <v>9807848.1445561107</v>
      </c>
      <c r="G6" s="49">
        <v>29</v>
      </c>
      <c r="H6" s="71" t="s">
        <v>101</v>
      </c>
    </row>
    <row r="7" spans="2:8" x14ac:dyDescent="0.15">
      <c r="B7" s="56" t="s">
        <v>80</v>
      </c>
      <c r="C7" s="60">
        <v>-27086.319285714279</v>
      </c>
      <c r="D7" s="51">
        <v>1052695.4319995921</v>
      </c>
      <c r="E7" s="51">
        <v>253195.93108811698</v>
      </c>
      <c r="F7" s="51">
        <v>7685082.4160441095</v>
      </c>
      <c r="G7" s="49">
        <v>34</v>
      </c>
      <c r="H7" s="71" t="s">
        <v>105</v>
      </c>
    </row>
    <row r="8" spans="2:8" x14ac:dyDescent="0.15">
      <c r="B8" s="56" t="s">
        <v>81</v>
      </c>
      <c r="C8" s="60">
        <v>-31303.9</v>
      </c>
      <c r="D8" s="51">
        <v>1052695.4319995921</v>
      </c>
      <c r="E8" s="51">
        <v>246027.57647973878</v>
      </c>
      <c r="F8" s="51">
        <v>6647174.1938074799</v>
      </c>
      <c r="G8" s="49">
        <v>38</v>
      </c>
      <c r="H8" s="71" t="s">
        <v>106</v>
      </c>
    </row>
    <row r="9" spans="2:8" x14ac:dyDescent="0.15">
      <c r="B9" s="56" t="s">
        <v>82</v>
      </c>
      <c r="C9" s="60">
        <v>-4627.9000000000015</v>
      </c>
      <c r="D9" s="51">
        <v>1052695.4319995921</v>
      </c>
      <c r="E9" s="51">
        <v>272703.57647973875</v>
      </c>
      <c r="F9" s="51">
        <v>8230829.6539415251</v>
      </c>
      <c r="G9" s="49">
        <v>33</v>
      </c>
      <c r="H9" s="71" t="s">
        <v>104</v>
      </c>
    </row>
    <row r="10" spans="2:8" x14ac:dyDescent="0.15">
      <c r="B10" s="64" t="s">
        <v>99</v>
      </c>
      <c r="C10" s="60">
        <v>17192.37950000001</v>
      </c>
      <c r="D10" s="51">
        <v>1157964.9751995516</v>
      </c>
      <c r="E10" s="51">
        <v>328453.62880530697</v>
      </c>
      <c r="F10" s="51">
        <v>8709184.5600319188</v>
      </c>
      <c r="G10" s="49">
        <v>32</v>
      </c>
      <c r="H10" s="71" t="s">
        <v>103</v>
      </c>
    </row>
    <row r="12" spans="2:8" x14ac:dyDescent="0.15">
      <c r="B12" s="50" t="s">
        <v>91</v>
      </c>
    </row>
    <row r="13" spans="2:8" x14ac:dyDescent="0.15">
      <c r="E13" s="51"/>
    </row>
    <row r="14" spans="2:8" x14ac:dyDescent="0.15">
      <c r="B14" s="54" t="s">
        <v>95</v>
      </c>
      <c r="C14" s="57" t="s">
        <v>94</v>
      </c>
      <c r="D14" s="53"/>
      <c r="E14" s="53"/>
      <c r="F14" s="53"/>
      <c r="G14" s="73"/>
      <c r="H14" s="58"/>
    </row>
    <row r="15" spans="2:8" x14ac:dyDescent="0.15">
      <c r="B15" s="56" t="s">
        <v>78</v>
      </c>
      <c r="C15" s="59">
        <f>PEARSON(B29:B33,C29:C33)</f>
        <v>1</v>
      </c>
      <c r="D15" s="74" t="s">
        <v>96</v>
      </c>
      <c r="E15" s="74"/>
      <c r="F15" s="74"/>
      <c r="G15" s="74"/>
    </row>
    <row r="16" spans="2:8" x14ac:dyDescent="0.15">
      <c r="B16" s="56" t="s">
        <v>79</v>
      </c>
      <c r="C16" s="59">
        <f>PEARSON(B36:B40,C36:C40)</f>
        <v>1</v>
      </c>
      <c r="D16" s="62" t="s">
        <v>96</v>
      </c>
      <c r="E16" s="62"/>
      <c r="F16" s="62"/>
      <c r="G16" s="62"/>
    </row>
    <row r="17" spans="1:36" x14ac:dyDescent="0.15">
      <c r="B17" s="56" t="s">
        <v>80</v>
      </c>
      <c r="C17" s="59">
        <f>PEARSON(B43:B47,C43:C47)</f>
        <v>-1</v>
      </c>
      <c r="D17" s="62" t="s">
        <v>117</v>
      </c>
      <c r="E17" s="62"/>
      <c r="F17" s="62"/>
      <c r="G17" s="62"/>
    </row>
    <row r="18" spans="1:36" ht="43" customHeight="1" x14ac:dyDescent="0.15">
      <c r="B18" s="56" t="s">
        <v>81</v>
      </c>
      <c r="C18" s="59">
        <f>PEARSON(B50:B54,C50:C54)</f>
        <v>-1.5700924586837752E-16</v>
      </c>
      <c r="D18" s="63" t="s">
        <v>116</v>
      </c>
      <c r="E18" s="63"/>
      <c r="F18" s="63"/>
      <c r="G18" s="63"/>
    </row>
    <row r="19" spans="1:36" x14ac:dyDescent="0.15">
      <c r="B19" s="56" t="s">
        <v>82</v>
      </c>
      <c r="C19" s="59">
        <f>PEARSON(B57:B61,C57:C61)</f>
        <v>-0.99999999999999978</v>
      </c>
      <c r="D19" s="62" t="s">
        <v>117</v>
      </c>
      <c r="E19" s="62"/>
      <c r="F19" s="62"/>
      <c r="G19" s="62"/>
    </row>
    <row r="26" spans="1:36" x14ac:dyDescent="0.15">
      <c r="B26" s="49" t="s">
        <v>92</v>
      </c>
    </row>
    <row r="28" spans="1:36" x14ac:dyDescent="0.15">
      <c r="A28" s="49" t="s">
        <v>107</v>
      </c>
      <c r="B28" s="49" t="s">
        <v>108</v>
      </c>
      <c r="C28" s="49" t="s">
        <v>109</v>
      </c>
    </row>
    <row r="29" spans="1:36" x14ac:dyDescent="0.15">
      <c r="A29" s="65">
        <v>-0.1</v>
      </c>
      <c r="B29" s="60">
        <v>1512</v>
      </c>
      <c r="C29" s="60">
        <v>178655.06883176492</v>
      </c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</row>
    <row r="30" spans="1:36" x14ac:dyDescent="0.15">
      <c r="A30" s="65">
        <v>-0.05</v>
      </c>
      <c r="B30" s="60">
        <v>1596</v>
      </c>
      <c r="C30" s="60">
        <v>212341.32265575186</v>
      </c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</row>
    <row r="31" spans="1:36" x14ac:dyDescent="0.15">
      <c r="A31" s="65">
        <v>0</v>
      </c>
      <c r="B31" s="60">
        <v>1680</v>
      </c>
      <c r="C31" s="60">
        <v>246027.57647973878</v>
      </c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</row>
    <row r="32" spans="1:36" x14ac:dyDescent="0.15">
      <c r="A32" s="65">
        <v>0.05</v>
      </c>
      <c r="B32" s="60">
        <v>1764</v>
      </c>
      <c r="C32" s="60">
        <v>279713.83030372579</v>
      </c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</row>
    <row r="33" spans="1:36" x14ac:dyDescent="0.15">
      <c r="A33" s="65">
        <v>0.1</v>
      </c>
      <c r="B33" s="60">
        <v>1848</v>
      </c>
      <c r="C33" s="60">
        <v>313400.08412771276</v>
      </c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</row>
    <row r="34" spans="1:36" x14ac:dyDescent="0.15"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</row>
    <row r="35" spans="1:36" x14ac:dyDescent="0.15">
      <c r="A35" s="49" t="s">
        <v>110</v>
      </c>
      <c r="B35" s="60" t="s">
        <v>111</v>
      </c>
      <c r="C35" s="60" t="s">
        <v>109</v>
      </c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</row>
    <row r="36" spans="1:36" x14ac:dyDescent="0.15">
      <c r="A36" s="65">
        <v>-0.1</v>
      </c>
      <c r="B36" s="60">
        <v>947425.88879963255</v>
      </c>
      <c r="C36" s="60">
        <v>163601.52415417077</v>
      </c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</row>
    <row r="37" spans="1:36" x14ac:dyDescent="0.15">
      <c r="A37" s="65">
        <v>-0.05</v>
      </c>
      <c r="B37" s="60">
        <v>1000060.6603996124</v>
      </c>
      <c r="C37" s="60">
        <v>204814.55031695479</v>
      </c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</row>
    <row r="38" spans="1:36" x14ac:dyDescent="0.15">
      <c r="A38" s="65">
        <v>0</v>
      </c>
      <c r="B38" s="60">
        <v>1052695.4319995921</v>
      </c>
      <c r="C38" s="60">
        <v>246027.57647973878</v>
      </c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</row>
    <row r="39" spans="1:36" x14ac:dyDescent="0.15">
      <c r="A39" s="65">
        <v>0.05</v>
      </c>
      <c r="B39" s="60">
        <v>1105330.2035995713</v>
      </c>
      <c r="C39" s="60">
        <v>287240.60264252283</v>
      </c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</row>
    <row r="40" spans="1:36" x14ac:dyDescent="0.15">
      <c r="A40" s="65">
        <v>0.1</v>
      </c>
      <c r="B40" s="60">
        <v>1157964.9751995516</v>
      </c>
      <c r="C40" s="60">
        <v>328453.62880530697</v>
      </c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</row>
    <row r="41" spans="1:36" x14ac:dyDescent="0.15"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</row>
    <row r="42" spans="1:36" x14ac:dyDescent="0.15">
      <c r="A42" s="49" t="s">
        <v>112</v>
      </c>
      <c r="B42" s="60" t="s">
        <v>115</v>
      </c>
      <c r="C42" s="60" t="s">
        <v>109</v>
      </c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</row>
    <row r="43" spans="1:36" x14ac:dyDescent="0.15">
      <c r="A43" s="65">
        <v>-0.1</v>
      </c>
      <c r="B43" s="60">
        <v>216.21600000000001</v>
      </c>
      <c r="C43" s="60">
        <v>261081.12115733299</v>
      </c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</row>
    <row r="44" spans="1:36" x14ac:dyDescent="0.15">
      <c r="A44" s="65">
        <v>-0.05</v>
      </c>
      <c r="B44" s="60">
        <v>228.22800000000001</v>
      </c>
      <c r="C44" s="60">
        <v>253554.34881853589</v>
      </c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</row>
    <row r="45" spans="1:36" x14ac:dyDescent="0.15">
      <c r="A45" s="65">
        <v>0</v>
      </c>
      <c r="B45" s="60">
        <v>240.24000000000004</v>
      </c>
      <c r="C45" s="60">
        <v>246027.57647973878</v>
      </c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</row>
    <row r="46" spans="1:36" x14ac:dyDescent="0.15">
      <c r="A46" s="65">
        <v>0.05</v>
      </c>
      <c r="B46" s="60">
        <v>252.25200000000007</v>
      </c>
      <c r="C46" s="60">
        <v>238500.80414094168</v>
      </c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</row>
    <row r="47" spans="1:36" x14ac:dyDescent="0.15">
      <c r="A47" s="65">
        <v>0.1</v>
      </c>
      <c r="B47" s="60">
        <v>264.26400000000007</v>
      </c>
      <c r="C47" s="60">
        <v>230974.03180214463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</row>
    <row r="48" spans="1:36" x14ac:dyDescent="0.15"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</row>
    <row r="49" spans="1:36" x14ac:dyDescent="0.15">
      <c r="A49" s="49" t="s">
        <v>113</v>
      </c>
      <c r="B49" s="60" t="s">
        <v>93</v>
      </c>
      <c r="C49" s="60" t="s">
        <v>109</v>
      </c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</row>
    <row r="50" spans="1:36" x14ac:dyDescent="0.15">
      <c r="A50" s="65">
        <v>-0.1</v>
      </c>
      <c r="B50" s="65">
        <v>0.1</v>
      </c>
      <c r="C50" s="60">
        <v>246027.57647973878</v>
      </c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</row>
    <row r="51" spans="1:36" x14ac:dyDescent="0.15">
      <c r="A51" s="65">
        <v>-0.05</v>
      </c>
      <c r="B51" s="65">
        <v>0.15</v>
      </c>
      <c r="C51" s="60">
        <v>246027.57647973878</v>
      </c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</row>
    <row r="52" spans="1:36" x14ac:dyDescent="0.15">
      <c r="A52" s="65">
        <v>0</v>
      </c>
      <c r="B52" s="65">
        <v>0.2</v>
      </c>
      <c r="C52" s="60">
        <v>246027.57647973878</v>
      </c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</row>
    <row r="53" spans="1:36" x14ac:dyDescent="0.15">
      <c r="A53" s="65">
        <v>0.05</v>
      </c>
      <c r="B53" s="65">
        <v>0.25</v>
      </c>
      <c r="C53" s="60">
        <v>246027.57647973878</v>
      </c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</row>
    <row r="54" spans="1:36" x14ac:dyDescent="0.15">
      <c r="A54" s="65">
        <v>0.1</v>
      </c>
      <c r="B54" s="65">
        <v>0.3</v>
      </c>
      <c r="C54" s="60">
        <v>246027.57647973878</v>
      </c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</row>
    <row r="55" spans="1:36" x14ac:dyDescent="0.15">
      <c r="A55" s="61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</row>
    <row r="56" spans="1:36" x14ac:dyDescent="0.15">
      <c r="A56" s="49" t="s">
        <v>114</v>
      </c>
      <c r="B56" s="60"/>
      <c r="C56" s="60" t="s">
        <v>109</v>
      </c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</row>
    <row r="57" spans="1:36" x14ac:dyDescent="0.15">
      <c r="A57" s="65">
        <v>-0.1</v>
      </c>
      <c r="B57" s="60">
        <v>240084</v>
      </c>
      <c r="C57" s="60">
        <v>272703.57647973875</v>
      </c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</row>
    <row r="58" spans="1:36" x14ac:dyDescent="0.15">
      <c r="A58" s="65">
        <v>-0.05</v>
      </c>
      <c r="B58" s="60">
        <v>253422</v>
      </c>
      <c r="C58" s="60">
        <v>259365.57647973884</v>
      </c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</row>
    <row r="59" spans="1:36" x14ac:dyDescent="0.15">
      <c r="A59" s="65">
        <v>0</v>
      </c>
      <c r="B59" s="60">
        <v>266760</v>
      </c>
      <c r="C59" s="60">
        <v>246027.57647973878</v>
      </c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</row>
    <row r="60" spans="1:36" x14ac:dyDescent="0.15">
      <c r="A60" s="65">
        <v>0.05</v>
      </c>
      <c r="B60" s="60">
        <v>280098</v>
      </c>
      <c r="C60" s="60">
        <v>232689.57647973878</v>
      </c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</row>
    <row r="61" spans="1:36" x14ac:dyDescent="0.15">
      <c r="A61" s="65">
        <v>0.1</v>
      </c>
      <c r="B61" s="60">
        <v>293436</v>
      </c>
      <c r="C61" s="60">
        <v>219351.57647973884</v>
      </c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</row>
    <row r="62" spans="1:36" x14ac:dyDescent="0.15"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</row>
    <row r="63" spans="1:36" x14ac:dyDescent="0.15"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</row>
    <row r="64" spans="1:36" x14ac:dyDescent="0.15"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</row>
    <row r="65" spans="2:36" x14ac:dyDescent="0.15"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</row>
    <row r="66" spans="2:36" x14ac:dyDescent="0.15"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</row>
    <row r="67" spans="2:36" x14ac:dyDescent="0.15"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</row>
    <row r="68" spans="2:36" x14ac:dyDescent="0.15"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</row>
    <row r="69" spans="2:36" x14ac:dyDescent="0.15"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</row>
    <row r="70" spans="2:36" x14ac:dyDescent="0.15"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</row>
    <row r="71" spans="2:36" x14ac:dyDescent="0.15"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</row>
    <row r="72" spans="2:36" x14ac:dyDescent="0.15"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</row>
    <row r="73" spans="2:36" x14ac:dyDescent="0.15"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</row>
    <row r="74" spans="2:36" x14ac:dyDescent="0.15"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</row>
    <row r="75" spans="2:36" x14ac:dyDescent="0.15"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</row>
    <row r="76" spans="2:36" x14ac:dyDescent="0.15"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</row>
    <row r="77" spans="2:36" x14ac:dyDescent="0.15"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</row>
    <row r="78" spans="2:36" x14ac:dyDescent="0.15"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</row>
    <row r="79" spans="2:36" x14ac:dyDescent="0.15"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</row>
    <row r="80" spans="2:36" x14ac:dyDescent="0.15"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</row>
    <row r="81" spans="2:36" x14ac:dyDescent="0.15"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</row>
    <row r="82" spans="2:36" x14ac:dyDescent="0.15"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</row>
    <row r="83" spans="2:36" x14ac:dyDescent="0.15"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</row>
    <row r="84" spans="2:36" x14ac:dyDescent="0.15"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</row>
    <row r="85" spans="2:36" x14ac:dyDescent="0.15"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</row>
    <row r="86" spans="2:36" x14ac:dyDescent="0.15"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</row>
    <row r="87" spans="2:36" x14ac:dyDescent="0.15"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</row>
    <row r="88" spans="2:36" x14ac:dyDescent="0.15"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</row>
    <row r="89" spans="2:36" x14ac:dyDescent="0.15"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</row>
    <row r="90" spans="2:36" x14ac:dyDescent="0.15"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</row>
    <row r="91" spans="2:36" x14ac:dyDescent="0.15"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</row>
    <row r="92" spans="2:36" x14ac:dyDescent="0.15"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</row>
    <row r="93" spans="2:36" x14ac:dyDescent="0.15"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</row>
    <row r="94" spans="2:36" x14ac:dyDescent="0.15"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</row>
    <row r="95" spans="2:36" x14ac:dyDescent="0.15"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</row>
    <row r="96" spans="2:36" x14ac:dyDescent="0.15"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</row>
    <row r="97" spans="2:36" x14ac:dyDescent="0.15"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</row>
    <row r="98" spans="2:36" x14ac:dyDescent="0.15"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</row>
    <row r="99" spans="2:36" x14ac:dyDescent="0.15"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</row>
    <row r="100" spans="2:36" x14ac:dyDescent="0.15"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</row>
    <row r="101" spans="2:36" x14ac:dyDescent="0.15"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</row>
    <row r="102" spans="2:36" x14ac:dyDescent="0.15"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</row>
    <row r="103" spans="2:36" x14ac:dyDescent="0.15"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</row>
    <row r="104" spans="2:36" x14ac:dyDescent="0.15"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</row>
    <row r="105" spans="2:36" x14ac:dyDescent="0.15"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</row>
    <row r="106" spans="2:36" x14ac:dyDescent="0.15"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</row>
    <row r="107" spans="2:36" x14ac:dyDescent="0.15"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</row>
    <row r="108" spans="2:36" x14ac:dyDescent="0.15"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</row>
    <row r="109" spans="2:36" x14ac:dyDescent="0.15"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</row>
    <row r="110" spans="2:36" x14ac:dyDescent="0.15"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</row>
    <row r="111" spans="2:36" x14ac:dyDescent="0.15"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</row>
    <row r="112" spans="2:36" x14ac:dyDescent="0.15"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</row>
    <row r="113" spans="2:36" x14ac:dyDescent="0.15"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</row>
    <row r="114" spans="2:36" x14ac:dyDescent="0.15"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</row>
    <row r="115" spans="2:36" x14ac:dyDescent="0.15"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</row>
    <row r="116" spans="2:36" x14ac:dyDescent="0.15"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</row>
    <row r="117" spans="2:36" x14ac:dyDescent="0.15"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</row>
    <row r="118" spans="2:36" x14ac:dyDescent="0.15"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</row>
    <row r="119" spans="2:36" x14ac:dyDescent="0.15"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</row>
    <row r="120" spans="2:36" x14ac:dyDescent="0.15"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</row>
    <row r="121" spans="2:36" x14ac:dyDescent="0.15"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</row>
    <row r="122" spans="2:36" x14ac:dyDescent="0.15"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</row>
    <row r="123" spans="2:36" x14ac:dyDescent="0.15"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</row>
    <row r="124" spans="2:36" x14ac:dyDescent="0.15"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</row>
    <row r="125" spans="2:36" x14ac:dyDescent="0.15"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</row>
    <row r="126" spans="2:36" x14ac:dyDescent="0.15"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</row>
    <row r="127" spans="2:36" x14ac:dyDescent="0.15"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</row>
    <row r="128" spans="2:36" x14ac:dyDescent="0.15"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</row>
    <row r="129" spans="2:36" x14ac:dyDescent="0.15"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</row>
    <row r="130" spans="2:36" x14ac:dyDescent="0.15"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</row>
    <row r="131" spans="2:36" x14ac:dyDescent="0.15"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</row>
    <row r="132" spans="2:36" x14ac:dyDescent="0.15"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</row>
    <row r="133" spans="2:36" x14ac:dyDescent="0.15"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</row>
    <row r="134" spans="2:36" x14ac:dyDescent="0.15"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</row>
    <row r="135" spans="2:36" x14ac:dyDescent="0.15"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</row>
    <row r="136" spans="2:36" x14ac:dyDescent="0.15"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</row>
    <row r="137" spans="2:36" x14ac:dyDescent="0.15"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</row>
    <row r="138" spans="2:36" x14ac:dyDescent="0.15"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</row>
    <row r="139" spans="2:36" x14ac:dyDescent="0.15"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</row>
    <row r="140" spans="2:36" x14ac:dyDescent="0.15"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</row>
    <row r="141" spans="2:36" x14ac:dyDescent="0.15"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</row>
    <row r="142" spans="2:36" x14ac:dyDescent="0.15"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</row>
    <row r="143" spans="2:36" x14ac:dyDescent="0.15"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</row>
    <row r="144" spans="2:36" x14ac:dyDescent="0.15"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</row>
    <row r="145" spans="2:36" x14ac:dyDescent="0.15"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</row>
    <row r="146" spans="2:36" x14ac:dyDescent="0.15"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</row>
    <row r="147" spans="2:36" x14ac:dyDescent="0.15"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</row>
    <row r="148" spans="2:36" x14ac:dyDescent="0.15"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</row>
    <row r="149" spans="2:36" x14ac:dyDescent="0.15"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</row>
    <row r="150" spans="2:36" x14ac:dyDescent="0.15"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</row>
    <row r="151" spans="2:36" x14ac:dyDescent="0.15"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</row>
    <row r="152" spans="2:36" x14ac:dyDescent="0.15"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</row>
    <row r="153" spans="2:36" x14ac:dyDescent="0.15"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</row>
    <row r="154" spans="2:36" x14ac:dyDescent="0.15"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</row>
    <row r="155" spans="2:36" x14ac:dyDescent="0.15"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</row>
    <row r="156" spans="2:36" x14ac:dyDescent="0.15"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</row>
  </sheetData>
  <mergeCells count="5">
    <mergeCell ref="D15:G15"/>
    <mergeCell ref="D16:G16"/>
    <mergeCell ref="D17:G17"/>
    <mergeCell ref="D18:G18"/>
    <mergeCell ref="D19:G19"/>
  </mergeCells>
  <conditionalFormatting sqref="D4:D1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1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1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C1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E278B-92F4-4445-93E4-BBAF6E3D9E8D}">
  <sheetPr>
    <tabColor rgb="FFFF8AD8"/>
  </sheetPr>
  <dimension ref="A1:AR1000"/>
  <sheetViews>
    <sheetView showGridLines="0" topLeftCell="A9" zoomScale="89" workbookViewId="0">
      <selection activeCell="C31" sqref="C31"/>
    </sheetView>
  </sheetViews>
  <sheetFormatPr baseColWidth="10" defaultColWidth="14.5" defaultRowHeight="15.75" customHeight="1" x14ac:dyDescent="0.15"/>
  <cols>
    <col min="1" max="1" width="2.6640625" customWidth="1"/>
    <col min="2" max="2" width="46.83203125" customWidth="1"/>
    <col min="3" max="3" width="13.33203125" customWidth="1"/>
    <col min="4" max="4" width="8.6640625" bestFit="1" customWidth="1"/>
    <col min="5" max="5" width="13.1640625" customWidth="1"/>
    <col min="6" max="6" width="32.5" customWidth="1"/>
    <col min="7" max="42" width="10.6640625" customWidth="1"/>
  </cols>
  <sheetData>
    <row r="1" spans="1:44" ht="7.5" customHeight="1" x14ac:dyDescent="0.1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4" ht="12.75" customHeight="1" x14ac:dyDescent="0.15">
      <c r="A2" s="1"/>
      <c r="B2" s="1"/>
      <c r="C2" s="3"/>
      <c r="D2" s="1"/>
      <c r="E2" s="1"/>
      <c r="F2" s="1"/>
      <c r="G2" s="4"/>
      <c r="H2" s="5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4" ht="7.5" customHeight="1" x14ac:dyDescent="0.15">
      <c r="A3" s="1"/>
      <c r="B3" s="3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4" ht="15" customHeight="1" x14ac:dyDescent="0.15">
      <c r="A4" s="6"/>
      <c r="B4" s="6"/>
      <c r="C4" s="7"/>
      <c r="D4" s="6"/>
      <c r="E4" s="6"/>
      <c r="F4" s="8"/>
      <c r="G4" s="9">
        <v>1</v>
      </c>
      <c r="H4" s="9">
        <v>2</v>
      </c>
      <c r="I4" s="9">
        <v>3</v>
      </c>
      <c r="J4" s="9">
        <v>4</v>
      </c>
      <c r="K4" s="9">
        <v>5</v>
      </c>
      <c r="L4" s="9">
        <v>6</v>
      </c>
      <c r="M4" s="9">
        <v>7</v>
      </c>
      <c r="N4" s="9">
        <v>8</v>
      </c>
      <c r="O4" s="9">
        <v>9</v>
      </c>
      <c r="P4" s="9">
        <v>10</v>
      </c>
      <c r="Q4" s="9">
        <v>11</v>
      </c>
      <c r="R4" s="9">
        <v>12</v>
      </c>
      <c r="S4" s="9">
        <v>13</v>
      </c>
      <c r="T4" s="9">
        <v>14</v>
      </c>
      <c r="U4" s="9">
        <v>15</v>
      </c>
      <c r="V4" s="9">
        <v>16</v>
      </c>
      <c r="W4" s="9">
        <v>17</v>
      </c>
      <c r="X4" s="9">
        <v>18</v>
      </c>
      <c r="Y4" s="9">
        <v>19</v>
      </c>
      <c r="Z4" s="9">
        <v>20</v>
      </c>
      <c r="AA4" s="9">
        <v>21</v>
      </c>
      <c r="AB4" s="9">
        <v>22</v>
      </c>
      <c r="AC4" s="9">
        <v>23</v>
      </c>
      <c r="AD4" s="9">
        <v>24</v>
      </c>
      <c r="AE4" s="9">
        <v>25</v>
      </c>
      <c r="AF4" s="9">
        <v>26</v>
      </c>
      <c r="AG4" s="9">
        <v>27</v>
      </c>
      <c r="AH4" s="9">
        <v>28</v>
      </c>
      <c r="AI4" s="9">
        <v>29</v>
      </c>
      <c r="AJ4" s="9">
        <v>30</v>
      </c>
      <c r="AK4" s="9">
        <v>31</v>
      </c>
      <c r="AL4" s="9">
        <v>32</v>
      </c>
      <c r="AM4" s="9">
        <v>33</v>
      </c>
      <c r="AN4" s="9">
        <v>34</v>
      </c>
      <c r="AO4" s="9">
        <v>35</v>
      </c>
      <c r="AP4" s="9">
        <v>36</v>
      </c>
      <c r="AQ4" s="9">
        <v>37</v>
      </c>
      <c r="AR4" s="9">
        <v>38</v>
      </c>
    </row>
    <row r="5" spans="1:44" ht="12.75" customHeight="1" x14ac:dyDescent="0.15">
      <c r="A5" s="1"/>
      <c r="B5" s="15" t="s">
        <v>77</v>
      </c>
      <c r="C5" s="2" t="s">
        <v>83</v>
      </c>
      <c r="D5" s="1"/>
      <c r="E5" s="1"/>
      <c r="F5" s="1"/>
      <c r="G5" s="10">
        <v>1</v>
      </c>
      <c r="H5" s="10">
        <v>2</v>
      </c>
      <c r="I5" s="10">
        <v>3</v>
      </c>
      <c r="J5" s="10">
        <v>4</v>
      </c>
      <c r="K5" s="10">
        <v>5</v>
      </c>
      <c r="L5" s="10">
        <v>6</v>
      </c>
      <c r="M5" s="10">
        <v>7</v>
      </c>
      <c r="N5" s="10">
        <v>8</v>
      </c>
      <c r="O5" s="10">
        <v>9</v>
      </c>
      <c r="P5" s="10">
        <v>10</v>
      </c>
      <c r="Q5" s="10">
        <v>11</v>
      </c>
      <c r="R5" s="10">
        <v>12</v>
      </c>
      <c r="S5" s="10">
        <v>13</v>
      </c>
      <c r="T5" s="10">
        <v>14</v>
      </c>
      <c r="U5" s="10">
        <v>15</v>
      </c>
      <c r="V5" s="10">
        <v>16</v>
      </c>
      <c r="W5" s="10">
        <v>17</v>
      </c>
      <c r="X5" s="10">
        <v>18</v>
      </c>
      <c r="Y5" s="10">
        <v>19</v>
      </c>
      <c r="Z5" s="10">
        <v>20</v>
      </c>
      <c r="AA5" s="10">
        <v>21</v>
      </c>
      <c r="AB5" s="10">
        <v>22</v>
      </c>
      <c r="AC5" s="10">
        <v>23</v>
      </c>
      <c r="AD5" s="10">
        <f t="shared" ref="AD5:AR5" si="0">AD4</f>
        <v>24</v>
      </c>
      <c r="AE5" s="10">
        <f t="shared" si="0"/>
        <v>25</v>
      </c>
      <c r="AF5" s="10">
        <f t="shared" si="0"/>
        <v>26</v>
      </c>
      <c r="AG5" s="10">
        <f t="shared" si="0"/>
        <v>27</v>
      </c>
      <c r="AH5" s="10">
        <f t="shared" si="0"/>
        <v>28</v>
      </c>
      <c r="AI5" s="10">
        <f t="shared" si="0"/>
        <v>29</v>
      </c>
      <c r="AJ5" s="10">
        <f t="shared" si="0"/>
        <v>30</v>
      </c>
      <c r="AK5" s="10">
        <f t="shared" si="0"/>
        <v>31</v>
      </c>
      <c r="AL5" s="10">
        <f t="shared" si="0"/>
        <v>32</v>
      </c>
      <c r="AM5" s="10">
        <f t="shared" si="0"/>
        <v>33</v>
      </c>
      <c r="AN5" s="10">
        <f t="shared" si="0"/>
        <v>34</v>
      </c>
      <c r="AO5" s="10">
        <f t="shared" si="0"/>
        <v>35</v>
      </c>
      <c r="AP5" s="10">
        <f t="shared" si="0"/>
        <v>36</v>
      </c>
      <c r="AQ5" s="10">
        <f t="shared" si="0"/>
        <v>37</v>
      </c>
      <c r="AR5" s="10">
        <f t="shared" si="0"/>
        <v>38</v>
      </c>
    </row>
    <row r="6" spans="1:44" ht="12.75" customHeight="1" x14ac:dyDescent="0.15">
      <c r="A6" s="1"/>
      <c r="B6" s="48" t="s">
        <v>78</v>
      </c>
      <c r="C6" s="1"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ht="12.75" customHeight="1" x14ac:dyDescent="0.15">
      <c r="A7" s="1"/>
      <c r="B7" s="48" t="s">
        <v>79</v>
      </c>
      <c r="C7" s="1">
        <v>0</v>
      </c>
      <c r="D7" s="1"/>
      <c r="E7" s="1"/>
      <c r="F7" s="11" t="s">
        <v>1</v>
      </c>
      <c r="G7" s="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</row>
    <row r="8" spans="1:44" ht="12.75" customHeight="1" x14ac:dyDescent="0.15">
      <c r="A8" s="1"/>
      <c r="B8" s="48" t="s">
        <v>80</v>
      </c>
      <c r="C8" s="1">
        <v>0</v>
      </c>
      <c r="D8" s="1"/>
      <c r="E8" s="1"/>
      <c r="F8" s="13" t="s">
        <v>2</v>
      </c>
      <c r="G8" s="14"/>
      <c r="H8" s="14">
        <v>10000</v>
      </c>
      <c r="I8" s="14">
        <f>H8*107%</f>
        <v>10700</v>
      </c>
      <c r="J8" s="14">
        <f t="shared" ref="J8:R8" si="1">I8*105%</f>
        <v>11235</v>
      </c>
      <c r="K8" s="14">
        <f t="shared" si="1"/>
        <v>11796.75</v>
      </c>
      <c r="L8" s="14">
        <f t="shared" si="1"/>
        <v>12386.5875</v>
      </c>
      <c r="M8" s="14">
        <f t="shared" si="1"/>
        <v>13005.916875000001</v>
      </c>
      <c r="N8" s="14">
        <f t="shared" si="1"/>
        <v>13656.212718750001</v>
      </c>
      <c r="O8" s="14">
        <f t="shared" si="1"/>
        <v>14339.023354687502</v>
      </c>
      <c r="P8" s="14">
        <f t="shared" si="1"/>
        <v>15055.974522421879</v>
      </c>
      <c r="Q8" s="14">
        <f t="shared" si="1"/>
        <v>15808.773248542973</v>
      </c>
      <c r="R8" s="14">
        <f t="shared" si="1"/>
        <v>16599.211910970123</v>
      </c>
      <c r="S8" s="14">
        <f t="shared" ref="S8:AR8" si="2">R8*102%</f>
        <v>16931.196149189527</v>
      </c>
      <c r="T8" s="14">
        <f t="shared" si="2"/>
        <v>17269.820072173319</v>
      </c>
      <c r="U8" s="14">
        <f t="shared" si="2"/>
        <v>17615.216473616787</v>
      </c>
      <c r="V8" s="14">
        <f t="shared" si="2"/>
        <v>17967.520803089123</v>
      </c>
      <c r="W8" s="14">
        <f t="shared" si="2"/>
        <v>18326.871219150904</v>
      </c>
      <c r="X8" s="14">
        <f t="shared" si="2"/>
        <v>18693.408643533923</v>
      </c>
      <c r="Y8" s="14">
        <f t="shared" si="2"/>
        <v>19067.276816404603</v>
      </c>
      <c r="Z8" s="14">
        <f t="shared" si="2"/>
        <v>19448.622352732695</v>
      </c>
      <c r="AA8" s="14">
        <f t="shared" si="2"/>
        <v>19837.594799787348</v>
      </c>
      <c r="AB8" s="14">
        <f t="shared" si="2"/>
        <v>20234.346695783097</v>
      </c>
      <c r="AC8" s="14">
        <f t="shared" si="2"/>
        <v>20639.033629698759</v>
      </c>
      <c r="AD8" s="14">
        <f t="shared" si="2"/>
        <v>21051.814302292736</v>
      </c>
      <c r="AE8" s="14">
        <f t="shared" si="2"/>
        <v>21472.850588338591</v>
      </c>
      <c r="AF8" s="14">
        <f t="shared" si="2"/>
        <v>21902.307600105363</v>
      </c>
      <c r="AG8" s="14">
        <f t="shared" si="2"/>
        <v>22340.353752107472</v>
      </c>
      <c r="AH8" s="14">
        <f t="shared" si="2"/>
        <v>22787.160827149622</v>
      </c>
      <c r="AI8" s="14">
        <f t="shared" si="2"/>
        <v>23242.904043692615</v>
      </c>
      <c r="AJ8" s="14">
        <f t="shared" si="2"/>
        <v>23707.762124566467</v>
      </c>
      <c r="AK8" s="14">
        <f t="shared" si="2"/>
        <v>24181.917367057795</v>
      </c>
      <c r="AL8" s="14">
        <f t="shared" si="2"/>
        <v>24665.55571439895</v>
      </c>
      <c r="AM8" s="14">
        <f t="shared" si="2"/>
        <v>25158.866828686929</v>
      </c>
      <c r="AN8" s="14">
        <f t="shared" si="2"/>
        <v>25662.044165260668</v>
      </c>
      <c r="AO8" s="14">
        <f t="shared" si="2"/>
        <v>26175.285048565882</v>
      </c>
      <c r="AP8" s="14">
        <f t="shared" si="2"/>
        <v>26698.790749537198</v>
      </c>
      <c r="AQ8" s="14">
        <f t="shared" si="2"/>
        <v>27232.766564527941</v>
      </c>
      <c r="AR8" s="14">
        <f t="shared" si="2"/>
        <v>27777.421895818501</v>
      </c>
    </row>
    <row r="9" spans="1:44" ht="12.75" customHeight="1" x14ac:dyDescent="0.15">
      <c r="A9" s="1"/>
      <c r="B9" s="48" t="s">
        <v>81</v>
      </c>
      <c r="C9" s="1">
        <v>0</v>
      </c>
      <c r="D9" s="1"/>
      <c r="E9" s="4">
        <v>0.3</v>
      </c>
      <c r="F9" s="1" t="s">
        <v>3</v>
      </c>
      <c r="G9" s="2"/>
      <c r="H9" s="2">
        <f>H8*$E$9</f>
        <v>3000</v>
      </c>
      <c r="I9" s="2">
        <f>I8*$E$9</f>
        <v>3210</v>
      </c>
      <c r="J9" s="2">
        <f>J8*$E$9</f>
        <v>3370.5</v>
      </c>
      <c r="K9" s="2">
        <f t="shared" ref="K9:AR9" si="3">K8*$E$9</f>
        <v>3539.0250000000001</v>
      </c>
      <c r="L9" s="2">
        <f t="shared" si="3"/>
        <v>3715.9762499999997</v>
      </c>
      <c r="M9" s="2">
        <f t="shared" si="3"/>
        <v>3901.7750624999999</v>
      </c>
      <c r="N9" s="2">
        <f t="shared" si="3"/>
        <v>4096.8638156249999</v>
      </c>
      <c r="O9" s="2">
        <f t="shared" si="3"/>
        <v>4301.7070064062509</v>
      </c>
      <c r="P9" s="2">
        <f t="shared" si="3"/>
        <v>4516.7923567265634</v>
      </c>
      <c r="Q9" s="2">
        <f t="shared" si="3"/>
        <v>4742.6319745628916</v>
      </c>
      <c r="R9" s="2">
        <f t="shared" si="3"/>
        <v>4979.7635732910367</v>
      </c>
      <c r="S9" s="2">
        <f t="shared" si="3"/>
        <v>5079.3588447568582</v>
      </c>
      <c r="T9" s="2">
        <f t="shared" si="3"/>
        <v>5180.9460216519956</v>
      </c>
      <c r="U9" s="2">
        <f t="shared" si="3"/>
        <v>5284.5649420850359</v>
      </c>
      <c r="V9" s="2">
        <f t="shared" si="3"/>
        <v>5390.2562409267366</v>
      </c>
      <c r="W9" s="2">
        <f t="shared" si="3"/>
        <v>5498.0613657452714</v>
      </c>
      <c r="X9" s="2">
        <f t="shared" si="3"/>
        <v>5608.0225930601764</v>
      </c>
      <c r="Y9" s="2">
        <f t="shared" si="3"/>
        <v>5720.1830449213803</v>
      </c>
      <c r="Z9" s="2">
        <f t="shared" si="3"/>
        <v>5834.5867058198082</v>
      </c>
      <c r="AA9" s="2">
        <f t="shared" si="3"/>
        <v>5951.2784399362044</v>
      </c>
      <c r="AB9" s="2">
        <f t="shared" si="3"/>
        <v>6070.3040087349291</v>
      </c>
      <c r="AC9" s="2">
        <f t="shared" si="3"/>
        <v>6191.7100889096273</v>
      </c>
      <c r="AD9" s="2">
        <f t="shared" si="3"/>
        <v>6315.5442906878206</v>
      </c>
      <c r="AE9" s="2">
        <f t="shared" si="3"/>
        <v>6441.8551765015773</v>
      </c>
      <c r="AF9" s="2">
        <f t="shared" si="3"/>
        <v>6570.6922800316088</v>
      </c>
      <c r="AG9" s="2">
        <f t="shared" si="3"/>
        <v>6702.1061256322419</v>
      </c>
      <c r="AH9" s="2">
        <f t="shared" si="3"/>
        <v>6836.1482481448866</v>
      </c>
      <c r="AI9" s="2">
        <f t="shared" si="3"/>
        <v>6972.8712131077846</v>
      </c>
      <c r="AJ9" s="2">
        <f t="shared" si="3"/>
        <v>7112.3286373699402</v>
      </c>
      <c r="AK9" s="2">
        <f t="shared" si="3"/>
        <v>7254.5752101173384</v>
      </c>
      <c r="AL9" s="2">
        <f t="shared" si="3"/>
        <v>7399.6667143196846</v>
      </c>
      <c r="AM9" s="2">
        <f t="shared" si="3"/>
        <v>7547.6600486060779</v>
      </c>
      <c r="AN9" s="2">
        <f t="shared" si="3"/>
        <v>7698.6132495782003</v>
      </c>
      <c r="AO9" s="2">
        <f t="shared" si="3"/>
        <v>7852.5855145697642</v>
      </c>
      <c r="AP9" s="2">
        <f t="shared" si="3"/>
        <v>8009.6372248611588</v>
      </c>
      <c r="AQ9" s="2">
        <f t="shared" si="3"/>
        <v>8169.8299693583822</v>
      </c>
      <c r="AR9" s="2">
        <f t="shared" si="3"/>
        <v>8333.2265687455492</v>
      </c>
    </row>
    <row r="10" spans="1:44" ht="12.75" customHeight="1" x14ac:dyDescent="0.15">
      <c r="A10" s="15"/>
      <c r="B10" s="48" t="s">
        <v>82</v>
      </c>
      <c r="C10" s="1">
        <v>1</v>
      </c>
      <c r="D10" s="15"/>
      <c r="E10" s="4">
        <v>0.1</v>
      </c>
      <c r="F10" s="13" t="s">
        <v>4</v>
      </c>
      <c r="G10" s="2"/>
      <c r="H10" s="2">
        <f t="shared" ref="H10:AR10" si="4">H9*$E$10</f>
        <v>300</v>
      </c>
      <c r="I10" s="2">
        <f t="shared" si="4"/>
        <v>321</v>
      </c>
      <c r="J10" s="2">
        <f t="shared" si="4"/>
        <v>337.05</v>
      </c>
      <c r="K10" s="2">
        <f t="shared" si="4"/>
        <v>353.90250000000003</v>
      </c>
      <c r="L10" s="2">
        <f t="shared" si="4"/>
        <v>371.59762499999999</v>
      </c>
      <c r="M10" s="2">
        <f t="shared" si="4"/>
        <v>390.17750625000002</v>
      </c>
      <c r="N10" s="2">
        <f t="shared" si="4"/>
        <v>409.6863815625</v>
      </c>
      <c r="O10" s="2">
        <f t="shared" si="4"/>
        <v>430.17070064062511</v>
      </c>
      <c r="P10" s="2">
        <f t="shared" si="4"/>
        <v>451.67923567265638</v>
      </c>
      <c r="Q10" s="2">
        <f t="shared" si="4"/>
        <v>474.26319745628916</v>
      </c>
      <c r="R10" s="2">
        <f t="shared" si="4"/>
        <v>497.97635732910368</v>
      </c>
      <c r="S10" s="2">
        <f t="shared" si="4"/>
        <v>507.93588447568584</v>
      </c>
      <c r="T10" s="2">
        <f t="shared" si="4"/>
        <v>518.0946021651996</v>
      </c>
      <c r="U10" s="2">
        <f t="shared" si="4"/>
        <v>528.45649420850361</v>
      </c>
      <c r="V10" s="2">
        <f t="shared" si="4"/>
        <v>539.02562409267364</v>
      </c>
      <c r="W10" s="2">
        <f t="shared" si="4"/>
        <v>549.80613657452716</v>
      </c>
      <c r="X10" s="2">
        <f t="shared" si="4"/>
        <v>560.80225930601762</v>
      </c>
      <c r="Y10" s="2">
        <f t="shared" si="4"/>
        <v>572.0183044921381</v>
      </c>
      <c r="Z10" s="2">
        <f t="shared" si="4"/>
        <v>583.45867058198087</v>
      </c>
      <c r="AA10" s="2">
        <f t="shared" si="4"/>
        <v>595.12784399362044</v>
      </c>
      <c r="AB10" s="2">
        <f t="shared" si="4"/>
        <v>607.03040087349291</v>
      </c>
      <c r="AC10" s="2">
        <f t="shared" si="4"/>
        <v>619.17100889096275</v>
      </c>
      <c r="AD10" s="2">
        <f t="shared" si="4"/>
        <v>631.55442906878216</v>
      </c>
      <c r="AE10" s="2">
        <f t="shared" si="4"/>
        <v>644.18551765015775</v>
      </c>
      <c r="AF10" s="2">
        <f t="shared" si="4"/>
        <v>657.0692280031609</v>
      </c>
      <c r="AG10" s="2">
        <f t="shared" si="4"/>
        <v>670.21061256322423</v>
      </c>
      <c r="AH10" s="2">
        <f t="shared" si="4"/>
        <v>683.61482481448866</v>
      </c>
      <c r="AI10" s="2">
        <f t="shared" si="4"/>
        <v>697.2871213107785</v>
      </c>
      <c r="AJ10" s="2">
        <f t="shared" si="4"/>
        <v>711.23286373699409</v>
      </c>
      <c r="AK10" s="2">
        <f t="shared" si="4"/>
        <v>725.45752101173389</v>
      </c>
      <c r="AL10" s="2">
        <f t="shared" si="4"/>
        <v>739.96667143196851</v>
      </c>
      <c r="AM10" s="2">
        <f t="shared" si="4"/>
        <v>754.76600486060784</v>
      </c>
      <c r="AN10" s="2">
        <f t="shared" si="4"/>
        <v>769.8613249578201</v>
      </c>
      <c r="AO10" s="2">
        <f t="shared" si="4"/>
        <v>785.25855145697642</v>
      </c>
      <c r="AP10" s="2">
        <f t="shared" si="4"/>
        <v>800.9637224861159</v>
      </c>
      <c r="AQ10" s="2">
        <f t="shared" si="4"/>
        <v>816.98299693583829</v>
      </c>
      <c r="AR10" s="2">
        <f t="shared" si="4"/>
        <v>833.32265687455492</v>
      </c>
    </row>
    <row r="11" spans="1:44" ht="12.75" customHeight="1" x14ac:dyDescent="0.15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12.75" customHeight="1" x14ac:dyDescent="0.15">
      <c r="A12" s="1"/>
      <c r="B12" s="16" t="s">
        <v>98</v>
      </c>
      <c r="C12" s="17"/>
      <c r="D12" s="1"/>
      <c r="E12" s="1"/>
      <c r="F12" s="11" t="s">
        <v>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12.75" customHeight="1" x14ac:dyDescent="0.15">
      <c r="A13" s="1"/>
      <c r="B13" s="16"/>
      <c r="C13" s="17"/>
      <c r="D13" s="1"/>
      <c r="E13" s="1"/>
      <c r="F13" s="13" t="s">
        <v>6</v>
      </c>
      <c r="G13" s="14"/>
      <c r="H13" s="14">
        <v>1500</v>
      </c>
      <c r="I13" s="14">
        <f t="shared" ref="I13:R13" si="5">H13*105%</f>
        <v>1575</v>
      </c>
      <c r="J13" s="14">
        <f t="shared" si="5"/>
        <v>1653.75</v>
      </c>
      <c r="K13" s="14">
        <f t="shared" si="5"/>
        <v>1736.4375</v>
      </c>
      <c r="L13" s="14">
        <f t="shared" si="5"/>
        <v>1823.2593750000001</v>
      </c>
      <c r="M13" s="14">
        <f t="shared" si="5"/>
        <v>1914.4223437500002</v>
      </c>
      <c r="N13" s="14">
        <f t="shared" si="5"/>
        <v>2010.1434609375003</v>
      </c>
      <c r="O13" s="14">
        <f t="shared" si="5"/>
        <v>2110.6506339843754</v>
      </c>
      <c r="P13" s="14">
        <f t="shared" si="5"/>
        <v>2216.1831656835943</v>
      </c>
      <c r="Q13" s="14">
        <f t="shared" si="5"/>
        <v>2326.9923239677742</v>
      </c>
      <c r="R13" s="14">
        <f t="shared" si="5"/>
        <v>2443.3419401661631</v>
      </c>
      <c r="S13" s="14">
        <f t="shared" ref="S13:AC13" si="6">R13*100.5%</f>
        <v>2455.5586498669936</v>
      </c>
      <c r="T13" s="14">
        <f t="shared" si="6"/>
        <v>2467.8364431163282</v>
      </c>
      <c r="U13" s="14">
        <f t="shared" si="6"/>
        <v>2480.1756253319095</v>
      </c>
      <c r="V13" s="14">
        <f t="shared" si="6"/>
        <v>2492.5765034585688</v>
      </c>
      <c r="W13" s="14">
        <f t="shared" si="6"/>
        <v>2505.0393859758615</v>
      </c>
      <c r="X13" s="14">
        <f t="shared" si="6"/>
        <v>2517.5645829057407</v>
      </c>
      <c r="Y13" s="14">
        <f t="shared" si="6"/>
        <v>2530.152405820269</v>
      </c>
      <c r="Z13" s="14">
        <f t="shared" si="6"/>
        <v>2542.8031678493699</v>
      </c>
      <c r="AA13" s="14">
        <f t="shared" si="6"/>
        <v>2555.5171836886166</v>
      </c>
      <c r="AB13" s="14">
        <f t="shared" si="6"/>
        <v>2568.2947696070596</v>
      </c>
      <c r="AC13" s="14">
        <f t="shared" si="6"/>
        <v>2581.1362434550947</v>
      </c>
      <c r="AD13" s="14">
        <f t="shared" ref="AD13:AR13" si="7">AC13*100.1%</f>
        <v>2583.7173796985494</v>
      </c>
      <c r="AE13" s="14">
        <f t="shared" si="7"/>
        <v>2586.3010970782475</v>
      </c>
      <c r="AF13" s="14">
        <f t="shared" si="7"/>
        <v>2588.8873981753254</v>
      </c>
      <c r="AG13" s="14">
        <f t="shared" si="7"/>
        <v>2591.4762855735003</v>
      </c>
      <c r="AH13" s="14">
        <f t="shared" si="7"/>
        <v>2594.0677618590735</v>
      </c>
      <c r="AI13" s="14">
        <f t="shared" si="7"/>
        <v>2596.6618296209322</v>
      </c>
      <c r="AJ13" s="14">
        <f t="shared" si="7"/>
        <v>2599.2584914505528</v>
      </c>
      <c r="AK13" s="14">
        <f t="shared" si="7"/>
        <v>2601.857749942003</v>
      </c>
      <c r="AL13" s="14">
        <f t="shared" si="7"/>
        <v>2604.4596076919447</v>
      </c>
      <c r="AM13" s="14">
        <f t="shared" si="7"/>
        <v>2607.0640672996365</v>
      </c>
      <c r="AN13" s="14">
        <f t="shared" si="7"/>
        <v>2609.6711313669357</v>
      </c>
      <c r="AO13" s="14">
        <f t="shared" si="7"/>
        <v>2612.2808024983024</v>
      </c>
      <c r="AP13" s="14">
        <f t="shared" si="7"/>
        <v>2614.8930833008003</v>
      </c>
      <c r="AQ13" s="14">
        <f t="shared" si="7"/>
        <v>2617.5079763841009</v>
      </c>
      <c r="AR13" s="14">
        <f t="shared" si="7"/>
        <v>2620.1254843604847</v>
      </c>
    </row>
    <row r="14" spans="1:44" ht="12.75" customHeight="1" x14ac:dyDescent="0.15">
      <c r="A14" s="1"/>
      <c r="B14" s="16"/>
      <c r="C14" s="17"/>
      <c r="D14" s="1"/>
      <c r="E14" s="4">
        <v>0.9</v>
      </c>
      <c r="F14" s="1" t="s">
        <v>3</v>
      </c>
      <c r="G14" s="2"/>
      <c r="H14" s="2">
        <f t="shared" ref="H14:AR14" si="8">H13*$E$14</f>
        <v>1350</v>
      </c>
      <c r="I14" s="2">
        <f t="shared" si="8"/>
        <v>1417.5</v>
      </c>
      <c r="J14" s="2">
        <f t="shared" si="8"/>
        <v>1488.375</v>
      </c>
      <c r="K14" s="2">
        <f t="shared" si="8"/>
        <v>1562.79375</v>
      </c>
      <c r="L14" s="2">
        <f t="shared" si="8"/>
        <v>1640.9334375000001</v>
      </c>
      <c r="M14" s="2">
        <f t="shared" si="8"/>
        <v>1722.9801093750002</v>
      </c>
      <c r="N14" s="2">
        <f t="shared" si="8"/>
        <v>1809.1291148437504</v>
      </c>
      <c r="O14" s="2">
        <f t="shared" si="8"/>
        <v>1899.5855705859378</v>
      </c>
      <c r="P14" s="2">
        <f t="shared" si="8"/>
        <v>1994.5648491152349</v>
      </c>
      <c r="Q14" s="2">
        <f t="shared" si="8"/>
        <v>2094.2930915709967</v>
      </c>
      <c r="R14" s="2">
        <f t="shared" si="8"/>
        <v>2199.0077461495471</v>
      </c>
      <c r="S14" s="2">
        <f t="shared" si="8"/>
        <v>2210.0027848802943</v>
      </c>
      <c r="T14" s="2">
        <f t="shared" si="8"/>
        <v>2221.0527988046956</v>
      </c>
      <c r="U14" s="2">
        <f t="shared" si="8"/>
        <v>2232.1580627987187</v>
      </c>
      <c r="V14" s="2">
        <f t="shared" si="8"/>
        <v>2243.3188531127121</v>
      </c>
      <c r="W14" s="2">
        <f t="shared" si="8"/>
        <v>2254.5354473782754</v>
      </c>
      <c r="X14" s="2">
        <f t="shared" si="8"/>
        <v>2265.8081246151669</v>
      </c>
      <c r="Y14" s="2">
        <f t="shared" si="8"/>
        <v>2277.1371652382422</v>
      </c>
      <c r="Z14" s="2">
        <f t="shared" si="8"/>
        <v>2288.5228510644329</v>
      </c>
      <c r="AA14" s="2">
        <f t="shared" si="8"/>
        <v>2299.9654653197549</v>
      </c>
      <c r="AB14" s="2">
        <f t="shared" si="8"/>
        <v>2311.4652926463536</v>
      </c>
      <c r="AC14" s="2">
        <f t="shared" si="8"/>
        <v>2323.0226191095853</v>
      </c>
      <c r="AD14" s="2">
        <f t="shared" si="8"/>
        <v>2325.3456417286943</v>
      </c>
      <c r="AE14" s="2">
        <f t="shared" si="8"/>
        <v>2327.6709873704226</v>
      </c>
      <c r="AF14" s="2">
        <f t="shared" si="8"/>
        <v>2329.9986583577929</v>
      </c>
      <c r="AG14" s="2">
        <f t="shared" si="8"/>
        <v>2332.3286570161504</v>
      </c>
      <c r="AH14" s="2">
        <f t="shared" si="8"/>
        <v>2334.6609856731661</v>
      </c>
      <c r="AI14" s="2">
        <f t="shared" si="8"/>
        <v>2336.9956466588392</v>
      </c>
      <c r="AJ14" s="2">
        <f t="shared" si="8"/>
        <v>2339.3326423054978</v>
      </c>
      <c r="AK14" s="2">
        <f t="shared" si="8"/>
        <v>2341.6719749478029</v>
      </c>
      <c r="AL14" s="2">
        <f t="shared" si="8"/>
        <v>2344.0136469227505</v>
      </c>
      <c r="AM14" s="2">
        <f t="shared" si="8"/>
        <v>2346.357660569673</v>
      </c>
      <c r="AN14" s="2">
        <f t="shared" si="8"/>
        <v>2348.7040182302421</v>
      </c>
      <c r="AO14" s="2">
        <f t="shared" si="8"/>
        <v>2351.052722248472</v>
      </c>
      <c r="AP14" s="2">
        <f t="shared" si="8"/>
        <v>2353.4037749707204</v>
      </c>
      <c r="AQ14" s="2">
        <f t="shared" si="8"/>
        <v>2355.7571787456909</v>
      </c>
      <c r="AR14" s="2">
        <f t="shared" si="8"/>
        <v>2358.1129359244364</v>
      </c>
    </row>
    <row r="15" spans="1:44" ht="12.75" customHeight="1" x14ac:dyDescent="0.15">
      <c r="A15" s="1"/>
      <c r="B15" s="16"/>
      <c r="C15" s="17"/>
      <c r="D15" s="1"/>
      <c r="E15" s="4">
        <v>0.3</v>
      </c>
      <c r="F15" s="13" t="s">
        <v>4</v>
      </c>
      <c r="G15" s="2"/>
      <c r="H15" s="2">
        <f t="shared" ref="H15:AR15" si="9">H14*$E$15</f>
        <v>405</v>
      </c>
      <c r="I15" s="2">
        <f t="shared" si="9"/>
        <v>425.25</v>
      </c>
      <c r="J15" s="2">
        <f t="shared" si="9"/>
        <v>446.51249999999999</v>
      </c>
      <c r="K15" s="2">
        <f t="shared" si="9"/>
        <v>468.83812499999999</v>
      </c>
      <c r="L15" s="2">
        <f t="shared" si="9"/>
        <v>492.28003124999998</v>
      </c>
      <c r="M15" s="2">
        <f t="shared" si="9"/>
        <v>516.89403281250009</v>
      </c>
      <c r="N15" s="2">
        <f t="shared" si="9"/>
        <v>542.73873445312506</v>
      </c>
      <c r="O15" s="2">
        <f t="shared" si="9"/>
        <v>569.87567117578135</v>
      </c>
      <c r="P15" s="2">
        <f t="shared" si="9"/>
        <v>598.36945473457047</v>
      </c>
      <c r="Q15" s="2">
        <f t="shared" si="9"/>
        <v>628.28792747129899</v>
      </c>
      <c r="R15" s="2">
        <f t="shared" si="9"/>
        <v>659.70232384486405</v>
      </c>
      <c r="S15" s="2">
        <f t="shared" si="9"/>
        <v>663.00083546408825</v>
      </c>
      <c r="T15" s="2">
        <f t="shared" si="9"/>
        <v>666.31583964140862</v>
      </c>
      <c r="U15" s="2">
        <f t="shared" si="9"/>
        <v>669.64741883961563</v>
      </c>
      <c r="V15" s="2">
        <f t="shared" si="9"/>
        <v>672.99565593381362</v>
      </c>
      <c r="W15" s="2">
        <f t="shared" si="9"/>
        <v>676.36063421348263</v>
      </c>
      <c r="X15" s="2">
        <f t="shared" si="9"/>
        <v>679.74243738455004</v>
      </c>
      <c r="Y15" s="2">
        <f t="shared" si="9"/>
        <v>683.14114957147262</v>
      </c>
      <c r="Z15" s="2">
        <f t="shared" si="9"/>
        <v>686.55685531932988</v>
      </c>
      <c r="AA15" s="2">
        <f t="shared" si="9"/>
        <v>689.98963959592641</v>
      </c>
      <c r="AB15" s="2">
        <f t="shared" si="9"/>
        <v>693.43958779390607</v>
      </c>
      <c r="AC15" s="2">
        <f t="shared" si="9"/>
        <v>696.90678573287562</v>
      </c>
      <c r="AD15" s="2">
        <f t="shared" si="9"/>
        <v>697.60369251860823</v>
      </c>
      <c r="AE15" s="2">
        <f t="shared" si="9"/>
        <v>698.30129621112678</v>
      </c>
      <c r="AF15" s="2">
        <f t="shared" si="9"/>
        <v>698.99959750733785</v>
      </c>
      <c r="AG15" s="2">
        <f t="shared" si="9"/>
        <v>699.69859710484513</v>
      </c>
      <c r="AH15" s="2">
        <f t="shared" si="9"/>
        <v>700.39829570194979</v>
      </c>
      <c r="AI15" s="2">
        <f t="shared" si="9"/>
        <v>701.09869399765171</v>
      </c>
      <c r="AJ15" s="2">
        <f t="shared" si="9"/>
        <v>701.79979269164926</v>
      </c>
      <c r="AK15" s="2">
        <f t="shared" si="9"/>
        <v>702.5015924843409</v>
      </c>
      <c r="AL15" s="2">
        <f t="shared" si="9"/>
        <v>703.20409407682507</v>
      </c>
      <c r="AM15" s="2">
        <f t="shared" si="9"/>
        <v>703.90729817090187</v>
      </c>
      <c r="AN15" s="2">
        <f t="shared" si="9"/>
        <v>704.61120546907262</v>
      </c>
      <c r="AO15" s="2">
        <f t="shared" si="9"/>
        <v>705.31581667454157</v>
      </c>
      <c r="AP15" s="2">
        <f t="shared" si="9"/>
        <v>706.02113249121612</v>
      </c>
      <c r="AQ15" s="2">
        <f t="shared" si="9"/>
        <v>706.7271536237073</v>
      </c>
      <c r="AR15" s="2">
        <f t="shared" si="9"/>
        <v>707.43388077733096</v>
      </c>
    </row>
    <row r="16" spans="1:44" ht="12.75" customHeight="1" x14ac:dyDescent="0.15">
      <c r="A16" s="1"/>
      <c r="B16" s="16"/>
      <c r="C16" s="1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12.75" customHeight="1" x14ac:dyDescent="0.15">
      <c r="A17" s="1"/>
      <c r="B17" s="16"/>
      <c r="C17" s="17"/>
      <c r="D17" s="1"/>
      <c r="E17" s="1"/>
      <c r="F17" s="11" t="s">
        <v>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12.75" customHeight="1" x14ac:dyDescent="0.15">
      <c r="A18" s="1"/>
      <c r="B18" s="16"/>
      <c r="C18" s="17"/>
      <c r="D18" s="1"/>
      <c r="E18" s="1"/>
      <c r="F18" s="13" t="s">
        <v>8</v>
      </c>
      <c r="G18" s="14"/>
      <c r="H18" s="14">
        <v>3000</v>
      </c>
      <c r="I18" s="14">
        <f t="shared" ref="I18:R18" si="10">H18*105%</f>
        <v>3150</v>
      </c>
      <c r="J18" s="14">
        <f t="shared" si="10"/>
        <v>3307.5</v>
      </c>
      <c r="K18" s="14">
        <f t="shared" si="10"/>
        <v>3472.875</v>
      </c>
      <c r="L18" s="14">
        <f t="shared" si="10"/>
        <v>3646.5187500000002</v>
      </c>
      <c r="M18" s="14">
        <f t="shared" si="10"/>
        <v>3828.8446875000004</v>
      </c>
      <c r="N18" s="14">
        <f t="shared" si="10"/>
        <v>4020.2869218750006</v>
      </c>
      <c r="O18" s="14">
        <f t="shared" si="10"/>
        <v>4221.3012679687508</v>
      </c>
      <c r="P18" s="14">
        <f t="shared" si="10"/>
        <v>4432.3663313671886</v>
      </c>
      <c r="Q18" s="14">
        <f t="shared" si="10"/>
        <v>4653.9846479355483</v>
      </c>
      <c r="R18" s="14">
        <f t="shared" si="10"/>
        <v>4886.6838803323262</v>
      </c>
      <c r="S18" s="14">
        <f t="shared" ref="S18:AC18" si="11">R18*101%</f>
        <v>4935.5507191356492</v>
      </c>
      <c r="T18" s="14">
        <f t="shared" si="11"/>
        <v>4984.9062263270052</v>
      </c>
      <c r="U18" s="14">
        <f t="shared" si="11"/>
        <v>5034.7552885902751</v>
      </c>
      <c r="V18" s="14">
        <f t="shared" si="11"/>
        <v>5085.1028414761777</v>
      </c>
      <c r="W18" s="14">
        <f t="shared" si="11"/>
        <v>5135.9538698909391</v>
      </c>
      <c r="X18" s="14">
        <f t="shared" si="11"/>
        <v>5187.3134085898482</v>
      </c>
      <c r="Y18" s="14">
        <f t="shared" si="11"/>
        <v>5239.1865426757468</v>
      </c>
      <c r="Z18" s="14">
        <f t="shared" si="11"/>
        <v>5291.578408102504</v>
      </c>
      <c r="AA18" s="14">
        <f t="shared" si="11"/>
        <v>5344.4941921835289</v>
      </c>
      <c r="AB18" s="14">
        <f t="shared" si="11"/>
        <v>5397.9391341053642</v>
      </c>
      <c r="AC18" s="14">
        <f t="shared" si="11"/>
        <v>5451.9185254464182</v>
      </c>
      <c r="AD18" s="14">
        <f t="shared" ref="AD18:AR18" si="12">AC18*100.1%</f>
        <v>5457.370443971864</v>
      </c>
      <c r="AE18" s="14">
        <f t="shared" si="12"/>
        <v>5462.8278144158348</v>
      </c>
      <c r="AF18" s="14">
        <f t="shared" si="12"/>
        <v>5468.2906422302503</v>
      </c>
      <c r="AG18" s="14">
        <f t="shared" si="12"/>
        <v>5473.7589328724798</v>
      </c>
      <c r="AH18" s="14">
        <f t="shared" si="12"/>
        <v>5479.2326918053514</v>
      </c>
      <c r="AI18" s="14">
        <f t="shared" si="12"/>
        <v>5484.7119244971564</v>
      </c>
      <c r="AJ18" s="14">
        <f t="shared" si="12"/>
        <v>5490.1966364216532</v>
      </c>
      <c r="AK18" s="14">
        <f t="shared" si="12"/>
        <v>5495.6868330580746</v>
      </c>
      <c r="AL18" s="14">
        <f t="shared" si="12"/>
        <v>5501.182519891132</v>
      </c>
      <c r="AM18" s="14">
        <f t="shared" si="12"/>
        <v>5506.6837024110228</v>
      </c>
      <c r="AN18" s="14">
        <f t="shared" si="12"/>
        <v>5512.1903861134333</v>
      </c>
      <c r="AO18" s="14">
        <f t="shared" si="12"/>
        <v>5517.702576499546</v>
      </c>
      <c r="AP18" s="14">
        <f t="shared" si="12"/>
        <v>5523.2202790760448</v>
      </c>
      <c r="AQ18" s="14">
        <f t="shared" si="12"/>
        <v>5528.7434993551205</v>
      </c>
      <c r="AR18" s="14">
        <f t="shared" si="12"/>
        <v>5534.2722428544748</v>
      </c>
    </row>
    <row r="19" spans="1:44" ht="12.75" customHeight="1" x14ac:dyDescent="0.15">
      <c r="A19" s="1"/>
      <c r="B19" s="16"/>
      <c r="C19" s="17"/>
      <c r="D19" s="1"/>
      <c r="E19" s="4">
        <v>0.4</v>
      </c>
      <c r="F19" s="1" t="s">
        <v>9</v>
      </c>
      <c r="G19" s="2"/>
      <c r="H19" s="2">
        <f t="shared" ref="H19:AR19" si="13">H18*$E$19</f>
        <v>1200</v>
      </c>
      <c r="I19" s="2">
        <f t="shared" si="13"/>
        <v>1260</v>
      </c>
      <c r="J19" s="2">
        <f t="shared" si="13"/>
        <v>1323</v>
      </c>
      <c r="K19" s="2">
        <f t="shared" si="13"/>
        <v>1389.15</v>
      </c>
      <c r="L19" s="2">
        <f t="shared" si="13"/>
        <v>1458.6075000000001</v>
      </c>
      <c r="M19" s="2">
        <f t="shared" si="13"/>
        <v>1531.5378750000002</v>
      </c>
      <c r="N19" s="2">
        <f t="shared" si="13"/>
        <v>1608.1147687500004</v>
      </c>
      <c r="O19" s="2">
        <f t="shared" si="13"/>
        <v>1688.5205071875005</v>
      </c>
      <c r="P19" s="2">
        <f t="shared" si="13"/>
        <v>1772.9465325468755</v>
      </c>
      <c r="Q19" s="2">
        <f t="shared" si="13"/>
        <v>1861.5938591742195</v>
      </c>
      <c r="R19" s="2">
        <f t="shared" si="13"/>
        <v>1954.6735521329306</v>
      </c>
      <c r="S19" s="2">
        <f t="shared" si="13"/>
        <v>1974.2202876542597</v>
      </c>
      <c r="T19" s="2">
        <f t="shared" si="13"/>
        <v>1993.9624905308021</v>
      </c>
      <c r="U19" s="2">
        <f t="shared" si="13"/>
        <v>2013.9021154361101</v>
      </c>
      <c r="V19" s="2">
        <f t="shared" si="13"/>
        <v>2034.0411365904711</v>
      </c>
      <c r="W19" s="2">
        <f t="shared" si="13"/>
        <v>2054.3815479563759</v>
      </c>
      <c r="X19" s="2">
        <f t="shared" si="13"/>
        <v>2074.9253634359393</v>
      </c>
      <c r="Y19" s="2">
        <f t="shared" si="13"/>
        <v>2095.6746170702986</v>
      </c>
      <c r="Z19" s="2">
        <f t="shared" si="13"/>
        <v>2116.6313632410015</v>
      </c>
      <c r="AA19" s="2">
        <f t="shared" si="13"/>
        <v>2137.7976768734115</v>
      </c>
      <c r="AB19" s="2">
        <f t="shared" si="13"/>
        <v>2159.1756536421458</v>
      </c>
      <c r="AC19" s="2">
        <f t="shared" si="13"/>
        <v>2180.7674101785674</v>
      </c>
      <c r="AD19" s="2">
        <f t="shared" si="13"/>
        <v>2182.9481775887457</v>
      </c>
      <c r="AE19" s="2">
        <f t="shared" si="13"/>
        <v>2185.1311257663342</v>
      </c>
      <c r="AF19" s="2">
        <f t="shared" si="13"/>
        <v>2187.3162568921002</v>
      </c>
      <c r="AG19" s="2">
        <f t="shared" si="13"/>
        <v>2189.503573148992</v>
      </c>
      <c r="AH19" s="2">
        <f t="shared" si="13"/>
        <v>2191.6930767221406</v>
      </c>
      <c r="AI19" s="2">
        <f t="shared" si="13"/>
        <v>2193.8847697988626</v>
      </c>
      <c r="AJ19" s="2">
        <f t="shared" si="13"/>
        <v>2196.0786545686615</v>
      </c>
      <c r="AK19" s="2">
        <f t="shared" si="13"/>
        <v>2198.2747332232298</v>
      </c>
      <c r="AL19" s="2">
        <f t="shared" si="13"/>
        <v>2200.4730079564529</v>
      </c>
      <c r="AM19" s="2">
        <f t="shared" si="13"/>
        <v>2202.673480964409</v>
      </c>
      <c r="AN19" s="2">
        <f t="shared" si="13"/>
        <v>2204.8761544453732</v>
      </c>
      <c r="AO19" s="2">
        <f t="shared" si="13"/>
        <v>2207.0810305998184</v>
      </c>
      <c r="AP19" s="2">
        <f t="shared" si="13"/>
        <v>2209.2881116304179</v>
      </c>
      <c r="AQ19" s="2">
        <f t="shared" si="13"/>
        <v>2211.4973997420484</v>
      </c>
      <c r="AR19" s="2">
        <f t="shared" si="13"/>
        <v>2213.7088971417902</v>
      </c>
    </row>
    <row r="20" spans="1:44" ht="12.75" customHeight="1" x14ac:dyDescent="0.15">
      <c r="A20" s="1"/>
      <c r="B20" s="16"/>
      <c r="C20" s="17"/>
      <c r="D20" s="1"/>
      <c r="E20" s="4">
        <v>7.0000000000000007E-2</v>
      </c>
      <c r="F20" s="13" t="s">
        <v>10</v>
      </c>
      <c r="G20" s="2"/>
      <c r="H20" s="2">
        <f t="shared" ref="H20:AR20" si="14">H19*$E$20</f>
        <v>84.000000000000014</v>
      </c>
      <c r="I20" s="2">
        <f t="shared" si="14"/>
        <v>88.2</v>
      </c>
      <c r="J20" s="2">
        <f t="shared" si="14"/>
        <v>92.610000000000014</v>
      </c>
      <c r="K20" s="2">
        <f t="shared" si="14"/>
        <v>97.240500000000011</v>
      </c>
      <c r="L20" s="2">
        <f t="shared" si="14"/>
        <v>102.10252500000001</v>
      </c>
      <c r="M20" s="2">
        <f t="shared" si="14"/>
        <v>107.20765125000003</v>
      </c>
      <c r="N20" s="2">
        <f t="shared" si="14"/>
        <v>112.56803381250003</v>
      </c>
      <c r="O20" s="2">
        <f t="shared" si="14"/>
        <v>118.19643550312504</v>
      </c>
      <c r="P20" s="2">
        <f t="shared" si="14"/>
        <v>124.10625727828129</v>
      </c>
      <c r="Q20" s="2">
        <f t="shared" si="14"/>
        <v>130.31157014219536</v>
      </c>
      <c r="R20" s="2">
        <f t="shared" si="14"/>
        <v>136.82714864930514</v>
      </c>
      <c r="S20" s="2">
        <f t="shared" si="14"/>
        <v>138.1954201357982</v>
      </c>
      <c r="T20" s="2">
        <f t="shared" si="14"/>
        <v>139.57737433715616</v>
      </c>
      <c r="U20" s="2">
        <f t="shared" si="14"/>
        <v>140.97314808052772</v>
      </c>
      <c r="V20" s="2">
        <f t="shared" si="14"/>
        <v>142.382879561333</v>
      </c>
      <c r="W20" s="2">
        <f t="shared" si="14"/>
        <v>143.80670835694633</v>
      </c>
      <c r="X20" s="2">
        <f t="shared" si="14"/>
        <v>145.24477544051575</v>
      </c>
      <c r="Y20" s="2">
        <f t="shared" si="14"/>
        <v>146.69722319492092</v>
      </c>
      <c r="Z20" s="2">
        <f t="shared" si="14"/>
        <v>148.16419542687012</v>
      </c>
      <c r="AA20" s="2">
        <f t="shared" si="14"/>
        <v>149.64583738113882</v>
      </c>
      <c r="AB20" s="2">
        <f t="shared" si="14"/>
        <v>151.14229575495023</v>
      </c>
      <c r="AC20" s="2">
        <f t="shared" si="14"/>
        <v>152.65371871249974</v>
      </c>
      <c r="AD20" s="2">
        <f t="shared" si="14"/>
        <v>152.80637243121222</v>
      </c>
      <c r="AE20" s="2">
        <f t="shared" si="14"/>
        <v>152.9591788036434</v>
      </c>
      <c r="AF20" s="2">
        <f t="shared" si="14"/>
        <v>153.11213798244702</v>
      </c>
      <c r="AG20" s="2">
        <f t="shared" si="14"/>
        <v>153.26525012042944</v>
      </c>
      <c r="AH20" s="2">
        <f t="shared" si="14"/>
        <v>153.41851537054987</v>
      </c>
      <c r="AI20" s="2">
        <f t="shared" si="14"/>
        <v>153.5719338859204</v>
      </c>
      <c r="AJ20" s="2">
        <f t="shared" si="14"/>
        <v>153.72550581980633</v>
      </c>
      <c r="AK20" s="2">
        <f t="shared" si="14"/>
        <v>153.87923132562611</v>
      </c>
      <c r="AL20" s="2">
        <f t="shared" si="14"/>
        <v>154.03311055695173</v>
      </c>
      <c r="AM20" s="2">
        <f t="shared" si="14"/>
        <v>154.18714366750865</v>
      </c>
      <c r="AN20" s="2">
        <f t="shared" si="14"/>
        <v>154.34133081117614</v>
      </c>
      <c r="AO20" s="2">
        <f t="shared" si="14"/>
        <v>154.49567214198731</v>
      </c>
      <c r="AP20" s="2">
        <f t="shared" si="14"/>
        <v>154.65016781412928</v>
      </c>
      <c r="AQ20" s="2">
        <f t="shared" si="14"/>
        <v>154.80481798194342</v>
      </c>
      <c r="AR20" s="2">
        <f t="shared" si="14"/>
        <v>154.95962279992534</v>
      </c>
    </row>
    <row r="21" spans="1:44" ht="12.75" customHeight="1" x14ac:dyDescent="0.15">
      <c r="A21" s="1"/>
      <c r="B21" s="16"/>
      <c r="C21" s="17"/>
      <c r="D21" s="1"/>
      <c r="E21" s="13"/>
      <c r="F21" s="1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1:44" ht="12.75" customHeight="1" x14ac:dyDescent="0.15">
      <c r="A22" s="1"/>
      <c r="B22" s="16"/>
      <c r="C22" s="17"/>
      <c r="D22" s="1"/>
      <c r="E22" s="13"/>
      <c r="F22" s="18" t="s">
        <v>11</v>
      </c>
      <c r="G22" s="19">
        <f t="shared" ref="G22:AR22" si="15">G10+G15+G20</f>
        <v>0</v>
      </c>
      <c r="H22" s="19">
        <f>H10+H15+H20</f>
        <v>789</v>
      </c>
      <c r="I22" s="19">
        <f t="shared" si="15"/>
        <v>834.45</v>
      </c>
      <c r="J22" s="19">
        <f t="shared" si="15"/>
        <v>876.17250000000001</v>
      </c>
      <c r="K22" s="19">
        <f t="shared" si="15"/>
        <v>919.98112500000002</v>
      </c>
      <c r="L22" s="19">
        <f t="shared" si="15"/>
        <v>965.98018124999999</v>
      </c>
      <c r="M22" s="19">
        <f t="shared" si="15"/>
        <v>1014.2791903125001</v>
      </c>
      <c r="N22" s="19">
        <f t="shared" si="15"/>
        <v>1064.9931498281251</v>
      </c>
      <c r="O22" s="19">
        <f t="shared" si="15"/>
        <v>1118.2428073195315</v>
      </c>
      <c r="P22" s="19">
        <f t="shared" si="15"/>
        <v>1174.154947685508</v>
      </c>
      <c r="Q22" s="19">
        <f t="shared" si="15"/>
        <v>1232.8626950697835</v>
      </c>
      <c r="R22" s="19">
        <f t="shared" si="15"/>
        <v>1294.505829823273</v>
      </c>
      <c r="S22" s="19">
        <f t="shared" si="15"/>
        <v>1309.1321400755724</v>
      </c>
      <c r="T22" s="19">
        <f t="shared" si="15"/>
        <v>1323.9878161437643</v>
      </c>
      <c r="U22" s="19">
        <f t="shared" si="15"/>
        <v>1339.0770611286471</v>
      </c>
      <c r="V22" s="19">
        <f t="shared" si="15"/>
        <v>1354.4041595878202</v>
      </c>
      <c r="W22" s="19">
        <f t="shared" si="15"/>
        <v>1369.9734791449559</v>
      </c>
      <c r="X22" s="19">
        <f t="shared" si="15"/>
        <v>1385.7894721310834</v>
      </c>
      <c r="Y22" s="19">
        <f t="shared" si="15"/>
        <v>1401.8566772585316</v>
      </c>
      <c r="Z22" s="19">
        <f t="shared" si="15"/>
        <v>1418.1797213281809</v>
      </c>
      <c r="AA22" s="19">
        <f t="shared" si="15"/>
        <v>1434.7633209706855</v>
      </c>
      <c r="AB22" s="19">
        <f t="shared" si="15"/>
        <v>1451.6122844223491</v>
      </c>
      <c r="AC22" s="19">
        <f t="shared" si="15"/>
        <v>1468.7315133363381</v>
      </c>
      <c r="AD22" s="19">
        <f t="shared" si="15"/>
        <v>1481.9644940186024</v>
      </c>
      <c r="AE22" s="19">
        <f t="shared" si="15"/>
        <v>1495.4459926649281</v>
      </c>
      <c r="AF22" s="19">
        <f t="shared" si="15"/>
        <v>1509.1809634929457</v>
      </c>
      <c r="AG22" s="19">
        <f t="shared" si="15"/>
        <v>1523.1744597884988</v>
      </c>
      <c r="AH22" s="19">
        <f t="shared" si="15"/>
        <v>1537.4316358869883</v>
      </c>
      <c r="AI22" s="19">
        <f t="shared" si="15"/>
        <v>1551.9577491943505</v>
      </c>
      <c r="AJ22" s="19">
        <f t="shared" si="15"/>
        <v>1566.7581622484497</v>
      </c>
      <c r="AK22" s="19">
        <f t="shared" si="15"/>
        <v>1581.8383448217007</v>
      </c>
      <c r="AL22" s="19">
        <f t="shared" si="15"/>
        <v>1597.2038760657451</v>
      </c>
      <c r="AM22" s="19">
        <f t="shared" si="15"/>
        <v>1612.8604466990184</v>
      </c>
      <c r="AN22" s="19">
        <f t="shared" si="15"/>
        <v>1628.813861238069</v>
      </c>
      <c r="AO22" s="19">
        <f t="shared" si="15"/>
        <v>1645.0700402735054</v>
      </c>
      <c r="AP22" s="19">
        <f t="shared" si="15"/>
        <v>1661.6350227914611</v>
      </c>
      <c r="AQ22" s="19">
        <f t="shared" si="15"/>
        <v>1678.514968541489</v>
      </c>
      <c r="AR22" s="19">
        <f t="shared" si="15"/>
        <v>1695.7161604518114</v>
      </c>
    </row>
    <row r="23" spans="1:44" ht="12.75" customHeight="1" x14ac:dyDescent="0.15">
      <c r="A23" s="1"/>
      <c r="B23" s="16"/>
      <c r="C23" s="17"/>
      <c r="D23" s="1"/>
      <c r="E23" s="4">
        <v>0.75</v>
      </c>
      <c r="F23" s="1" t="s">
        <v>12</v>
      </c>
      <c r="G23" s="2">
        <f t="shared" ref="G23:AR23" si="16">G22*$E23</f>
        <v>0</v>
      </c>
      <c r="H23" s="2">
        <f>H22*$E23</f>
        <v>591.75</v>
      </c>
      <c r="I23" s="2">
        <f t="shared" si="16"/>
        <v>625.83750000000009</v>
      </c>
      <c r="J23" s="2">
        <f t="shared" si="16"/>
        <v>657.12937499999998</v>
      </c>
      <c r="K23" s="2">
        <f t="shared" si="16"/>
        <v>689.98584374999996</v>
      </c>
      <c r="L23" s="2">
        <f t="shared" si="16"/>
        <v>724.48513593749999</v>
      </c>
      <c r="M23" s="2">
        <f t="shared" si="16"/>
        <v>760.70939273437511</v>
      </c>
      <c r="N23" s="2">
        <f t="shared" si="16"/>
        <v>798.74486237109386</v>
      </c>
      <c r="O23" s="2">
        <f t="shared" si="16"/>
        <v>838.68210548964862</v>
      </c>
      <c r="P23" s="2">
        <f t="shared" si="16"/>
        <v>880.61621076413098</v>
      </c>
      <c r="Q23" s="2">
        <f t="shared" si="16"/>
        <v>924.64702130233763</v>
      </c>
      <c r="R23" s="2">
        <f t="shared" si="16"/>
        <v>970.87937236745472</v>
      </c>
      <c r="S23" s="2">
        <f t="shared" si="16"/>
        <v>981.84910505667926</v>
      </c>
      <c r="T23" s="2">
        <f t="shared" si="16"/>
        <v>992.9908621078232</v>
      </c>
      <c r="U23" s="2">
        <f t="shared" si="16"/>
        <v>1004.3077958464853</v>
      </c>
      <c r="V23" s="2">
        <f t="shared" si="16"/>
        <v>1015.8031196908652</v>
      </c>
      <c r="W23" s="2">
        <f t="shared" si="16"/>
        <v>1027.4801093587171</v>
      </c>
      <c r="X23" s="2">
        <f t="shared" si="16"/>
        <v>1039.3421040983126</v>
      </c>
      <c r="Y23" s="2">
        <f t="shared" si="16"/>
        <v>1051.3925079438986</v>
      </c>
      <c r="Z23" s="2">
        <f t="shared" si="16"/>
        <v>1063.6347909961357</v>
      </c>
      <c r="AA23" s="2">
        <f t="shared" si="16"/>
        <v>1076.0724907280141</v>
      </c>
      <c r="AB23" s="2">
        <f t="shared" si="16"/>
        <v>1088.7092133167619</v>
      </c>
      <c r="AC23" s="2">
        <f t="shared" si="16"/>
        <v>1101.5486350022536</v>
      </c>
      <c r="AD23" s="2">
        <f t="shared" si="16"/>
        <v>1111.4733705139517</v>
      </c>
      <c r="AE23" s="2">
        <f t="shared" si="16"/>
        <v>1121.5844944986961</v>
      </c>
      <c r="AF23" s="2">
        <f t="shared" si="16"/>
        <v>1131.8857226197092</v>
      </c>
      <c r="AG23" s="2">
        <f t="shared" si="16"/>
        <v>1142.380844841374</v>
      </c>
      <c r="AH23" s="2">
        <f t="shared" si="16"/>
        <v>1153.0737269152412</v>
      </c>
      <c r="AI23" s="2">
        <f t="shared" si="16"/>
        <v>1163.9683118957628</v>
      </c>
      <c r="AJ23" s="2">
        <f t="shared" si="16"/>
        <v>1175.0686216863373</v>
      </c>
      <c r="AK23" s="2">
        <f t="shared" si="16"/>
        <v>1186.3787586162755</v>
      </c>
      <c r="AL23" s="2">
        <f t="shared" si="16"/>
        <v>1197.9029070493089</v>
      </c>
      <c r="AM23" s="2">
        <f t="shared" si="16"/>
        <v>1209.6453350242639</v>
      </c>
      <c r="AN23" s="2">
        <f t="shared" si="16"/>
        <v>1221.6103959285517</v>
      </c>
      <c r="AO23" s="2">
        <f t="shared" si="16"/>
        <v>1233.802530205129</v>
      </c>
      <c r="AP23" s="2">
        <f t="shared" si="16"/>
        <v>1246.2262670935959</v>
      </c>
      <c r="AQ23" s="2">
        <f t="shared" si="16"/>
        <v>1258.8862264061167</v>
      </c>
      <c r="AR23" s="2">
        <f t="shared" si="16"/>
        <v>1271.7871203388586</v>
      </c>
    </row>
    <row r="24" spans="1:44" ht="12.75" customHeight="1" x14ac:dyDescent="0.15">
      <c r="A24" s="1"/>
      <c r="B24" s="16"/>
      <c r="C24" s="17"/>
      <c r="D24" s="1"/>
      <c r="E24" s="20">
        <f>100%-E23</f>
        <v>0.25</v>
      </c>
      <c r="F24" s="1" t="s">
        <v>13</v>
      </c>
      <c r="G24" s="2">
        <f t="shared" ref="G24:AR24" si="17">G22*$E24</f>
        <v>0</v>
      </c>
      <c r="H24" s="2">
        <f>H22*$E24</f>
        <v>197.25</v>
      </c>
      <c r="I24" s="2">
        <f t="shared" si="17"/>
        <v>208.61250000000001</v>
      </c>
      <c r="J24" s="2">
        <f t="shared" si="17"/>
        <v>219.043125</v>
      </c>
      <c r="K24" s="2">
        <f t="shared" si="17"/>
        <v>229.99528125000001</v>
      </c>
      <c r="L24" s="2">
        <f t="shared" si="17"/>
        <v>241.4950453125</v>
      </c>
      <c r="M24" s="2">
        <f t="shared" si="17"/>
        <v>253.56979757812502</v>
      </c>
      <c r="N24" s="2">
        <f t="shared" si="17"/>
        <v>266.24828745703127</v>
      </c>
      <c r="O24" s="2">
        <f t="shared" si="17"/>
        <v>279.56070182988287</v>
      </c>
      <c r="P24" s="2">
        <f t="shared" si="17"/>
        <v>293.53873692137699</v>
      </c>
      <c r="Q24" s="2">
        <f t="shared" si="17"/>
        <v>308.21567376744588</v>
      </c>
      <c r="R24" s="2">
        <f t="shared" si="17"/>
        <v>323.62645745581824</v>
      </c>
      <c r="S24" s="2">
        <f t="shared" si="17"/>
        <v>327.28303501889309</v>
      </c>
      <c r="T24" s="2">
        <f t="shared" si="17"/>
        <v>330.99695403594109</v>
      </c>
      <c r="U24" s="2">
        <f t="shared" si="17"/>
        <v>334.76926528216177</v>
      </c>
      <c r="V24" s="2">
        <f t="shared" si="17"/>
        <v>338.60103989695506</v>
      </c>
      <c r="W24" s="2">
        <f t="shared" si="17"/>
        <v>342.49336978623899</v>
      </c>
      <c r="X24" s="2">
        <f t="shared" si="17"/>
        <v>346.44736803277084</v>
      </c>
      <c r="Y24" s="2">
        <f t="shared" si="17"/>
        <v>350.4641693146329</v>
      </c>
      <c r="Z24" s="2">
        <f t="shared" si="17"/>
        <v>354.54493033204523</v>
      </c>
      <c r="AA24" s="2">
        <f t="shared" si="17"/>
        <v>358.69083024267138</v>
      </c>
      <c r="AB24" s="2">
        <f t="shared" si="17"/>
        <v>362.90307110558729</v>
      </c>
      <c r="AC24" s="2">
        <f t="shared" si="17"/>
        <v>367.18287833408453</v>
      </c>
      <c r="AD24" s="2">
        <f t="shared" si="17"/>
        <v>370.4911235046506</v>
      </c>
      <c r="AE24" s="2">
        <f t="shared" si="17"/>
        <v>373.86149816623202</v>
      </c>
      <c r="AF24" s="2">
        <f t="shared" si="17"/>
        <v>377.29524087323642</v>
      </c>
      <c r="AG24" s="2">
        <f t="shared" si="17"/>
        <v>380.79361494712469</v>
      </c>
      <c r="AH24" s="2">
        <f t="shared" si="17"/>
        <v>384.35790897174707</v>
      </c>
      <c r="AI24" s="2">
        <f t="shared" si="17"/>
        <v>387.98943729858763</v>
      </c>
      <c r="AJ24" s="2">
        <f t="shared" si="17"/>
        <v>391.68954056211243</v>
      </c>
      <c r="AK24" s="2">
        <f t="shared" si="17"/>
        <v>395.45958620542518</v>
      </c>
      <c r="AL24" s="2">
        <f t="shared" si="17"/>
        <v>399.30096901643628</v>
      </c>
      <c r="AM24" s="2">
        <f t="shared" si="17"/>
        <v>403.21511167475461</v>
      </c>
      <c r="AN24" s="2">
        <f t="shared" si="17"/>
        <v>407.20346530951724</v>
      </c>
      <c r="AO24" s="2">
        <f t="shared" si="17"/>
        <v>411.26751006837634</v>
      </c>
      <c r="AP24" s="2">
        <f t="shared" si="17"/>
        <v>415.40875569786527</v>
      </c>
      <c r="AQ24" s="2">
        <f t="shared" si="17"/>
        <v>419.62874213537225</v>
      </c>
      <c r="AR24" s="2">
        <f t="shared" si="17"/>
        <v>423.92904011295286</v>
      </c>
    </row>
    <row r="25" spans="1:44" ht="12.75" customHeight="1" x14ac:dyDescent="0.1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12.75" customHeight="1" x14ac:dyDescent="0.15">
      <c r="A26" s="1"/>
      <c r="B26" s="21" t="s">
        <v>14</v>
      </c>
      <c r="C26" s="22"/>
      <c r="D26" s="1"/>
      <c r="E26" s="72">
        <f>E28+E27</f>
        <v>1680</v>
      </c>
      <c r="F26" s="24" t="s">
        <v>16</v>
      </c>
      <c r="G26" s="24">
        <f t="shared" ref="G26" si="18">G27+G28</f>
        <v>0</v>
      </c>
      <c r="H26" s="24">
        <f>IF($C$7=1, (H27+H28)*$D$27, H27+H28)</f>
        <v>619365</v>
      </c>
      <c r="I26" s="24">
        <f t="shared" ref="I26:AR26" si="19">IF($C$7=1, (I27+I28)*$D$27, I27+I28)</f>
        <v>655043.25</v>
      </c>
      <c r="J26" s="24">
        <f t="shared" si="19"/>
        <v>687795.41249999998</v>
      </c>
      <c r="K26" s="24">
        <f t="shared" si="19"/>
        <v>722185.18312499998</v>
      </c>
      <c r="L26" s="24">
        <f t="shared" si="19"/>
        <v>758294.44228124991</v>
      </c>
      <c r="M26" s="24">
        <f t="shared" si="19"/>
        <v>796209.16439531255</v>
      </c>
      <c r="N26" s="24">
        <f t="shared" si="19"/>
        <v>836019.62261507823</v>
      </c>
      <c r="O26" s="24">
        <f t="shared" si="19"/>
        <v>877820.60374583222</v>
      </c>
      <c r="P26" s="24">
        <f t="shared" si="19"/>
        <v>921711.63393312367</v>
      </c>
      <c r="Q26" s="24">
        <f t="shared" si="19"/>
        <v>967797.21562978008</v>
      </c>
      <c r="R26" s="24">
        <f t="shared" si="19"/>
        <v>1016187.0764112693</v>
      </c>
      <c r="S26" s="24">
        <f t="shared" si="19"/>
        <v>1027668.7299593242</v>
      </c>
      <c r="T26" s="24">
        <f t="shared" si="19"/>
        <v>1039330.435672855</v>
      </c>
      <c r="U26" s="24">
        <f t="shared" si="19"/>
        <v>1051175.492985988</v>
      </c>
      <c r="V26" s="24">
        <f t="shared" si="19"/>
        <v>1063207.265276439</v>
      </c>
      <c r="W26" s="24">
        <f t="shared" si="19"/>
        <v>1075429.1811287906</v>
      </c>
      <c r="X26" s="24">
        <f t="shared" si="19"/>
        <v>1087844.7356229005</v>
      </c>
      <c r="Y26" s="24">
        <f t="shared" si="19"/>
        <v>1100457.4916479473</v>
      </c>
      <c r="Z26" s="24">
        <f t="shared" si="19"/>
        <v>1113271.0812426219</v>
      </c>
      <c r="AA26" s="24">
        <f t="shared" si="19"/>
        <v>1126289.2069619882</v>
      </c>
      <c r="AB26" s="24">
        <f t="shared" si="19"/>
        <v>1139515.643271544</v>
      </c>
      <c r="AC26" s="24">
        <f t="shared" si="19"/>
        <v>1152954.2379690255</v>
      </c>
      <c r="AD26" s="24">
        <f t="shared" si="19"/>
        <v>1163342.127804603</v>
      </c>
      <c r="AE26" s="24">
        <f t="shared" si="19"/>
        <v>1173925.1042419686</v>
      </c>
      <c r="AF26" s="24">
        <f t="shared" si="19"/>
        <v>1184707.0563419624</v>
      </c>
      <c r="AG26" s="24">
        <f t="shared" si="19"/>
        <v>1195691.9509339714</v>
      </c>
      <c r="AH26" s="24">
        <f t="shared" si="19"/>
        <v>1206883.8341712859</v>
      </c>
      <c r="AI26" s="24">
        <f t="shared" si="19"/>
        <v>1218286.8331175651</v>
      </c>
      <c r="AJ26" s="24">
        <f t="shared" si="19"/>
        <v>1229905.1573650329</v>
      </c>
      <c r="AK26" s="24">
        <f t="shared" si="19"/>
        <v>1241743.1006850351</v>
      </c>
      <c r="AL26" s="24">
        <f t="shared" si="19"/>
        <v>1253805.04271161</v>
      </c>
      <c r="AM26" s="24">
        <f t="shared" si="19"/>
        <v>1266095.4506587295</v>
      </c>
      <c r="AN26" s="24">
        <f t="shared" si="19"/>
        <v>1278618.8810718842</v>
      </c>
      <c r="AO26" s="24">
        <f t="shared" si="19"/>
        <v>1291379.9816147017</v>
      </c>
      <c r="AP26" s="24">
        <f t="shared" si="19"/>
        <v>1304383.492891297</v>
      </c>
      <c r="AQ26" s="24">
        <f t="shared" si="19"/>
        <v>1317634.2503050689</v>
      </c>
      <c r="AR26" s="24">
        <f t="shared" si="19"/>
        <v>1331137.1859546721</v>
      </c>
    </row>
    <row r="27" spans="1:44" ht="12.75" customHeight="1" x14ac:dyDescent="0.15">
      <c r="A27" s="1"/>
      <c r="B27" s="1" t="s">
        <v>17</v>
      </c>
      <c r="C27" s="2">
        <f>G64</f>
        <v>7000000</v>
      </c>
      <c r="D27" s="1">
        <v>0.9</v>
      </c>
      <c r="E27" s="14">
        <f>IF($C$6=0, 730, 730*0.9)</f>
        <v>730</v>
      </c>
      <c r="F27" s="25" t="s">
        <v>18</v>
      </c>
      <c r="G27" s="2">
        <f t="shared" ref="G27:AR27" si="20">$E$27*G23</f>
        <v>0</v>
      </c>
      <c r="H27" s="2">
        <f>$E$27*H23</f>
        <v>431977.5</v>
      </c>
      <c r="I27" s="2">
        <f t="shared" si="20"/>
        <v>456861.37500000006</v>
      </c>
      <c r="J27" s="2">
        <f t="shared" si="20"/>
        <v>479704.44374999998</v>
      </c>
      <c r="K27" s="2">
        <f t="shared" si="20"/>
        <v>503689.66593749996</v>
      </c>
      <c r="L27" s="2">
        <f t="shared" si="20"/>
        <v>528874.14923437499</v>
      </c>
      <c r="M27" s="2">
        <f t="shared" si="20"/>
        <v>555317.8566960938</v>
      </c>
      <c r="N27" s="2">
        <f t="shared" si="20"/>
        <v>583083.74953089852</v>
      </c>
      <c r="O27" s="2">
        <f t="shared" si="20"/>
        <v>612237.93700744351</v>
      </c>
      <c r="P27" s="2">
        <f t="shared" si="20"/>
        <v>642849.8338578156</v>
      </c>
      <c r="Q27" s="2">
        <f t="shared" si="20"/>
        <v>674992.32555070648</v>
      </c>
      <c r="R27" s="2">
        <f t="shared" si="20"/>
        <v>708741.94182824192</v>
      </c>
      <c r="S27" s="2">
        <f t="shared" si="20"/>
        <v>716749.84669137583</v>
      </c>
      <c r="T27" s="2">
        <f t="shared" si="20"/>
        <v>724883.32933871099</v>
      </c>
      <c r="U27" s="2">
        <f t="shared" si="20"/>
        <v>733144.69096793432</v>
      </c>
      <c r="V27" s="2">
        <f t="shared" si="20"/>
        <v>741536.27737433161</v>
      </c>
      <c r="W27" s="2">
        <f t="shared" si="20"/>
        <v>750060.47983186343</v>
      </c>
      <c r="X27" s="2">
        <f t="shared" si="20"/>
        <v>758719.73599176819</v>
      </c>
      <c r="Y27" s="2">
        <f t="shared" si="20"/>
        <v>767516.53079904604</v>
      </c>
      <c r="Z27" s="2">
        <f t="shared" si="20"/>
        <v>776453.39742717904</v>
      </c>
      <c r="AA27" s="2">
        <f t="shared" si="20"/>
        <v>785532.91823145037</v>
      </c>
      <c r="AB27" s="2">
        <f t="shared" si="20"/>
        <v>794757.7257212362</v>
      </c>
      <c r="AC27" s="2">
        <f t="shared" si="20"/>
        <v>804130.50355164509</v>
      </c>
      <c r="AD27" s="2">
        <f t="shared" si="20"/>
        <v>811375.56047518482</v>
      </c>
      <c r="AE27" s="2">
        <f t="shared" si="20"/>
        <v>818756.68098404817</v>
      </c>
      <c r="AF27" s="2">
        <f t="shared" si="20"/>
        <v>826276.57751238777</v>
      </c>
      <c r="AG27" s="2">
        <f t="shared" si="20"/>
        <v>833938.01673420309</v>
      </c>
      <c r="AH27" s="2">
        <f t="shared" si="20"/>
        <v>841743.82064812607</v>
      </c>
      <c r="AI27" s="2">
        <f t="shared" si="20"/>
        <v>849696.86768390681</v>
      </c>
      <c r="AJ27" s="2">
        <f t="shared" si="20"/>
        <v>857800.09383102623</v>
      </c>
      <c r="AK27" s="2">
        <f t="shared" si="20"/>
        <v>866056.49378988112</v>
      </c>
      <c r="AL27" s="2">
        <f t="shared" si="20"/>
        <v>874469.1221459955</v>
      </c>
      <c r="AM27" s="2">
        <f t="shared" si="20"/>
        <v>883041.09456771263</v>
      </c>
      <c r="AN27" s="2">
        <f t="shared" si="20"/>
        <v>891775.58902784274</v>
      </c>
      <c r="AO27" s="2">
        <f t="shared" si="20"/>
        <v>900675.8470497441</v>
      </c>
      <c r="AP27" s="2">
        <f t="shared" si="20"/>
        <v>909745.17497832503</v>
      </c>
      <c r="AQ27" s="2">
        <f t="shared" si="20"/>
        <v>918986.94527646527</v>
      </c>
      <c r="AR27" s="2">
        <f t="shared" si="20"/>
        <v>928404.59784736682</v>
      </c>
    </row>
    <row r="28" spans="1:44" ht="15" customHeight="1" x14ac:dyDescent="0.15">
      <c r="A28" s="1"/>
      <c r="B28" s="1" t="s">
        <v>19</v>
      </c>
      <c r="C28" s="2">
        <f>AP68</f>
        <v>6705766.8027415238</v>
      </c>
      <c r="D28" s="1"/>
      <c r="E28" s="14">
        <f>IF($C$6=0, 950, 950*0.9)</f>
        <v>950</v>
      </c>
      <c r="F28" s="25" t="s">
        <v>5</v>
      </c>
      <c r="G28" s="2">
        <f t="shared" ref="G28:AR28" si="21">$E$28*G24</f>
        <v>0</v>
      </c>
      <c r="H28" s="2">
        <f>$E$28*H24</f>
        <v>187387.5</v>
      </c>
      <c r="I28" s="2">
        <f t="shared" si="21"/>
        <v>198181.875</v>
      </c>
      <c r="J28" s="2">
        <f t="shared" si="21"/>
        <v>208090.96875</v>
      </c>
      <c r="K28" s="2">
        <f t="shared" si="21"/>
        <v>218495.51718749999</v>
      </c>
      <c r="L28" s="2">
        <f t="shared" si="21"/>
        <v>229420.29304687498</v>
      </c>
      <c r="M28" s="2">
        <f t="shared" si="21"/>
        <v>240891.30769921877</v>
      </c>
      <c r="N28" s="2">
        <f t="shared" si="21"/>
        <v>252935.87308417971</v>
      </c>
      <c r="O28" s="2">
        <f t="shared" si="21"/>
        <v>265582.66673838871</v>
      </c>
      <c r="P28" s="2">
        <f t="shared" si="21"/>
        <v>278861.80007530813</v>
      </c>
      <c r="Q28" s="2">
        <f t="shared" si="21"/>
        <v>292804.89007907361</v>
      </c>
      <c r="R28" s="2">
        <f t="shared" si="21"/>
        <v>307445.13458302733</v>
      </c>
      <c r="S28" s="2">
        <f t="shared" si="21"/>
        <v>310918.88326794846</v>
      </c>
      <c r="T28" s="2">
        <f t="shared" si="21"/>
        <v>314447.10633414402</v>
      </c>
      <c r="U28" s="2">
        <f t="shared" si="21"/>
        <v>318030.80201805366</v>
      </c>
      <c r="V28" s="2">
        <f t="shared" si="21"/>
        <v>321670.9879021073</v>
      </c>
      <c r="W28" s="2">
        <f t="shared" si="21"/>
        <v>325368.70129692706</v>
      </c>
      <c r="X28" s="2">
        <f t="shared" si="21"/>
        <v>329124.99963113229</v>
      </c>
      <c r="Y28" s="2">
        <f t="shared" si="21"/>
        <v>332940.96084890125</v>
      </c>
      <c r="Z28" s="2">
        <f t="shared" si="21"/>
        <v>336817.68381544296</v>
      </c>
      <c r="AA28" s="2">
        <f t="shared" si="21"/>
        <v>340756.28873053781</v>
      </c>
      <c r="AB28" s="2">
        <f t="shared" si="21"/>
        <v>344757.91755030793</v>
      </c>
      <c r="AC28" s="2">
        <f t="shared" si="21"/>
        <v>348823.7344173803</v>
      </c>
      <c r="AD28" s="2">
        <f t="shared" si="21"/>
        <v>351966.56732941809</v>
      </c>
      <c r="AE28" s="2">
        <f t="shared" si="21"/>
        <v>355168.42325792043</v>
      </c>
      <c r="AF28" s="2">
        <f t="shared" si="21"/>
        <v>358430.4788295746</v>
      </c>
      <c r="AG28" s="2">
        <f t="shared" si="21"/>
        <v>361753.93419976847</v>
      </c>
      <c r="AH28" s="2">
        <f t="shared" si="21"/>
        <v>365140.01352315972</v>
      </c>
      <c r="AI28" s="2">
        <f t="shared" si="21"/>
        <v>368589.96543365828</v>
      </c>
      <c r="AJ28" s="2">
        <f t="shared" si="21"/>
        <v>372105.06353400683</v>
      </c>
      <c r="AK28" s="2">
        <f t="shared" si="21"/>
        <v>375686.60689515393</v>
      </c>
      <c r="AL28" s="2">
        <f t="shared" si="21"/>
        <v>379335.92056561448</v>
      </c>
      <c r="AM28" s="2">
        <f t="shared" si="21"/>
        <v>383054.3560910169</v>
      </c>
      <c r="AN28" s="2">
        <f t="shared" si="21"/>
        <v>386843.29204404139</v>
      </c>
      <c r="AO28" s="2">
        <f t="shared" si="21"/>
        <v>390704.13456495752</v>
      </c>
      <c r="AP28" s="2">
        <f t="shared" si="21"/>
        <v>394638.31791297201</v>
      </c>
      <c r="AQ28" s="2">
        <f t="shared" si="21"/>
        <v>398647.30502860365</v>
      </c>
      <c r="AR28" s="2">
        <f t="shared" si="21"/>
        <v>402732.58810730523</v>
      </c>
    </row>
    <row r="29" spans="1:44" ht="12.75" customHeight="1" x14ac:dyDescent="0.15">
      <c r="A29" s="1"/>
      <c r="B29" s="1"/>
      <c r="C29" s="2"/>
      <c r="D29" s="1"/>
      <c r="E29" s="1"/>
      <c r="F29" s="1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1:44" ht="12.75" customHeight="1" x14ac:dyDescent="0.15">
      <c r="A30" s="1"/>
      <c r="B30" s="1" t="s">
        <v>20</v>
      </c>
      <c r="C30" s="2">
        <f>AVERAGE(H26:AP26)</f>
        <v>1052695.4319995921</v>
      </c>
      <c r="D30" s="1"/>
      <c r="E30" s="23" t="s">
        <v>21</v>
      </c>
      <c r="F30" s="15" t="s">
        <v>22</v>
      </c>
      <c r="G30" s="26">
        <f t="shared" ref="G30:AR30" si="22">SUM(G31:G39)</f>
        <v>0</v>
      </c>
      <c r="H30" s="26">
        <f t="shared" si="22"/>
        <v>185809.5</v>
      </c>
      <c r="I30" s="26">
        <f t="shared" si="22"/>
        <v>196512.97500000001</v>
      </c>
      <c r="J30" s="26">
        <f t="shared" si="22"/>
        <v>206338.62375000003</v>
      </c>
      <c r="K30" s="26">
        <f t="shared" si="22"/>
        <v>216655.55493749998</v>
      </c>
      <c r="L30" s="26">
        <f t="shared" si="22"/>
        <v>227488.332684375</v>
      </c>
      <c r="M30" s="26">
        <f t="shared" si="22"/>
        <v>238862.74931859379</v>
      </c>
      <c r="N30" s="26">
        <f t="shared" si="22"/>
        <v>250805.88678452349</v>
      </c>
      <c r="O30" s="26">
        <f t="shared" si="22"/>
        <v>263346.18112374964</v>
      </c>
      <c r="P30" s="26">
        <f t="shared" si="22"/>
        <v>276513.49017993716</v>
      </c>
      <c r="Q30" s="26">
        <f t="shared" si="22"/>
        <v>290339.16468893399</v>
      </c>
      <c r="R30" s="26">
        <f t="shared" si="22"/>
        <v>304856.12292338081</v>
      </c>
      <c r="S30" s="26">
        <f t="shared" si="22"/>
        <v>308300.61898779729</v>
      </c>
      <c r="T30" s="26">
        <f t="shared" si="22"/>
        <v>311799.13070185657</v>
      </c>
      <c r="U30" s="26">
        <f t="shared" si="22"/>
        <v>315352.64789579646</v>
      </c>
      <c r="V30" s="26">
        <f t="shared" si="22"/>
        <v>318962.17958293168</v>
      </c>
      <c r="W30" s="26">
        <f t="shared" si="22"/>
        <v>322628.75433863717</v>
      </c>
      <c r="X30" s="26">
        <f t="shared" si="22"/>
        <v>326353.42068687017</v>
      </c>
      <c r="Y30" s="26">
        <f t="shared" si="22"/>
        <v>330137.24749438418</v>
      </c>
      <c r="Z30" s="26">
        <f t="shared" si="22"/>
        <v>333981.32437278662</v>
      </c>
      <c r="AA30" s="26">
        <f t="shared" si="22"/>
        <v>337886.76208859647</v>
      </c>
      <c r="AB30" s="26">
        <f t="shared" si="22"/>
        <v>341854.69298146327</v>
      </c>
      <c r="AC30" s="26">
        <f t="shared" si="22"/>
        <v>345886.27139070764</v>
      </c>
      <c r="AD30" s="26">
        <f t="shared" si="22"/>
        <v>349002.63834138098</v>
      </c>
      <c r="AE30" s="26">
        <f t="shared" si="22"/>
        <v>352177.53127259063</v>
      </c>
      <c r="AF30" s="26">
        <f t="shared" si="22"/>
        <v>355412.11690258881</v>
      </c>
      <c r="AG30" s="26">
        <f t="shared" si="22"/>
        <v>358707.5852801915</v>
      </c>
      <c r="AH30" s="26">
        <f t="shared" si="22"/>
        <v>362065.15025138576</v>
      </c>
      <c r="AI30" s="26">
        <f t="shared" si="22"/>
        <v>365486.04993526952</v>
      </c>
      <c r="AJ30" s="26">
        <f t="shared" si="22"/>
        <v>368971.54720950988</v>
      </c>
      <c r="AK30" s="26">
        <f t="shared" si="22"/>
        <v>372522.93020551058</v>
      </c>
      <c r="AL30" s="26">
        <f t="shared" si="22"/>
        <v>376141.51281348307</v>
      </c>
      <c r="AM30" s="26">
        <f t="shared" si="22"/>
        <v>379828.63519761892</v>
      </c>
      <c r="AN30" s="26">
        <f t="shared" si="22"/>
        <v>383585.6643215653</v>
      </c>
      <c r="AO30" s="26">
        <f t="shared" si="22"/>
        <v>387413.9944844105</v>
      </c>
      <c r="AP30" s="26">
        <f t="shared" si="22"/>
        <v>391315.04786738916</v>
      </c>
      <c r="AQ30" s="26">
        <f t="shared" si="22"/>
        <v>395290.27509152069</v>
      </c>
      <c r="AR30" s="26">
        <f t="shared" si="22"/>
        <v>399341.15578640171</v>
      </c>
    </row>
    <row r="31" spans="1:44" ht="12.75" customHeight="1" x14ac:dyDescent="0.15">
      <c r="A31" s="1"/>
      <c r="B31" s="1" t="s">
        <v>23</v>
      </c>
      <c r="C31" s="2">
        <f>AVERAGE(H59:AP59)</f>
        <v>219351.57647973884</v>
      </c>
      <c r="D31" s="1">
        <v>1.1000000000000001</v>
      </c>
      <c r="E31" s="4">
        <f>IF($C$8=1, 14.3%*D31, 14.3%)</f>
        <v>0.14300000000000002</v>
      </c>
      <c r="F31" s="27" t="s">
        <v>24</v>
      </c>
      <c r="G31" s="28">
        <f t="shared" ref="G31" si="23">G27*$E$31</f>
        <v>0</v>
      </c>
      <c r="H31" s="28">
        <f>H27*$E$31</f>
        <v>61772.782500000008</v>
      </c>
      <c r="I31" s="28">
        <f t="shared" ref="I31:AR32" si="24">I27*$E$31</f>
        <v>65331.176625000015</v>
      </c>
      <c r="J31" s="28">
        <f t="shared" si="24"/>
        <v>68597.735456250011</v>
      </c>
      <c r="K31" s="28">
        <f t="shared" si="24"/>
        <v>72027.622229062501</v>
      </c>
      <c r="L31" s="28">
        <f t="shared" si="24"/>
        <v>75629.003340515628</v>
      </c>
      <c r="M31" s="28">
        <f t="shared" si="24"/>
        <v>79410.453507541417</v>
      </c>
      <c r="N31" s="28">
        <f t="shared" si="24"/>
        <v>83380.976182918501</v>
      </c>
      <c r="O31" s="28">
        <f t="shared" si="24"/>
        <v>87550.024992064427</v>
      </c>
      <c r="P31" s="28">
        <f t="shared" si="24"/>
        <v>91927.526241667641</v>
      </c>
      <c r="Q31" s="28">
        <f t="shared" si="24"/>
        <v>96523.902553751032</v>
      </c>
      <c r="R31" s="28">
        <f t="shared" si="24"/>
        <v>101350.09768143861</v>
      </c>
      <c r="S31" s="28">
        <f t="shared" si="24"/>
        <v>102495.22807686676</v>
      </c>
      <c r="T31" s="28">
        <f t="shared" si="24"/>
        <v>103658.31609543569</v>
      </c>
      <c r="U31" s="28">
        <f t="shared" si="24"/>
        <v>104839.69080841463</v>
      </c>
      <c r="V31" s="28">
        <f t="shared" si="24"/>
        <v>106039.68766452943</v>
      </c>
      <c r="W31" s="28">
        <f t="shared" si="24"/>
        <v>107258.64861595648</v>
      </c>
      <c r="X31" s="28">
        <f t="shared" si="24"/>
        <v>108496.92224682287</v>
      </c>
      <c r="Y31" s="28">
        <f t="shared" si="24"/>
        <v>109754.86390426359</v>
      </c>
      <c r="Z31" s="28">
        <f t="shared" si="24"/>
        <v>111032.83583208661</v>
      </c>
      <c r="AA31" s="28">
        <f t="shared" si="24"/>
        <v>112331.20730709741</v>
      </c>
      <c r="AB31" s="28">
        <f t="shared" si="24"/>
        <v>113650.3547781368</v>
      </c>
      <c r="AC31" s="28">
        <f t="shared" si="24"/>
        <v>114990.66200788526</v>
      </c>
      <c r="AD31" s="28">
        <f t="shared" si="24"/>
        <v>116026.70514795145</v>
      </c>
      <c r="AE31" s="28">
        <f t="shared" si="24"/>
        <v>117082.20538071891</v>
      </c>
      <c r="AF31" s="28">
        <f t="shared" si="24"/>
        <v>118157.55058427146</v>
      </c>
      <c r="AG31" s="28">
        <f t="shared" si="24"/>
        <v>119253.13639299106</v>
      </c>
      <c r="AH31" s="28">
        <f t="shared" si="24"/>
        <v>120369.36635268205</v>
      </c>
      <c r="AI31" s="28">
        <f t="shared" si="24"/>
        <v>121506.65207879868</v>
      </c>
      <c r="AJ31" s="28">
        <f t="shared" si="24"/>
        <v>122665.41341783677</v>
      </c>
      <c r="AK31" s="28">
        <f t="shared" si="24"/>
        <v>123846.07861195301</v>
      </c>
      <c r="AL31" s="28">
        <f t="shared" si="24"/>
        <v>125049.08446687736</v>
      </c>
      <c r="AM31" s="28">
        <f t="shared" si="24"/>
        <v>126274.87652318292</v>
      </c>
      <c r="AN31" s="28">
        <f t="shared" si="24"/>
        <v>127523.90923098153</v>
      </c>
      <c r="AO31" s="28">
        <f t="shared" si="24"/>
        <v>128796.64612811343</v>
      </c>
      <c r="AP31" s="28">
        <f t="shared" si="24"/>
        <v>130093.5600219005</v>
      </c>
      <c r="AQ31" s="28">
        <f t="shared" si="24"/>
        <v>131415.13317453454</v>
      </c>
      <c r="AR31" s="28">
        <f t="shared" si="24"/>
        <v>132761.85749217347</v>
      </c>
    </row>
    <row r="32" spans="1:44" ht="12.75" customHeight="1" x14ac:dyDescent="0.15">
      <c r="A32" s="1"/>
      <c r="B32" s="1"/>
      <c r="C32" s="2"/>
      <c r="D32" s="75">
        <f>E31*E26</f>
        <v>240.24000000000004</v>
      </c>
      <c r="E32" s="4">
        <f>IF($C$8=1, 14.3%*D31, 14.3%)</f>
        <v>0.14300000000000002</v>
      </c>
      <c r="F32" s="27" t="s">
        <v>25</v>
      </c>
      <c r="G32" s="28">
        <f t="shared" ref="G32" si="25">G28*$E$32</f>
        <v>0</v>
      </c>
      <c r="H32" s="28">
        <f>H28*$E$31</f>
        <v>26796.412500000002</v>
      </c>
      <c r="I32" s="28">
        <f t="shared" si="24"/>
        <v>28340.008125000004</v>
      </c>
      <c r="J32" s="28">
        <f t="shared" si="24"/>
        <v>29757.008531250005</v>
      </c>
      <c r="K32" s="28">
        <f t="shared" si="24"/>
        <v>31244.858957812503</v>
      </c>
      <c r="L32" s="28">
        <f t="shared" si="24"/>
        <v>32807.10190570313</v>
      </c>
      <c r="M32" s="28">
        <f t="shared" si="24"/>
        <v>34447.457000988288</v>
      </c>
      <c r="N32" s="28">
        <f t="shared" si="24"/>
        <v>36169.829851037699</v>
      </c>
      <c r="O32" s="28">
        <f t="shared" si="24"/>
        <v>37978.321343589589</v>
      </c>
      <c r="P32" s="28">
        <f t="shared" si="24"/>
        <v>39877.23741076907</v>
      </c>
      <c r="Q32" s="28">
        <f t="shared" si="24"/>
        <v>41871.099281307528</v>
      </c>
      <c r="R32" s="28">
        <f t="shared" si="24"/>
        <v>43964.654245372913</v>
      </c>
      <c r="S32" s="28">
        <f t="shared" si="24"/>
        <v>44461.400307316639</v>
      </c>
      <c r="T32" s="28">
        <f t="shared" si="24"/>
        <v>44965.9362057826</v>
      </c>
      <c r="U32" s="28">
        <f t="shared" si="24"/>
        <v>45478.404688581679</v>
      </c>
      <c r="V32" s="28">
        <f t="shared" si="24"/>
        <v>45998.951270001351</v>
      </c>
      <c r="W32" s="28">
        <f t="shared" si="24"/>
        <v>46527.724285460572</v>
      </c>
      <c r="X32" s="28">
        <f t="shared" si="24"/>
        <v>47064.874947251919</v>
      </c>
      <c r="Y32" s="28">
        <f t="shared" si="24"/>
        <v>47610.557401392885</v>
      </c>
      <c r="Z32" s="28">
        <f t="shared" si="24"/>
        <v>48164.928785608347</v>
      </c>
      <c r="AA32" s="28">
        <f t="shared" si="24"/>
        <v>48728.149288466913</v>
      </c>
      <c r="AB32" s="28">
        <f t="shared" si="24"/>
        <v>49300.382209694042</v>
      </c>
      <c r="AC32" s="28">
        <f t="shared" si="24"/>
        <v>49881.794021685389</v>
      </c>
      <c r="AD32" s="28">
        <f t="shared" si="24"/>
        <v>50331.219128106794</v>
      </c>
      <c r="AE32" s="28">
        <f t="shared" si="24"/>
        <v>50789.084525882623</v>
      </c>
      <c r="AF32" s="28">
        <f t="shared" si="24"/>
        <v>51255.558472629171</v>
      </c>
      <c r="AG32" s="28">
        <f t="shared" si="24"/>
        <v>51730.812590566893</v>
      </c>
      <c r="AH32" s="28">
        <f t="shared" si="24"/>
        <v>52215.021933811848</v>
      </c>
      <c r="AI32" s="28">
        <f t="shared" si="24"/>
        <v>52708.365057013136</v>
      </c>
      <c r="AJ32" s="28">
        <f t="shared" si="24"/>
        <v>53211.02408536298</v>
      </c>
      <c r="AK32" s="28">
        <f t="shared" si="24"/>
        <v>53723.184786007019</v>
      </c>
      <c r="AL32" s="28">
        <f t="shared" si="24"/>
        <v>54245.036640882878</v>
      </c>
      <c r="AM32" s="28">
        <f t="shared" si="24"/>
        <v>54776.772921015421</v>
      </c>
      <c r="AN32" s="28">
        <f t="shared" si="24"/>
        <v>55318.590762297921</v>
      </c>
      <c r="AO32" s="28">
        <f t="shared" si="24"/>
        <v>55870.691242788933</v>
      </c>
      <c r="AP32" s="28">
        <f t="shared" si="24"/>
        <v>56433.279461555001</v>
      </c>
      <c r="AQ32" s="28">
        <f t="shared" si="24"/>
        <v>57006.564619090328</v>
      </c>
      <c r="AR32" s="28">
        <f t="shared" si="24"/>
        <v>57590.760099344654</v>
      </c>
    </row>
    <row r="33" spans="1:44" ht="12.75" customHeight="1" x14ac:dyDescent="0.15">
      <c r="A33" s="15"/>
      <c r="B33" s="15"/>
      <c r="C33" s="15"/>
      <c r="D33" s="29"/>
      <c r="E33" s="4">
        <v>0.03</v>
      </c>
      <c r="F33" s="27" t="s">
        <v>26</v>
      </c>
      <c r="G33" s="28">
        <f t="shared" ref="G33:AR38" si="26">G$26*$E33</f>
        <v>0</v>
      </c>
      <c r="H33" s="28">
        <f t="shared" si="26"/>
        <v>18580.95</v>
      </c>
      <c r="I33" s="28">
        <f t="shared" si="26"/>
        <v>19651.297500000001</v>
      </c>
      <c r="J33" s="28">
        <f t="shared" si="26"/>
        <v>20633.862374999997</v>
      </c>
      <c r="K33" s="28">
        <f t="shared" si="26"/>
        <v>21665.555493749998</v>
      </c>
      <c r="L33" s="28">
        <f t="shared" si="26"/>
        <v>22748.833268437498</v>
      </c>
      <c r="M33" s="28">
        <f t="shared" si="26"/>
        <v>23886.274931859374</v>
      </c>
      <c r="N33" s="28">
        <f t="shared" si="26"/>
        <v>25080.588678452346</v>
      </c>
      <c r="O33" s="28">
        <f t="shared" si="26"/>
        <v>26334.618112374967</v>
      </c>
      <c r="P33" s="28">
        <f t="shared" si="26"/>
        <v>27651.349017993711</v>
      </c>
      <c r="Q33" s="28">
        <f t="shared" si="26"/>
        <v>29033.9164688934</v>
      </c>
      <c r="R33" s="28">
        <f t="shared" si="26"/>
        <v>30485.612292338075</v>
      </c>
      <c r="S33" s="28">
        <f t="shared" si="26"/>
        <v>30830.061898779724</v>
      </c>
      <c r="T33" s="28">
        <f t="shared" si="26"/>
        <v>31179.913070185648</v>
      </c>
      <c r="U33" s="28">
        <f t="shared" si="26"/>
        <v>31535.26478957964</v>
      </c>
      <c r="V33" s="28">
        <f t="shared" si="26"/>
        <v>31896.217958293171</v>
      </c>
      <c r="W33" s="28">
        <f t="shared" si="26"/>
        <v>32262.875433863715</v>
      </c>
      <c r="X33" s="28">
        <f t="shared" si="26"/>
        <v>32635.342068687016</v>
      </c>
      <c r="Y33" s="28">
        <f t="shared" si="26"/>
        <v>33013.724749438421</v>
      </c>
      <c r="Z33" s="28">
        <f t="shared" si="26"/>
        <v>33398.132437278655</v>
      </c>
      <c r="AA33" s="28">
        <f t="shared" si="26"/>
        <v>33788.676208859644</v>
      </c>
      <c r="AB33" s="28">
        <f t="shared" si="26"/>
        <v>34185.469298146316</v>
      </c>
      <c r="AC33" s="28">
        <f t="shared" si="26"/>
        <v>34588.627139070762</v>
      </c>
      <c r="AD33" s="28">
        <f t="shared" si="26"/>
        <v>34900.263834138088</v>
      </c>
      <c r="AE33" s="28">
        <f t="shared" si="26"/>
        <v>35217.753127259057</v>
      </c>
      <c r="AF33" s="28">
        <f t="shared" si="26"/>
        <v>35541.211690258868</v>
      </c>
      <c r="AG33" s="28">
        <f t="shared" si="26"/>
        <v>35870.758528019142</v>
      </c>
      <c r="AH33" s="28">
        <f t="shared" si="26"/>
        <v>36206.515025138571</v>
      </c>
      <c r="AI33" s="28">
        <f t="shared" si="26"/>
        <v>36548.604993526955</v>
      </c>
      <c r="AJ33" s="28">
        <f t="shared" si="26"/>
        <v>36897.154720950988</v>
      </c>
      <c r="AK33" s="28">
        <f t="shared" si="26"/>
        <v>37252.293020551049</v>
      </c>
      <c r="AL33" s="28">
        <f t="shared" si="26"/>
        <v>37614.151281348299</v>
      </c>
      <c r="AM33" s="28">
        <f t="shared" si="26"/>
        <v>37982.863519761886</v>
      </c>
      <c r="AN33" s="28">
        <f t="shared" si="26"/>
        <v>38358.566432156527</v>
      </c>
      <c r="AO33" s="28">
        <f t="shared" si="26"/>
        <v>38741.39944844105</v>
      </c>
      <c r="AP33" s="28">
        <f t="shared" si="26"/>
        <v>39131.504786738908</v>
      </c>
      <c r="AQ33" s="28">
        <f t="shared" si="26"/>
        <v>39529.027509152067</v>
      </c>
      <c r="AR33" s="28">
        <f t="shared" si="26"/>
        <v>39934.115578640158</v>
      </c>
    </row>
    <row r="34" spans="1:44" ht="12.75" customHeight="1" x14ac:dyDescent="0.15">
      <c r="A34" s="15"/>
      <c r="B34" s="11" t="s">
        <v>27</v>
      </c>
      <c r="C34" s="30">
        <f>(C28-C27)/C27</f>
        <v>-4.2033313894068024E-2</v>
      </c>
      <c r="D34" s="29"/>
      <c r="E34" s="4">
        <v>0.02</v>
      </c>
      <c r="F34" s="27" t="s">
        <v>28</v>
      </c>
      <c r="G34" s="28">
        <f t="shared" si="26"/>
        <v>0</v>
      </c>
      <c r="H34" s="28">
        <f t="shared" si="26"/>
        <v>12387.300000000001</v>
      </c>
      <c r="I34" s="28">
        <f t="shared" si="26"/>
        <v>13100.865</v>
      </c>
      <c r="J34" s="28">
        <f t="shared" si="26"/>
        <v>13755.90825</v>
      </c>
      <c r="K34" s="28">
        <f t="shared" si="26"/>
        <v>14443.7036625</v>
      </c>
      <c r="L34" s="28">
        <f t="shared" si="26"/>
        <v>15165.888845624999</v>
      </c>
      <c r="M34" s="28">
        <f t="shared" si="26"/>
        <v>15924.183287906251</v>
      </c>
      <c r="N34" s="28">
        <f t="shared" si="26"/>
        <v>16720.392452301567</v>
      </c>
      <c r="O34" s="28">
        <f t="shared" si="26"/>
        <v>17556.412074916643</v>
      </c>
      <c r="P34" s="28">
        <f t="shared" si="26"/>
        <v>18434.232678662473</v>
      </c>
      <c r="Q34" s="28">
        <f t="shared" si="26"/>
        <v>19355.944312595602</v>
      </c>
      <c r="R34" s="28">
        <f t="shared" si="26"/>
        <v>20323.741528225386</v>
      </c>
      <c r="S34" s="28">
        <f t="shared" si="26"/>
        <v>20553.374599186485</v>
      </c>
      <c r="T34" s="28">
        <f t="shared" si="26"/>
        <v>20786.608713457099</v>
      </c>
      <c r="U34" s="28">
        <f t="shared" si="26"/>
        <v>21023.509859719761</v>
      </c>
      <c r="V34" s="28">
        <f t="shared" si="26"/>
        <v>21264.145305528782</v>
      </c>
      <c r="W34" s="28">
        <f t="shared" si="26"/>
        <v>21508.583622575814</v>
      </c>
      <c r="X34" s="28">
        <f t="shared" si="26"/>
        <v>21756.894712458012</v>
      </c>
      <c r="Y34" s="28">
        <f t="shared" si="26"/>
        <v>22009.149832958949</v>
      </c>
      <c r="Z34" s="28">
        <f t="shared" si="26"/>
        <v>22265.421624852439</v>
      </c>
      <c r="AA34" s="28">
        <f t="shared" si="26"/>
        <v>22525.784139239764</v>
      </c>
      <c r="AB34" s="28">
        <f t="shared" si="26"/>
        <v>22790.312865430882</v>
      </c>
      <c r="AC34" s="28">
        <f t="shared" si="26"/>
        <v>23059.084759380512</v>
      </c>
      <c r="AD34" s="28">
        <f t="shared" si="26"/>
        <v>23266.842556092059</v>
      </c>
      <c r="AE34" s="28">
        <f t="shared" si="26"/>
        <v>23478.502084839372</v>
      </c>
      <c r="AF34" s="28">
        <f t="shared" si="26"/>
        <v>23694.141126839248</v>
      </c>
      <c r="AG34" s="28">
        <f t="shared" si="26"/>
        <v>23913.839018679428</v>
      </c>
      <c r="AH34" s="28">
        <f t="shared" si="26"/>
        <v>24137.676683425718</v>
      </c>
      <c r="AI34" s="28">
        <f t="shared" si="26"/>
        <v>24365.736662351304</v>
      </c>
      <c r="AJ34" s="28">
        <f t="shared" si="26"/>
        <v>24598.103147300659</v>
      </c>
      <c r="AK34" s="28">
        <f t="shared" si="26"/>
        <v>24834.862013700702</v>
      </c>
      <c r="AL34" s="28">
        <f t="shared" si="26"/>
        <v>25076.100854232202</v>
      </c>
      <c r="AM34" s="28">
        <f t="shared" si="26"/>
        <v>25321.909013174591</v>
      </c>
      <c r="AN34" s="28">
        <f t="shared" si="26"/>
        <v>25572.377621437685</v>
      </c>
      <c r="AO34" s="28">
        <f t="shared" si="26"/>
        <v>25827.599632294034</v>
      </c>
      <c r="AP34" s="28">
        <f t="shared" si="26"/>
        <v>26087.669857825938</v>
      </c>
      <c r="AQ34" s="28">
        <f t="shared" si="26"/>
        <v>26352.685006101379</v>
      </c>
      <c r="AR34" s="28">
        <f t="shared" si="26"/>
        <v>26622.743719093443</v>
      </c>
    </row>
    <row r="35" spans="1:44" ht="12.75" customHeight="1" x14ac:dyDescent="0.15">
      <c r="A35" s="15"/>
      <c r="B35" s="11" t="s">
        <v>29</v>
      </c>
      <c r="C35" s="31">
        <f>MIN(G70:AP70)</f>
        <v>0</v>
      </c>
      <c r="D35" s="29"/>
      <c r="E35" s="4">
        <v>1.7000000000000001E-2</v>
      </c>
      <c r="F35" s="27" t="s">
        <v>30</v>
      </c>
      <c r="G35" s="28">
        <f t="shared" si="26"/>
        <v>0</v>
      </c>
      <c r="H35" s="28">
        <f t="shared" si="26"/>
        <v>10529.205</v>
      </c>
      <c r="I35" s="28">
        <f t="shared" si="26"/>
        <v>11135.735250000002</v>
      </c>
      <c r="J35" s="28">
        <f t="shared" si="26"/>
        <v>11692.5220125</v>
      </c>
      <c r="K35" s="28">
        <f t="shared" si="26"/>
        <v>12277.148113125</v>
      </c>
      <c r="L35" s="28">
        <f t="shared" si="26"/>
        <v>12891.005518781249</v>
      </c>
      <c r="M35" s="28">
        <f t="shared" si="26"/>
        <v>13535.555794720314</v>
      </c>
      <c r="N35" s="28">
        <f t="shared" si="26"/>
        <v>14212.333584456332</v>
      </c>
      <c r="O35" s="28">
        <f t="shared" si="26"/>
        <v>14922.950263679149</v>
      </c>
      <c r="P35" s="28">
        <f t="shared" si="26"/>
        <v>15669.097776863104</v>
      </c>
      <c r="Q35" s="28">
        <f t="shared" si="26"/>
        <v>16452.552665706262</v>
      </c>
      <c r="R35" s="28">
        <f t="shared" si="26"/>
        <v>17275.180298991578</v>
      </c>
      <c r="S35" s="28">
        <f t="shared" si="26"/>
        <v>17470.368409308514</v>
      </c>
      <c r="T35" s="28">
        <f t="shared" si="26"/>
        <v>17668.617406438538</v>
      </c>
      <c r="U35" s="28">
        <f t="shared" si="26"/>
        <v>17869.983380761798</v>
      </c>
      <c r="V35" s="28">
        <f t="shared" si="26"/>
        <v>18074.523509699466</v>
      </c>
      <c r="W35" s="28">
        <f t="shared" si="26"/>
        <v>18282.29607918944</v>
      </c>
      <c r="X35" s="28">
        <f t="shared" si="26"/>
        <v>18493.360505589309</v>
      </c>
      <c r="Y35" s="28">
        <f t="shared" si="26"/>
        <v>18707.777358015108</v>
      </c>
      <c r="Z35" s="28">
        <f t="shared" si="26"/>
        <v>18925.608381124573</v>
      </c>
      <c r="AA35" s="28">
        <f t="shared" si="26"/>
        <v>19146.916518353803</v>
      </c>
      <c r="AB35" s="28">
        <f t="shared" si="26"/>
        <v>19371.765935616251</v>
      </c>
      <c r="AC35" s="28">
        <f t="shared" si="26"/>
        <v>19600.222045473434</v>
      </c>
      <c r="AD35" s="28">
        <f t="shared" si="26"/>
        <v>19776.816172678253</v>
      </c>
      <c r="AE35" s="28">
        <f t="shared" si="26"/>
        <v>19956.726772113467</v>
      </c>
      <c r="AF35" s="28">
        <f t="shared" si="26"/>
        <v>20140.019957813362</v>
      </c>
      <c r="AG35" s="28">
        <f t="shared" si="26"/>
        <v>20326.763165877517</v>
      </c>
      <c r="AH35" s="28">
        <f t="shared" si="26"/>
        <v>20517.02518091186</v>
      </c>
      <c r="AI35" s="28">
        <f t="shared" si="26"/>
        <v>20710.876162998607</v>
      </c>
      <c r="AJ35" s="28">
        <f t="shared" si="26"/>
        <v>20908.387675205562</v>
      </c>
      <c r="AK35" s="28">
        <f t="shared" si="26"/>
        <v>21109.632711645598</v>
      </c>
      <c r="AL35" s="28">
        <f t="shared" si="26"/>
        <v>21314.68572609737</v>
      </c>
      <c r="AM35" s="28">
        <f t="shared" si="26"/>
        <v>21523.622661198402</v>
      </c>
      <c r="AN35" s="28">
        <f t="shared" si="26"/>
        <v>21736.520978222034</v>
      </c>
      <c r="AO35" s="28">
        <f t="shared" si="26"/>
        <v>21953.459687449929</v>
      </c>
      <c r="AP35" s="28">
        <f t="shared" si="26"/>
        <v>22174.519379152051</v>
      </c>
      <c r="AQ35" s="28">
        <f t="shared" si="26"/>
        <v>22399.782255186172</v>
      </c>
      <c r="AR35" s="28">
        <f t="shared" si="26"/>
        <v>22629.332161229428</v>
      </c>
    </row>
    <row r="36" spans="1:44" ht="12.75" customHeight="1" x14ac:dyDescent="0.15">
      <c r="A36" s="15"/>
      <c r="B36" s="11" t="s">
        <v>31</v>
      </c>
      <c r="C36" s="31">
        <f>MIN(G75:AP75)</f>
        <v>0</v>
      </c>
      <c r="D36" s="29"/>
      <c r="E36" s="4">
        <v>0.05</v>
      </c>
      <c r="F36" s="27" t="s">
        <v>32</v>
      </c>
      <c r="G36" s="28">
        <f t="shared" si="26"/>
        <v>0</v>
      </c>
      <c r="H36" s="28">
        <f t="shared" si="26"/>
        <v>30968.25</v>
      </c>
      <c r="I36" s="28">
        <f t="shared" si="26"/>
        <v>32752.162500000002</v>
      </c>
      <c r="J36" s="28">
        <f t="shared" si="26"/>
        <v>34389.770624999997</v>
      </c>
      <c r="K36" s="28">
        <f t="shared" si="26"/>
        <v>36109.259156250002</v>
      </c>
      <c r="L36" s="28">
        <f t="shared" si="26"/>
        <v>37914.722114062497</v>
      </c>
      <c r="M36" s="28">
        <f t="shared" si="26"/>
        <v>39810.458219765627</v>
      </c>
      <c r="N36" s="28">
        <f t="shared" si="26"/>
        <v>41800.981130753913</v>
      </c>
      <c r="O36" s="28">
        <f t="shared" si="26"/>
        <v>43891.030187291617</v>
      </c>
      <c r="P36" s="28">
        <f t="shared" si="26"/>
        <v>46085.581696656183</v>
      </c>
      <c r="Q36" s="28">
        <f t="shared" si="26"/>
        <v>48389.860781489006</v>
      </c>
      <c r="R36" s="28">
        <f t="shared" si="26"/>
        <v>50809.353820563469</v>
      </c>
      <c r="S36" s="28">
        <f t="shared" si="26"/>
        <v>51383.436497966213</v>
      </c>
      <c r="T36" s="28">
        <f t="shared" si="26"/>
        <v>51966.521783642755</v>
      </c>
      <c r="U36" s="28">
        <f t="shared" si="26"/>
        <v>52558.774649299405</v>
      </c>
      <c r="V36" s="28">
        <f t="shared" si="26"/>
        <v>53160.363263821957</v>
      </c>
      <c r="W36" s="28">
        <f t="shared" si="26"/>
        <v>53771.459056439533</v>
      </c>
      <c r="X36" s="28">
        <f t="shared" si="26"/>
        <v>54392.236781145031</v>
      </c>
      <c r="Y36" s="28">
        <f t="shared" si="26"/>
        <v>55022.874582397373</v>
      </c>
      <c r="Z36" s="28">
        <f t="shared" si="26"/>
        <v>55663.554062131094</v>
      </c>
      <c r="AA36" s="28">
        <f t="shared" si="26"/>
        <v>56314.460348099412</v>
      </c>
      <c r="AB36" s="28">
        <f t="shared" si="26"/>
        <v>56975.782163577205</v>
      </c>
      <c r="AC36" s="28">
        <f t="shared" si="26"/>
        <v>57647.711898451278</v>
      </c>
      <c r="AD36" s="28">
        <f t="shared" si="26"/>
        <v>58167.106390230154</v>
      </c>
      <c r="AE36" s="28">
        <f t="shared" si="26"/>
        <v>58696.255212098433</v>
      </c>
      <c r="AF36" s="28">
        <f t="shared" si="26"/>
        <v>59235.352817098123</v>
      </c>
      <c r="AG36" s="28">
        <f t="shared" si="26"/>
        <v>59784.597546698576</v>
      </c>
      <c r="AH36" s="28">
        <f t="shared" si="26"/>
        <v>60344.191708564293</v>
      </c>
      <c r="AI36" s="28">
        <f t="shared" si="26"/>
        <v>60914.341655878263</v>
      </c>
      <c r="AJ36" s="28">
        <f t="shared" si="26"/>
        <v>61495.257868251647</v>
      </c>
      <c r="AK36" s="28">
        <f t="shared" si="26"/>
        <v>62087.155034251758</v>
      </c>
      <c r="AL36" s="28">
        <f t="shared" si="26"/>
        <v>62690.2521355805</v>
      </c>
      <c r="AM36" s="28">
        <f t="shared" si="26"/>
        <v>63304.772532936477</v>
      </c>
      <c r="AN36" s="28">
        <f t="shared" si="26"/>
        <v>63930.944053594212</v>
      </c>
      <c r="AO36" s="28">
        <f t="shared" si="26"/>
        <v>64568.999080735084</v>
      </c>
      <c r="AP36" s="28">
        <f t="shared" si="26"/>
        <v>65219.174644564853</v>
      </c>
      <c r="AQ36" s="28">
        <f t="shared" si="26"/>
        <v>65881.712515253443</v>
      </c>
      <c r="AR36" s="28">
        <f t="shared" si="26"/>
        <v>66556.859297733608</v>
      </c>
    </row>
    <row r="37" spans="1:44" ht="12.75" customHeight="1" x14ac:dyDescent="0.15">
      <c r="A37" s="15"/>
      <c r="B37" s="29"/>
      <c r="C37" s="32"/>
      <c r="D37" s="29"/>
      <c r="E37" s="4">
        <v>0.02</v>
      </c>
      <c r="F37" s="27" t="s">
        <v>33</v>
      </c>
      <c r="G37" s="28">
        <f t="shared" si="26"/>
        <v>0</v>
      </c>
      <c r="H37" s="28">
        <f t="shared" si="26"/>
        <v>12387.300000000001</v>
      </c>
      <c r="I37" s="28">
        <f t="shared" si="26"/>
        <v>13100.865</v>
      </c>
      <c r="J37" s="28">
        <f t="shared" si="26"/>
        <v>13755.90825</v>
      </c>
      <c r="K37" s="28">
        <f t="shared" si="26"/>
        <v>14443.7036625</v>
      </c>
      <c r="L37" s="28">
        <f t="shared" si="26"/>
        <v>15165.888845624999</v>
      </c>
      <c r="M37" s="28">
        <f t="shared" si="26"/>
        <v>15924.183287906251</v>
      </c>
      <c r="N37" s="28">
        <f t="shared" si="26"/>
        <v>16720.392452301567</v>
      </c>
      <c r="O37" s="28">
        <f t="shared" si="26"/>
        <v>17556.412074916643</v>
      </c>
      <c r="P37" s="28">
        <f t="shared" si="26"/>
        <v>18434.232678662473</v>
      </c>
      <c r="Q37" s="28">
        <f t="shared" si="26"/>
        <v>19355.944312595602</v>
      </c>
      <c r="R37" s="28">
        <f t="shared" si="26"/>
        <v>20323.741528225386</v>
      </c>
      <c r="S37" s="28">
        <f t="shared" si="26"/>
        <v>20553.374599186485</v>
      </c>
      <c r="T37" s="28">
        <f t="shared" si="26"/>
        <v>20786.608713457099</v>
      </c>
      <c r="U37" s="28">
        <f t="shared" si="26"/>
        <v>21023.509859719761</v>
      </c>
      <c r="V37" s="28">
        <f t="shared" si="26"/>
        <v>21264.145305528782</v>
      </c>
      <c r="W37" s="28">
        <f t="shared" si="26"/>
        <v>21508.583622575814</v>
      </c>
      <c r="X37" s="28">
        <f t="shared" si="26"/>
        <v>21756.894712458012</v>
      </c>
      <c r="Y37" s="28">
        <f t="shared" si="26"/>
        <v>22009.149832958949</v>
      </c>
      <c r="Z37" s="28">
        <f t="shared" si="26"/>
        <v>22265.421624852439</v>
      </c>
      <c r="AA37" s="28">
        <f t="shared" si="26"/>
        <v>22525.784139239764</v>
      </c>
      <c r="AB37" s="28">
        <f t="shared" si="26"/>
        <v>22790.312865430882</v>
      </c>
      <c r="AC37" s="28">
        <f t="shared" si="26"/>
        <v>23059.084759380512</v>
      </c>
      <c r="AD37" s="28">
        <f t="shared" si="26"/>
        <v>23266.842556092059</v>
      </c>
      <c r="AE37" s="28">
        <f t="shared" si="26"/>
        <v>23478.502084839372</v>
      </c>
      <c r="AF37" s="28">
        <f t="shared" si="26"/>
        <v>23694.141126839248</v>
      </c>
      <c r="AG37" s="28">
        <f t="shared" si="26"/>
        <v>23913.839018679428</v>
      </c>
      <c r="AH37" s="28">
        <f t="shared" si="26"/>
        <v>24137.676683425718</v>
      </c>
      <c r="AI37" s="28">
        <f t="shared" si="26"/>
        <v>24365.736662351304</v>
      </c>
      <c r="AJ37" s="28">
        <f t="shared" si="26"/>
        <v>24598.103147300659</v>
      </c>
      <c r="AK37" s="28">
        <f t="shared" si="26"/>
        <v>24834.862013700702</v>
      </c>
      <c r="AL37" s="28">
        <f t="shared" si="26"/>
        <v>25076.100854232202</v>
      </c>
      <c r="AM37" s="28">
        <f t="shared" si="26"/>
        <v>25321.909013174591</v>
      </c>
      <c r="AN37" s="28">
        <f t="shared" si="26"/>
        <v>25572.377621437685</v>
      </c>
      <c r="AO37" s="28">
        <f t="shared" si="26"/>
        <v>25827.599632294034</v>
      </c>
      <c r="AP37" s="28">
        <f t="shared" si="26"/>
        <v>26087.669857825938</v>
      </c>
      <c r="AQ37" s="28">
        <f t="shared" si="26"/>
        <v>26352.685006101379</v>
      </c>
      <c r="AR37" s="28">
        <f t="shared" si="26"/>
        <v>26622.743719093443</v>
      </c>
    </row>
    <row r="38" spans="1:44" ht="12.75" customHeight="1" x14ac:dyDescent="0.15">
      <c r="A38" s="15"/>
      <c r="B38" s="29"/>
      <c r="C38" s="32"/>
      <c r="D38" s="29"/>
      <c r="E38" s="4">
        <v>0.02</v>
      </c>
      <c r="F38" s="27" t="s">
        <v>34</v>
      </c>
      <c r="G38" s="28">
        <f t="shared" si="26"/>
        <v>0</v>
      </c>
      <c r="H38" s="28">
        <f t="shared" si="26"/>
        <v>12387.300000000001</v>
      </c>
      <c r="I38" s="28">
        <f t="shared" si="26"/>
        <v>13100.865</v>
      </c>
      <c r="J38" s="28">
        <f t="shared" si="26"/>
        <v>13755.90825</v>
      </c>
      <c r="K38" s="28">
        <f t="shared" si="26"/>
        <v>14443.7036625</v>
      </c>
      <c r="L38" s="28">
        <f t="shared" si="26"/>
        <v>15165.888845624999</v>
      </c>
      <c r="M38" s="28">
        <f t="shared" si="26"/>
        <v>15924.183287906251</v>
      </c>
      <c r="N38" s="28">
        <f t="shared" si="26"/>
        <v>16720.392452301567</v>
      </c>
      <c r="O38" s="28">
        <f t="shared" si="26"/>
        <v>17556.412074916643</v>
      </c>
      <c r="P38" s="28">
        <f t="shared" si="26"/>
        <v>18434.232678662473</v>
      </c>
      <c r="Q38" s="28">
        <f t="shared" si="26"/>
        <v>19355.944312595602</v>
      </c>
      <c r="R38" s="28">
        <f t="shared" si="26"/>
        <v>20323.741528225386</v>
      </c>
      <c r="S38" s="28">
        <f t="shared" si="26"/>
        <v>20553.374599186485</v>
      </c>
      <c r="T38" s="28">
        <f t="shared" si="26"/>
        <v>20786.608713457099</v>
      </c>
      <c r="U38" s="28">
        <f t="shared" si="26"/>
        <v>21023.509859719761</v>
      </c>
      <c r="V38" s="28">
        <f t="shared" si="26"/>
        <v>21264.145305528782</v>
      </c>
      <c r="W38" s="28">
        <f t="shared" si="26"/>
        <v>21508.583622575814</v>
      </c>
      <c r="X38" s="28">
        <f t="shared" si="26"/>
        <v>21756.894712458012</v>
      </c>
      <c r="Y38" s="28">
        <f t="shared" si="26"/>
        <v>22009.149832958949</v>
      </c>
      <c r="Z38" s="28">
        <f t="shared" si="26"/>
        <v>22265.421624852439</v>
      </c>
      <c r="AA38" s="28">
        <f t="shared" si="26"/>
        <v>22525.784139239764</v>
      </c>
      <c r="AB38" s="28">
        <f t="shared" si="26"/>
        <v>22790.312865430882</v>
      </c>
      <c r="AC38" s="28">
        <f t="shared" si="26"/>
        <v>23059.084759380512</v>
      </c>
      <c r="AD38" s="28">
        <f t="shared" si="26"/>
        <v>23266.842556092059</v>
      </c>
      <c r="AE38" s="28">
        <f t="shared" si="26"/>
        <v>23478.502084839372</v>
      </c>
      <c r="AF38" s="28">
        <f t="shared" si="26"/>
        <v>23694.141126839248</v>
      </c>
      <c r="AG38" s="28">
        <f t="shared" si="26"/>
        <v>23913.839018679428</v>
      </c>
      <c r="AH38" s="28">
        <f t="shared" si="26"/>
        <v>24137.676683425718</v>
      </c>
      <c r="AI38" s="28">
        <f t="shared" si="26"/>
        <v>24365.736662351304</v>
      </c>
      <c r="AJ38" s="28">
        <f t="shared" si="26"/>
        <v>24598.103147300659</v>
      </c>
      <c r="AK38" s="28">
        <f t="shared" si="26"/>
        <v>24834.862013700702</v>
      </c>
      <c r="AL38" s="28">
        <f t="shared" si="26"/>
        <v>25076.100854232202</v>
      </c>
      <c r="AM38" s="28">
        <f t="shared" si="26"/>
        <v>25321.909013174591</v>
      </c>
      <c r="AN38" s="28">
        <f t="shared" si="26"/>
        <v>25572.377621437685</v>
      </c>
      <c r="AO38" s="28">
        <f t="shared" si="26"/>
        <v>25827.599632294034</v>
      </c>
      <c r="AP38" s="28">
        <f t="shared" si="26"/>
        <v>26087.669857825938</v>
      </c>
      <c r="AQ38" s="28">
        <f t="shared" si="26"/>
        <v>26352.685006101379</v>
      </c>
      <c r="AR38" s="28">
        <f t="shared" si="26"/>
        <v>26622.743719093443</v>
      </c>
    </row>
    <row r="39" spans="1:44" ht="12.75" customHeight="1" x14ac:dyDescent="0.15">
      <c r="A39" s="1"/>
      <c r="B39" s="1"/>
      <c r="C39" s="2"/>
      <c r="D39" s="33"/>
      <c r="E39" s="6"/>
      <c r="F39" s="6"/>
      <c r="G39" s="28"/>
      <c r="H39" s="28"/>
      <c r="I39" s="34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</row>
    <row r="40" spans="1:44" ht="12.75" customHeight="1" x14ac:dyDescent="0.15">
      <c r="A40" s="1"/>
      <c r="B40" s="67"/>
      <c r="C40" s="66"/>
      <c r="D40" s="1"/>
      <c r="E40" s="15"/>
      <c r="F40" s="24" t="s">
        <v>36</v>
      </c>
      <c r="G40" s="24">
        <f t="shared" ref="G40:AR40" si="27">G26-G30</f>
        <v>0</v>
      </c>
      <c r="H40" s="24">
        <f t="shared" si="27"/>
        <v>433555.5</v>
      </c>
      <c r="I40" s="24">
        <f t="shared" si="27"/>
        <v>458530.27500000002</v>
      </c>
      <c r="J40" s="24">
        <f t="shared" si="27"/>
        <v>481456.78874999995</v>
      </c>
      <c r="K40" s="24">
        <f t="shared" si="27"/>
        <v>505529.6281875</v>
      </c>
      <c r="L40" s="24">
        <f t="shared" si="27"/>
        <v>530806.10959687491</v>
      </c>
      <c r="M40" s="24">
        <f t="shared" si="27"/>
        <v>557346.41507671878</v>
      </c>
      <c r="N40" s="24">
        <f t="shared" si="27"/>
        <v>585213.73583055474</v>
      </c>
      <c r="O40" s="24">
        <f t="shared" si="27"/>
        <v>614474.42262208252</v>
      </c>
      <c r="P40" s="24">
        <f t="shared" si="27"/>
        <v>645198.14375318657</v>
      </c>
      <c r="Q40" s="24">
        <f t="shared" si="27"/>
        <v>677458.05094084609</v>
      </c>
      <c r="R40" s="24">
        <f t="shared" si="27"/>
        <v>711330.95348788844</v>
      </c>
      <c r="S40" s="24">
        <f t="shared" si="27"/>
        <v>719368.11097152694</v>
      </c>
      <c r="T40" s="24">
        <f t="shared" si="27"/>
        <v>727531.30497099843</v>
      </c>
      <c r="U40" s="24">
        <f t="shared" si="27"/>
        <v>735822.84509019158</v>
      </c>
      <c r="V40" s="24">
        <f t="shared" si="27"/>
        <v>744245.08569350734</v>
      </c>
      <c r="W40" s="24">
        <f t="shared" si="27"/>
        <v>752800.42679015337</v>
      </c>
      <c r="X40" s="24">
        <f t="shared" si="27"/>
        <v>761491.31493603042</v>
      </c>
      <c r="Y40" s="24">
        <f t="shared" si="27"/>
        <v>770320.24415356317</v>
      </c>
      <c r="Z40" s="24">
        <f t="shared" si="27"/>
        <v>779289.75686983531</v>
      </c>
      <c r="AA40" s="24">
        <f t="shared" si="27"/>
        <v>788402.44487339177</v>
      </c>
      <c r="AB40" s="24">
        <f t="shared" si="27"/>
        <v>797660.95029008074</v>
      </c>
      <c r="AC40" s="24">
        <f t="shared" si="27"/>
        <v>807067.96657831781</v>
      </c>
      <c r="AD40" s="24">
        <f t="shared" si="27"/>
        <v>814339.48946322198</v>
      </c>
      <c r="AE40" s="24">
        <f t="shared" si="27"/>
        <v>821747.57296937797</v>
      </c>
      <c r="AF40" s="24">
        <f t="shared" si="27"/>
        <v>829294.93943937356</v>
      </c>
      <c r="AG40" s="24">
        <f t="shared" si="27"/>
        <v>836984.36565377994</v>
      </c>
      <c r="AH40" s="24">
        <f t="shared" si="27"/>
        <v>844818.6839199001</v>
      </c>
      <c r="AI40" s="24">
        <f t="shared" si="27"/>
        <v>852800.78318229562</v>
      </c>
      <c r="AJ40" s="24">
        <f t="shared" si="27"/>
        <v>860933.61015552306</v>
      </c>
      <c r="AK40" s="24">
        <f t="shared" si="27"/>
        <v>869220.17047952453</v>
      </c>
      <c r="AL40" s="24">
        <f t="shared" si="27"/>
        <v>877663.52989812684</v>
      </c>
      <c r="AM40" s="24">
        <f t="shared" si="27"/>
        <v>886266.81546111056</v>
      </c>
      <c r="AN40" s="24">
        <f t="shared" si="27"/>
        <v>895033.21675031888</v>
      </c>
      <c r="AO40" s="24">
        <f t="shared" si="27"/>
        <v>903965.98713029118</v>
      </c>
      <c r="AP40" s="24">
        <f t="shared" si="27"/>
        <v>913068.44502390781</v>
      </c>
      <c r="AQ40" s="24">
        <f t="shared" si="27"/>
        <v>922343.97521354817</v>
      </c>
      <c r="AR40" s="24">
        <f t="shared" si="27"/>
        <v>931796.03016827034</v>
      </c>
    </row>
    <row r="41" spans="1:44" ht="12.75" customHeight="1" x14ac:dyDescent="0.15">
      <c r="A41" s="35"/>
      <c r="B41" s="68"/>
      <c r="C41" s="66"/>
      <c r="D41" s="35"/>
      <c r="E41" s="36"/>
      <c r="F41" s="38" t="s">
        <v>89</v>
      </c>
      <c r="G41" s="38"/>
      <c r="H41" s="38">
        <f t="shared" ref="H41:AR41" si="28">H40/H26</f>
        <v>0.7</v>
      </c>
      <c r="I41" s="38">
        <f t="shared" si="28"/>
        <v>0.70000000000000007</v>
      </c>
      <c r="J41" s="38">
        <f t="shared" si="28"/>
        <v>0.7</v>
      </c>
      <c r="K41" s="38">
        <f t="shared" si="28"/>
        <v>0.70000000000000007</v>
      </c>
      <c r="L41" s="38">
        <f t="shared" si="28"/>
        <v>0.7</v>
      </c>
      <c r="M41" s="38">
        <f t="shared" si="28"/>
        <v>0.7</v>
      </c>
      <c r="N41" s="38">
        <f t="shared" si="28"/>
        <v>0.7</v>
      </c>
      <c r="O41" s="38">
        <f t="shared" si="28"/>
        <v>0.7</v>
      </c>
      <c r="P41" s="38">
        <f t="shared" si="28"/>
        <v>0.7</v>
      </c>
      <c r="Q41" s="38">
        <f t="shared" si="28"/>
        <v>0.70000000000000007</v>
      </c>
      <c r="R41" s="38">
        <f t="shared" si="28"/>
        <v>0.7</v>
      </c>
      <c r="S41" s="38">
        <f t="shared" si="28"/>
        <v>0.7</v>
      </c>
      <c r="T41" s="38">
        <f t="shared" si="28"/>
        <v>0.7</v>
      </c>
      <c r="U41" s="38">
        <f t="shared" si="28"/>
        <v>0.7</v>
      </c>
      <c r="V41" s="38">
        <f t="shared" si="28"/>
        <v>0.70000000000000007</v>
      </c>
      <c r="W41" s="38">
        <f t="shared" si="28"/>
        <v>0.7</v>
      </c>
      <c r="X41" s="38">
        <f t="shared" si="28"/>
        <v>0.70000000000000007</v>
      </c>
      <c r="Y41" s="38">
        <f t="shared" si="28"/>
        <v>0.70000000000000007</v>
      </c>
      <c r="Z41" s="38">
        <f t="shared" si="28"/>
        <v>0.7</v>
      </c>
      <c r="AA41" s="38">
        <f t="shared" si="28"/>
        <v>0.7</v>
      </c>
      <c r="AB41" s="38">
        <f t="shared" si="28"/>
        <v>0.7</v>
      </c>
      <c r="AC41" s="38">
        <f t="shared" si="28"/>
        <v>0.7</v>
      </c>
      <c r="AD41" s="38">
        <f t="shared" si="28"/>
        <v>0.7</v>
      </c>
      <c r="AE41" s="38">
        <f t="shared" si="28"/>
        <v>0.7</v>
      </c>
      <c r="AF41" s="38">
        <f t="shared" si="28"/>
        <v>0.69999999999999984</v>
      </c>
      <c r="AG41" s="38">
        <f t="shared" si="28"/>
        <v>0.7</v>
      </c>
      <c r="AH41" s="38">
        <f t="shared" si="28"/>
        <v>0.7</v>
      </c>
      <c r="AI41" s="38">
        <f t="shared" si="28"/>
        <v>0.70000000000000007</v>
      </c>
      <c r="AJ41" s="38">
        <f t="shared" si="28"/>
        <v>0.7</v>
      </c>
      <c r="AK41" s="38">
        <f t="shared" si="28"/>
        <v>0.7</v>
      </c>
      <c r="AL41" s="38">
        <f t="shared" si="28"/>
        <v>0.69999999999999984</v>
      </c>
      <c r="AM41" s="38">
        <f t="shared" si="28"/>
        <v>0.7</v>
      </c>
      <c r="AN41" s="38">
        <f t="shared" si="28"/>
        <v>0.7</v>
      </c>
      <c r="AO41" s="38">
        <f t="shared" si="28"/>
        <v>0.7</v>
      </c>
      <c r="AP41" s="38">
        <f t="shared" si="28"/>
        <v>0.7</v>
      </c>
      <c r="AQ41" s="38">
        <f t="shared" si="28"/>
        <v>0.7</v>
      </c>
      <c r="AR41" s="38">
        <f t="shared" si="28"/>
        <v>0.7</v>
      </c>
    </row>
    <row r="42" spans="1:44" ht="12.75" customHeight="1" x14ac:dyDescent="0.15">
      <c r="A42" s="1"/>
      <c r="B42" s="69"/>
      <c r="C42" s="66"/>
      <c r="D42" s="1"/>
      <c r="E42" s="1"/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1:44" ht="12.75" customHeight="1" x14ac:dyDescent="0.15">
      <c r="A43" s="1"/>
      <c r="B43" s="69"/>
      <c r="C43" s="66"/>
      <c r="D43" s="1"/>
      <c r="E43" s="23" t="s">
        <v>40</v>
      </c>
      <c r="F43" s="15" t="s">
        <v>41</v>
      </c>
      <c r="G43" s="26">
        <f t="shared" ref="G43:AR43" si="29">SUM(G44:G54)</f>
        <v>0</v>
      </c>
      <c r="H43" s="26">
        <f t="shared" si="29"/>
        <v>454373.5</v>
      </c>
      <c r="I43" s="26">
        <f t="shared" si="29"/>
        <v>454373.5</v>
      </c>
      <c r="J43" s="26">
        <f t="shared" si="29"/>
        <v>454373.5</v>
      </c>
      <c r="K43" s="26">
        <f t="shared" si="29"/>
        <v>454373.5</v>
      </c>
      <c r="L43" s="26">
        <f t="shared" si="29"/>
        <v>454373.5</v>
      </c>
      <c r="M43" s="26">
        <f t="shared" si="29"/>
        <v>454373.5</v>
      </c>
      <c r="N43" s="26">
        <f t="shared" si="29"/>
        <v>454373.5</v>
      </c>
      <c r="O43" s="26">
        <f t="shared" si="29"/>
        <v>454373.5</v>
      </c>
      <c r="P43" s="26">
        <f t="shared" si="29"/>
        <v>454373.5</v>
      </c>
      <c r="Q43" s="26">
        <f t="shared" si="29"/>
        <v>454373.5</v>
      </c>
      <c r="R43" s="26">
        <f t="shared" si="29"/>
        <v>454373.5</v>
      </c>
      <c r="S43" s="26">
        <f t="shared" si="29"/>
        <v>454373.5</v>
      </c>
      <c r="T43" s="26">
        <f t="shared" si="29"/>
        <v>454373.5</v>
      </c>
      <c r="U43" s="26">
        <f t="shared" si="29"/>
        <v>454373.5</v>
      </c>
      <c r="V43" s="26">
        <f t="shared" si="29"/>
        <v>454373.5</v>
      </c>
      <c r="W43" s="26">
        <f t="shared" si="29"/>
        <v>454373.5</v>
      </c>
      <c r="X43" s="26">
        <f t="shared" si="29"/>
        <v>454373.5</v>
      </c>
      <c r="Y43" s="26">
        <f t="shared" si="29"/>
        <v>454373.5</v>
      </c>
      <c r="Z43" s="26">
        <f t="shared" si="29"/>
        <v>454373.5</v>
      </c>
      <c r="AA43" s="26">
        <f t="shared" si="29"/>
        <v>454373.5</v>
      </c>
      <c r="AB43" s="26">
        <f t="shared" si="29"/>
        <v>454373.5</v>
      </c>
      <c r="AC43" s="26">
        <f t="shared" si="29"/>
        <v>454373.5</v>
      </c>
      <c r="AD43" s="26">
        <f t="shared" si="29"/>
        <v>454373.5</v>
      </c>
      <c r="AE43" s="26">
        <f t="shared" si="29"/>
        <v>454373.5</v>
      </c>
      <c r="AF43" s="26">
        <f t="shared" si="29"/>
        <v>454373.5</v>
      </c>
      <c r="AG43" s="26">
        <f t="shared" si="29"/>
        <v>454373.5</v>
      </c>
      <c r="AH43" s="26">
        <f t="shared" si="29"/>
        <v>454373.5</v>
      </c>
      <c r="AI43" s="26">
        <f t="shared" si="29"/>
        <v>454373.5</v>
      </c>
      <c r="AJ43" s="26">
        <f t="shared" si="29"/>
        <v>454373.5</v>
      </c>
      <c r="AK43" s="26">
        <f t="shared" si="29"/>
        <v>454373.5</v>
      </c>
      <c r="AL43" s="26">
        <f t="shared" si="29"/>
        <v>454373.5</v>
      </c>
      <c r="AM43" s="26">
        <f t="shared" si="29"/>
        <v>454373.5</v>
      </c>
      <c r="AN43" s="26">
        <f t="shared" si="29"/>
        <v>454373.5</v>
      </c>
      <c r="AO43" s="26">
        <f t="shared" si="29"/>
        <v>454373.5</v>
      </c>
      <c r="AP43" s="26">
        <f t="shared" si="29"/>
        <v>454373.5</v>
      </c>
      <c r="AQ43" s="26">
        <f t="shared" si="29"/>
        <v>454373.5</v>
      </c>
      <c r="AR43" s="26">
        <f t="shared" si="29"/>
        <v>454373.5</v>
      </c>
    </row>
    <row r="44" spans="1:44" ht="12.75" customHeight="1" x14ac:dyDescent="0.15">
      <c r="A44" s="1"/>
      <c r="B44" s="69"/>
      <c r="C44" s="66"/>
      <c r="D44" s="1"/>
      <c r="E44" s="14">
        <v>135000</v>
      </c>
      <c r="F44" s="27" t="s">
        <v>43</v>
      </c>
      <c r="G44" s="28"/>
      <c r="H44" s="28">
        <f t="shared" ref="H44:AR50" si="30">$E44</f>
        <v>135000</v>
      </c>
      <c r="I44" s="28">
        <f t="shared" si="30"/>
        <v>135000</v>
      </c>
      <c r="J44" s="28">
        <f t="shared" si="30"/>
        <v>135000</v>
      </c>
      <c r="K44" s="28">
        <f t="shared" si="30"/>
        <v>135000</v>
      </c>
      <c r="L44" s="28">
        <f t="shared" si="30"/>
        <v>135000</v>
      </c>
      <c r="M44" s="28">
        <f t="shared" si="30"/>
        <v>135000</v>
      </c>
      <c r="N44" s="28">
        <f t="shared" si="30"/>
        <v>135000</v>
      </c>
      <c r="O44" s="28">
        <f t="shared" si="30"/>
        <v>135000</v>
      </c>
      <c r="P44" s="28">
        <f t="shared" si="30"/>
        <v>135000</v>
      </c>
      <c r="Q44" s="28">
        <f t="shared" si="30"/>
        <v>135000</v>
      </c>
      <c r="R44" s="28">
        <f t="shared" si="30"/>
        <v>135000</v>
      </c>
      <c r="S44" s="28">
        <f t="shared" si="30"/>
        <v>135000</v>
      </c>
      <c r="T44" s="28">
        <f t="shared" si="30"/>
        <v>135000</v>
      </c>
      <c r="U44" s="28">
        <f t="shared" si="30"/>
        <v>135000</v>
      </c>
      <c r="V44" s="28">
        <f t="shared" si="30"/>
        <v>135000</v>
      </c>
      <c r="W44" s="28">
        <f t="shared" si="30"/>
        <v>135000</v>
      </c>
      <c r="X44" s="28">
        <f t="shared" si="30"/>
        <v>135000</v>
      </c>
      <c r="Y44" s="28">
        <f t="shared" si="30"/>
        <v>135000</v>
      </c>
      <c r="Z44" s="28">
        <f t="shared" si="30"/>
        <v>135000</v>
      </c>
      <c r="AA44" s="28">
        <f t="shared" si="30"/>
        <v>135000</v>
      </c>
      <c r="AB44" s="28">
        <f t="shared" si="30"/>
        <v>135000</v>
      </c>
      <c r="AC44" s="28">
        <f t="shared" si="30"/>
        <v>135000</v>
      </c>
      <c r="AD44" s="28">
        <f t="shared" si="30"/>
        <v>135000</v>
      </c>
      <c r="AE44" s="28">
        <f t="shared" si="30"/>
        <v>135000</v>
      </c>
      <c r="AF44" s="28">
        <f t="shared" si="30"/>
        <v>135000</v>
      </c>
      <c r="AG44" s="28">
        <f t="shared" si="30"/>
        <v>135000</v>
      </c>
      <c r="AH44" s="28">
        <f t="shared" si="30"/>
        <v>135000</v>
      </c>
      <c r="AI44" s="28">
        <f t="shared" si="30"/>
        <v>135000</v>
      </c>
      <c r="AJ44" s="28">
        <f t="shared" si="30"/>
        <v>135000</v>
      </c>
      <c r="AK44" s="28">
        <f t="shared" si="30"/>
        <v>135000</v>
      </c>
      <c r="AL44" s="28">
        <f t="shared" si="30"/>
        <v>135000</v>
      </c>
      <c r="AM44" s="28">
        <f t="shared" si="30"/>
        <v>135000</v>
      </c>
      <c r="AN44" s="28">
        <f t="shared" si="30"/>
        <v>135000</v>
      </c>
      <c r="AO44" s="28">
        <f t="shared" si="30"/>
        <v>135000</v>
      </c>
      <c r="AP44" s="28">
        <f t="shared" si="30"/>
        <v>135000</v>
      </c>
      <c r="AQ44" s="28">
        <f t="shared" si="30"/>
        <v>135000</v>
      </c>
      <c r="AR44" s="28">
        <f t="shared" si="30"/>
        <v>135000</v>
      </c>
    </row>
    <row r="45" spans="1:44" ht="12.75" customHeight="1" x14ac:dyDescent="0.15">
      <c r="A45" s="1"/>
      <c r="B45" s="69"/>
      <c r="C45" s="66"/>
      <c r="D45" s="1"/>
      <c r="E45" s="14">
        <v>10000</v>
      </c>
      <c r="F45" s="27" t="s">
        <v>45</v>
      </c>
      <c r="G45" s="28"/>
      <c r="H45" s="28">
        <f t="shared" si="30"/>
        <v>10000</v>
      </c>
      <c r="I45" s="28">
        <f t="shared" si="30"/>
        <v>10000</v>
      </c>
      <c r="J45" s="28">
        <f t="shared" si="30"/>
        <v>10000</v>
      </c>
      <c r="K45" s="28">
        <f t="shared" si="30"/>
        <v>10000</v>
      </c>
      <c r="L45" s="28">
        <f t="shared" si="30"/>
        <v>10000</v>
      </c>
      <c r="M45" s="28">
        <f t="shared" si="30"/>
        <v>10000</v>
      </c>
      <c r="N45" s="28">
        <f t="shared" si="30"/>
        <v>10000</v>
      </c>
      <c r="O45" s="28">
        <f t="shared" si="30"/>
        <v>10000</v>
      </c>
      <c r="P45" s="28">
        <f t="shared" si="30"/>
        <v>10000</v>
      </c>
      <c r="Q45" s="28">
        <f t="shared" si="30"/>
        <v>10000</v>
      </c>
      <c r="R45" s="28">
        <f t="shared" si="30"/>
        <v>10000</v>
      </c>
      <c r="S45" s="28">
        <f t="shared" si="30"/>
        <v>10000</v>
      </c>
      <c r="T45" s="28">
        <f t="shared" si="30"/>
        <v>10000</v>
      </c>
      <c r="U45" s="28">
        <f t="shared" si="30"/>
        <v>10000</v>
      </c>
      <c r="V45" s="28">
        <f t="shared" si="30"/>
        <v>10000</v>
      </c>
      <c r="W45" s="28">
        <f t="shared" si="30"/>
        <v>10000</v>
      </c>
      <c r="X45" s="28">
        <f t="shared" si="30"/>
        <v>10000</v>
      </c>
      <c r="Y45" s="28">
        <f t="shared" si="30"/>
        <v>10000</v>
      </c>
      <c r="Z45" s="28">
        <f t="shared" si="30"/>
        <v>10000</v>
      </c>
      <c r="AA45" s="28">
        <f t="shared" si="30"/>
        <v>10000</v>
      </c>
      <c r="AB45" s="28">
        <f t="shared" si="30"/>
        <v>10000</v>
      </c>
      <c r="AC45" s="28">
        <f t="shared" si="30"/>
        <v>10000</v>
      </c>
      <c r="AD45" s="28">
        <f t="shared" si="30"/>
        <v>10000</v>
      </c>
      <c r="AE45" s="28">
        <f t="shared" si="30"/>
        <v>10000</v>
      </c>
      <c r="AF45" s="28">
        <f t="shared" si="30"/>
        <v>10000</v>
      </c>
      <c r="AG45" s="28">
        <f t="shared" si="30"/>
        <v>10000</v>
      </c>
      <c r="AH45" s="28">
        <f t="shared" si="30"/>
        <v>10000</v>
      </c>
      <c r="AI45" s="28">
        <f t="shared" si="30"/>
        <v>10000</v>
      </c>
      <c r="AJ45" s="28">
        <f t="shared" si="30"/>
        <v>10000</v>
      </c>
      <c r="AK45" s="28">
        <f t="shared" si="30"/>
        <v>10000</v>
      </c>
      <c r="AL45" s="28">
        <f t="shared" si="30"/>
        <v>10000</v>
      </c>
      <c r="AM45" s="28">
        <f t="shared" si="30"/>
        <v>10000</v>
      </c>
      <c r="AN45" s="28">
        <f t="shared" si="30"/>
        <v>10000</v>
      </c>
      <c r="AO45" s="28">
        <f t="shared" si="30"/>
        <v>10000</v>
      </c>
      <c r="AP45" s="28">
        <f t="shared" si="30"/>
        <v>10000</v>
      </c>
      <c r="AQ45" s="28">
        <f t="shared" si="30"/>
        <v>10000</v>
      </c>
      <c r="AR45" s="28">
        <f t="shared" si="30"/>
        <v>10000</v>
      </c>
    </row>
    <row r="46" spans="1:44" ht="12.75" customHeight="1" x14ac:dyDescent="0.15">
      <c r="A46" s="1"/>
      <c r="B46" s="69"/>
      <c r="C46" s="66">
        <f>SUM(E46:E49)</f>
        <v>293436</v>
      </c>
      <c r="D46" s="1">
        <v>1.1000000000000001</v>
      </c>
      <c r="E46" s="14">
        <f>IF(C10=1, 15000*D46, 15000)</f>
        <v>16500</v>
      </c>
      <c r="F46" s="27" t="s">
        <v>47</v>
      </c>
      <c r="G46" s="28"/>
      <c r="H46" s="28">
        <f t="shared" si="30"/>
        <v>16500</v>
      </c>
      <c r="I46" s="28">
        <f t="shared" si="30"/>
        <v>16500</v>
      </c>
      <c r="J46" s="28">
        <f t="shared" si="30"/>
        <v>16500</v>
      </c>
      <c r="K46" s="28">
        <f t="shared" si="30"/>
        <v>16500</v>
      </c>
      <c r="L46" s="28">
        <f t="shared" si="30"/>
        <v>16500</v>
      </c>
      <c r="M46" s="28">
        <f t="shared" si="30"/>
        <v>16500</v>
      </c>
      <c r="N46" s="28">
        <f t="shared" si="30"/>
        <v>16500</v>
      </c>
      <c r="O46" s="28">
        <f t="shared" si="30"/>
        <v>16500</v>
      </c>
      <c r="P46" s="28">
        <f t="shared" si="30"/>
        <v>16500</v>
      </c>
      <c r="Q46" s="28">
        <f t="shared" si="30"/>
        <v>16500</v>
      </c>
      <c r="R46" s="28">
        <f t="shared" si="30"/>
        <v>16500</v>
      </c>
      <c r="S46" s="28">
        <f t="shared" si="30"/>
        <v>16500</v>
      </c>
      <c r="T46" s="28">
        <f t="shared" si="30"/>
        <v>16500</v>
      </c>
      <c r="U46" s="28">
        <f t="shared" si="30"/>
        <v>16500</v>
      </c>
      <c r="V46" s="28">
        <f t="shared" si="30"/>
        <v>16500</v>
      </c>
      <c r="W46" s="28">
        <f t="shared" si="30"/>
        <v>16500</v>
      </c>
      <c r="X46" s="28">
        <f t="shared" si="30"/>
        <v>16500</v>
      </c>
      <c r="Y46" s="28">
        <f t="shared" si="30"/>
        <v>16500</v>
      </c>
      <c r="Z46" s="28">
        <f t="shared" si="30"/>
        <v>16500</v>
      </c>
      <c r="AA46" s="28">
        <f t="shared" si="30"/>
        <v>16500</v>
      </c>
      <c r="AB46" s="28">
        <f t="shared" si="30"/>
        <v>16500</v>
      </c>
      <c r="AC46" s="28">
        <f t="shared" si="30"/>
        <v>16500</v>
      </c>
      <c r="AD46" s="28">
        <f t="shared" si="30"/>
        <v>16500</v>
      </c>
      <c r="AE46" s="28">
        <f t="shared" si="30"/>
        <v>16500</v>
      </c>
      <c r="AF46" s="28">
        <f t="shared" si="30"/>
        <v>16500</v>
      </c>
      <c r="AG46" s="28">
        <f t="shared" si="30"/>
        <v>16500</v>
      </c>
      <c r="AH46" s="28">
        <f t="shared" si="30"/>
        <v>16500</v>
      </c>
      <c r="AI46" s="28">
        <f t="shared" si="30"/>
        <v>16500</v>
      </c>
      <c r="AJ46" s="28">
        <f t="shared" si="30"/>
        <v>16500</v>
      </c>
      <c r="AK46" s="28">
        <f t="shared" si="30"/>
        <v>16500</v>
      </c>
      <c r="AL46" s="28">
        <f t="shared" si="30"/>
        <v>16500</v>
      </c>
      <c r="AM46" s="28">
        <f t="shared" si="30"/>
        <v>16500</v>
      </c>
      <c r="AN46" s="28">
        <f t="shared" si="30"/>
        <v>16500</v>
      </c>
      <c r="AO46" s="28">
        <f t="shared" si="30"/>
        <v>16500</v>
      </c>
      <c r="AP46" s="28">
        <f t="shared" si="30"/>
        <v>16500</v>
      </c>
      <c r="AQ46" s="28">
        <f t="shared" si="30"/>
        <v>16500</v>
      </c>
      <c r="AR46" s="28">
        <f t="shared" si="30"/>
        <v>16500</v>
      </c>
    </row>
    <row r="47" spans="1:44" ht="12.75" customHeight="1" x14ac:dyDescent="0.15">
      <c r="A47" s="1"/>
      <c r="B47" s="69"/>
      <c r="C47" s="66"/>
      <c r="D47" s="1"/>
      <c r="E47" s="14">
        <f>IF($C$10=1, 148800*D46, 148800)</f>
        <v>163680</v>
      </c>
      <c r="F47" s="27" t="s">
        <v>49</v>
      </c>
      <c r="G47" s="28"/>
      <c r="H47" s="28">
        <f t="shared" si="30"/>
        <v>163680</v>
      </c>
      <c r="I47" s="28">
        <f t="shared" si="30"/>
        <v>163680</v>
      </c>
      <c r="J47" s="28">
        <f t="shared" si="30"/>
        <v>163680</v>
      </c>
      <c r="K47" s="28">
        <f t="shared" si="30"/>
        <v>163680</v>
      </c>
      <c r="L47" s="28">
        <f t="shared" si="30"/>
        <v>163680</v>
      </c>
      <c r="M47" s="28">
        <f t="shared" si="30"/>
        <v>163680</v>
      </c>
      <c r="N47" s="28">
        <f t="shared" si="30"/>
        <v>163680</v>
      </c>
      <c r="O47" s="28">
        <f t="shared" si="30"/>
        <v>163680</v>
      </c>
      <c r="P47" s="28">
        <f t="shared" si="30"/>
        <v>163680</v>
      </c>
      <c r="Q47" s="28">
        <f t="shared" si="30"/>
        <v>163680</v>
      </c>
      <c r="R47" s="28">
        <f t="shared" si="30"/>
        <v>163680</v>
      </c>
      <c r="S47" s="28">
        <f t="shared" si="30"/>
        <v>163680</v>
      </c>
      <c r="T47" s="28">
        <f t="shared" si="30"/>
        <v>163680</v>
      </c>
      <c r="U47" s="28">
        <f t="shared" si="30"/>
        <v>163680</v>
      </c>
      <c r="V47" s="28">
        <f t="shared" si="30"/>
        <v>163680</v>
      </c>
      <c r="W47" s="28">
        <f t="shared" si="30"/>
        <v>163680</v>
      </c>
      <c r="X47" s="28">
        <f t="shared" si="30"/>
        <v>163680</v>
      </c>
      <c r="Y47" s="28">
        <f t="shared" si="30"/>
        <v>163680</v>
      </c>
      <c r="Z47" s="28">
        <f t="shared" si="30"/>
        <v>163680</v>
      </c>
      <c r="AA47" s="28">
        <f t="shared" si="30"/>
        <v>163680</v>
      </c>
      <c r="AB47" s="28">
        <f t="shared" si="30"/>
        <v>163680</v>
      </c>
      <c r="AC47" s="28">
        <f t="shared" si="30"/>
        <v>163680</v>
      </c>
      <c r="AD47" s="28">
        <f t="shared" si="30"/>
        <v>163680</v>
      </c>
      <c r="AE47" s="28">
        <f t="shared" si="30"/>
        <v>163680</v>
      </c>
      <c r="AF47" s="28">
        <f t="shared" si="30"/>
        <v>163680</v>
      </c>
      <c r="AG47" s="28">
        <f t="shared" si="30"/>
        <v>163680</v>
      </c>
      <c r="AH47" s="28">
        <f t="shared" si="30"/>
        <v>163680</v>
      </c>
      <c r="AI47" s="28">
        <f t="shared" si="30"/>
        <v>163680</v>
      </c>
      <c r="AJ47" s="28">
        <f t="shared" si="30"/>
        <v>163680</v>
      </c>
      <c r="AK47" s="28">
        <f t="shared" si="30"/>
        <v>163680</v>
      </c>
      <c r="AL47" s="28">
        <f t="shared" si="30"/>
        <v>163680</v>
      </c>
      <c r="AM47" s="28">
        <f t="shared" si="30"/>
        <v>163680</v>
      </c>
      <c r="AN47" s="28">
        <f t="shared" si="30"/>
        <v>163680</v>
      </c>
      <c r="AO47" s="28">
        <f t="shared" si="30"/>
        <v>163680</v>
      </c>
      <c r="AP47" s="28">
        <f t="shared" si="30"/>
        <v>163680</v>
      </c>
      <c r="AQ47" s="28">
        <f t="shared" si="30"/>
        <v>163680</v>
      </c>
      <c r="AR47" s="28">
        <f t="shared" si="30"/>
        <v>163680</v>
      </c>
    </row>
    <row r="48" spans="1:44" ht="12.75" customHeight="1" x14ac:dyDescent="0.15">
      <c r="A48" s="1"/>
      <c r="B48" s="69"/>
      <c r="C48" s="66"/>
      <c r="D48" s="1"/>
      <c r="E48" s="14">
        <f>IF($C$10=1, 66960*D46, 66960)</f>
        <v>73656</v>
      </c>
      <c r="F48" s="27" t="s">
        <v>51</v>
      </c>
      <c r="G48" s="28"/>
      <c r="H48" s="28">
        <f t="shared" si="30"/>
        <v>73656</v>
      </c>
      <c r="I48" s="28">
        <f t="shared" si="30"/>
        <v>73656</v>
      </c>
      <c r="J48" s="28">
        <f t="shared" si="30"/>
        <v>73656</v>
      </c>
      <c r="K48" s="28">
        <f t="shared" si="30"/>
        <v>73656</v>
      </c>
      <c r="L48" s="28">
        <f t="shared" si="30"/>
        <v>73656</v>
      </c>
      <c r="M48" s="28">
        <f t="shared" si="30"/>
        <v>73656</v>
      </c>
      <c r="N48" s="28">
        <f t="shared" si="30"/>
        <v>73656</v>
      </c>
      <c r="O48" s="28">
        <f t="shared" si="30"/>
        <v>73656</v>
      </c>
      <c r="P48" s="28">
        <f t="shared" si="30"/>
        <v>73656</v>
      </c>
      <c r="Q48" s="28">
        <f t="shared" si="30"/>
        <v>73656</v>
      </c>
      <c r="R48" s="28">
        <f t="shared" si="30"/>
        <v>73656</v>
      </c>
      <c r="S48" s="28">
        <f t="shared" si="30"/>
        <v>73656</v>
      </c>
      <c r="T48" s="28">
        <f t="shared" si="30"/>
        <v>73656</v>
      </c>
      <c r="U48" s="28">
        <f t="shared" si="30"/>
        <v>73656</v>
      </c>
      <c r="V48" s="28">
        <f t="shared" si="30"/>
        <v>73656</v>
      </c>
      <c r="W48" s="28">
        <f t="shared" si="30"/>
        <v>73656</v>
      </c>
      <c r="X48" s="28">
        <f t="shared" si="30"/>
        <v>73656</v>
      </c>
      <c r="Y48" s="28">
        <f t="shared" si="30"/>
        <v>73656</v>
      </c>
      <c r="Z48" s="28">
        <f t="shared" si="30"/>
        <v>73656</v>
      </c>
      <c r="AA48" s="28">
        <f t="shared" si="30"/>
        <v>73656</v>
      </c>
      <c r="AB48" s="28">
        <f t="shared" si="30"/>
        <v>73656</v>
      </c>
      <c r="AC48" s="28">
        <f t="shared" si="30"/>
        <v>73656</v>
      </c>
      <c r="AD48" s="28">
        <f t="shared" si="30"/>
        <v>73656</v>
      </c>
      <c r="AE48" s="28">
        <f t="shared" si="30"/>
        <v>73656</v>
      </c>
      <c r="AF48" s="28">
        <f t="shared" si="30"/>
        <v>73656</v>
      </c>
      <c r="AG48" s="28">
        <f t="shared" si="30"/>
        <v>73656</v>
      </c>
      <c r="AH48" s="28">
        <f t="shared" si="30"/>
        <v>73656</v>
      </c>
      <c r="AI48" s="28">
        <f t="shared" si="30"/>
        <v>73656</v>
      </c>
      <c r="AJ48" s="28">
        <f t="shared" si="30"/>
        <v>73656</v>
      </c>
      <c r="AK48" s="28">
        <f t="shared" si="30"/>
        <v>73656</v>
      </c>
      <c r="AL48" s="28">
        <f t="shared" si="30"/>
        <v>73656</v>
      </c>
      <c r="AM48" s="28">
        <f t="shared" si="30"/>
        <v>73656</v>
      </c>
      <c r="AN48" s="28">
        <f t="shared" si="30"/>
        <v>73656</v>
      </c>
      <c r="AO48" s="28">
        <f t="shared" si="30"/>
        <v>73656</v>
      </c>
      <c r="AP48" s="28">
        <f t="shared" si="30"/>
        <v>73656</v>
      </c>
      <c r="AQ48" s="28">
        <f t="shared" si="30"/>
        <v>73656</v>
      </c>
      <c r="AR48" s="28">
        <f t="shared" si="30"/>
        <v>73656</v>
      </c>
    </row>
    <row r="49" spans="1:44" ht="12.75" customHeight="1" x14ac:dyDescent="0.15">
      <c r="A49" s="1"/>
      <c r="B49" s="69"/>
      <c r="C49" s="66"/>
      <c r="D49" s="1"/>
      <c r="E49" s="14">
        <f>IF($C$10=1, 36000*D46, 36000)</f>
        <v>39600</v>
      </c>
      <c r="F49" s="27" t="s">
        <v>53</v>
      </c>
      <c r="G49" s="28"/>
      <c r="H49" s="28">
        <f t="shared" si="30"/>
        <v>39600</v>
      </c>
      <c r="I49" s="28">
        <f t="shared" si="30"/>
        <v>39600</v>
      </c>
      <c r="J49" s="28">
        <f t="shared" si="30"/>
        <v>39600</v>
      </c>
      <c r="K49" s="28">
        <f t="shared" si="30"/>
        <v>39600</v>
      </c>
      <c r="L49" s="28">
        <f t="shared" si="30"/>
        <v>39600</v>
      </c>
      <c r="M49" s="28">
        <f t="shared" si="30"/>
        <v>39600</v>
      </c>
      <c r="N49" s="28">
        <f t="shared" si="30"/>
        <v>39600</v>
      </c>
      <c r="O49" s="28">
        <f t="shared" si="30"/>
        <v>39600</v>
      </c>
      <c r="P49" s="28">
        <f t="shared" si="30"/>
        <v>39600</v>
      </c>
      <c r="Q49" s="28">
        <f t="shared" si="30"/>
        <v>39600</v>
      </c>
      <c r="R49" s="28">
        <f t="shared" si="30"/>
        <v>39600</v>
      </c>
      <c r="S49" s="28">
        <f t="shared" si="30"/>
        <v>39600</v>
      </c>
      <c r="T49" s="28">
        <f t="shared" si="30"/>
        <v>39600</v>
      </c>
      <c r="U49" s="28">
        <f t="shared" si="30"/>
        <v>39600</v>
      </c>
      <c r="V49" s="28">
        <f t="shared" si="30"/>
        <v>39600</v>
      </c>
      <c r="W49" s="28">
        <f t="shared" si="30"/>
        <v>39600</v>
      </c>
      <c r="X49" s="28">
        <f t="shared" si="30"/>
        <v>39600</v>
      </c>
      <c r="Y49" s="28">
        <f t="shared" si="30"/>
        <v>39600</v>
      </c>
      <c r="Z49" s="28">
        <f t="shared" si="30"/>
        <v>39600</v>
      </c>
      <c r="AA49" s="28">
        <f t="shared" si="30"/>
        <v>39600</v>
      </c>
      <c r="AB49" s="28">
        <f t="shared" si="30"/>
        <v>39600</v>
      </c>
      <c r="AC49" s="28">
        <f t="shared" si="30"/>
        <v>39600</v>
      </c>
      <c r="AD49" s="28">
        <f t="shared" si="30"/>
        <v>39600</v>
      </c>
      <c r="AE49" s="28">
        <f t="shared" si="30"/>
        <v>39600</v>
      </c>
      <c r="AF49" s="28">
        <f t="shared" si="30"/>
        <v>39600</v>
      </c>
      <c r="AG49" s="28">
        <f t="shared" si="30"/>
        <v>39600</v>
      </c>
      <c r="AH49" s="28">
        <f t="shared" si="30"/>
        <v>39600</v>
      </c>
      <c r="AI49" s="28">
        <f t="shared" si="30"/>
        <v>39600</v>
      </c>
      <c r="AJ49" s="28">
        <f t="shared" si="30"/>
        <v>39600</v>
      </c>
      <c r="AK49" s="28">
        <f t="shared" si="30"/>
        <v>39600</v>
      </c>
      <c r="AL49" s="28">
        <f t="shared" si="30"/>
        <v>39600</v>
      </c>
      <c r="AM49" s="28">
        <f t="shared" si="30"/>
        <v>39600</v>
      </c>
      <c r="AN49" s="28">
        <f t="shared" si="30"/>
        <v>39600</v>
      </c>
      <c r="AO49" s="28">
        <f t="shared" si="30"/>
        <v>39600</v>
      </c>
      <c r="AP49" s="28">
        <f t="shared" si="30"/>
        <v>39600</v>
      </c>
      <c r="AQ49" s="28">
        <f t="shared" si="30"/>
        <v>39600</v>
      </c>
      <c r="AR49" s="28">
        <f t="shared" si="30"/>
        <v>39600</v>
      </c>
    </row>
    <row r="50" spans="1:44" ht="12.75" customHeight="1" x14ac:dyDescent="0.15">
      <c r="A50" s="1"/>
      <c r="B50" s="69"/>
      <c r="C50" s="66"/>
      <c r="D50" s="1"/>
      <c r="E50" s="14">
        <f>21875/2</f>
        <v>10937.5</v>
      </c>
      <c r="F50" s="39" t="s">
        <v>55</v>
      </c>
      <c r="G50" s="28"/>
      <c r="H50" s="28">
        <f t="shared" si="30"/>
        <v>10937.5</v>
      </c>
      <c r="I50" s="28">
        <f t="shared" si="30"/>
        <v>10937.5</v>
      </c>
      <c r="J50" s="28">
        <f t="shared" si="30"/>
        <v>10937.5</v>
      </c>
      <c r="K50" s="28">
        <f t="shared" si="30"/>
        <v>10937.5</v>
      </c>
      <c r="L50" s="28">
        <f t="shared" si="30"/>
        <v>10937.5</v>
      </c>
      <c r="M50" s="28">
        <f t="shared" si="30"/>
        <v>10937.5</v>
      </c>
      <c r="N50" s="28">
        <f t="shared" si="30"/>
        <v>10937.5</v>
      </c>
      <c r="O50" s="28">
        <f t="shared" si="30"/>
        <v>10937.5</v>
      </c>
      <c r="P50" s="28">
        <f t="shared" si="30"/>
        <v>10937.5</v>
      </c>
      <c r="Q50" s="28">
        <f t="shared" si="30"/>
        <v>10937.5</v>
      </c>
      <c r="R50" s="28">
        <f t="shared" si="30"/>
        <v>10937.5</v>
      </c>
      <c r="S50" s="28">
        <f t="shared" si="30"/>
        <v>10937.5</v>
      </c>
      <c r="T50" s="28">
        <f t="shared" si="30"/>
        <v>10937.5</v>
      </c>
      <c r="U50" s="28">
        <f t="shared" si="30"/>
        <v>10937.5</v>
      </c>
      <c r="V50" s="28">
        <f t="shared" si="30"/>
        <v>10937.5</v>
      </c>
      <c r="W50" s="28">
        <f t="shared" si="30"/>
        <v>10937.5</v>
      </c>
      <c r="X50" s="28">
        <f t="shared" si="30"/>
        <v>10937.5</v>
      </c>
      <c r="Y50" s="28">
        <f t="shared" si="30"/>
        <v>10937.5</v>
      </c>
      <c r="Z50" s="28">
        <f t="shared" si="30"/>
        <v>10937.5</v>
      </c>
      <c r="AA50" s="28">
        <f t="shared" si="30"/>
        <v>10937.5</v>
      </c>
      <c r="AB50" s="28">
        <f t="shared" si="30"/>
        <v>10937.5</v>
      </c>
      <c r="AC50" s="28">
        <f t="shared" si="30"/>
        <v>10937.5</v>
      </c>
      <c r="AD50" s="28">
        <f t="shared" si="30"/>
        <v>10937.5</v>
      </c>
      <c r="AE50" s="28">
        <f t="shared" si="30"/>
        <v>10937.5</v>
      </c>
      <c r="AF50" s="28">
        <f t="shared" si="30"/>
        <v>10937.5</v>
      </c>
      <c r="AG50" s="28">
        <f t="shared" si="30"/>
        <v>10937.5</v>
      </c>
      <c r="AH50" s="28">
        <f t="shared" si="30"/>
        <v>10937.5</v>
      </c>
      <c r="AI50" s="28">
        <f t="shared" si="30"/>
        <v>10937.5</v>
      </c>
      <c r="AJ50" s="28">
        <f t="shared" si="30"/>
        <v>10937.5</v>
      </c>
      <c r="AK50" s="28">
        <f t="shared" si="30"/>
        <v>10937.5</v>
      </c>
      <c r="AL50" s="28">
        <f t="shared" si="30"/>
        <v>10937.5</v>
      </c>
      <c r="AM50" s="28">
        <f t="shared" si="30"/>
        <v>10937.5</v>
      </c>
      <c r="AN50" s="28">
        <f t="shared" si="30"/>
        <v>10937.5</v>
      </c>
      <c r="AO50" s="28">
        <f t="shared" ref="AO50:BY50" si="31">$E50</f>
        <v>10937.5</v>
      </c>
      <c r="AP50" s="28">
        <f t="shared" si="31"/>
        <v>10937.5</v>
      </c>
      <c r="AQ50" s="28">
        <f t="shared" si="31"/>
        <v>10937.5</v>
      </c>
      <c r="AR50" s="28">
        <f t="shared" si="31"/>
        <v>10937.5</v>
      </c>
    </row>
    <row r="51" spans="1:44" ht="12.75" customHeight="1" x14ac:dyDescent="0.15">
      <c r="A51" s="1"/>
      <c r="B51" s="69"/>
      <c r="C51" s="66"/>
      <c r="D51" s="1"/>
      <c r="E51" s="14">
        <v>2000</v>
      </c>
      <c r="F51" s="39" t="s">
        <v>57</v>
      </c>
      <c r="G51" s="28"/>
      <c r="H51" s="28">
        <f t="shared" ref="H51:AR53" si="32">$E51</f>
        <v>2000</v>
      </c>
      <c r="I51" s="28">
        <f t="shared" si="32"/>
        <v>2000</v>
      </c>
      <c r="J51" s="28">
        <f t="shared" si="32"/>
        <v>2000</v>
      </c>
      <c r="K51" s="28">
        <f t="shared" si="32"/>
        <v>2000</v>
      </c>
      <c r="L51" s="28">
        <f t="shared" si="32"/>
        <v>2000</v>
      </c>
      <c r="M51" s="28">
        <f t="shared" si="32"/>
        <v>2000</v>
      </c>
      <c r="N51" s="28">
        <f t="shared" si="32"/>
        <v>2000</v>
      </c>
      <c r="O51" s="28">
        <f t="shared" si="32"/>
        <v>2000</v>
      </c>
      <c r="P51" s="28">
        <f t="shared" si="32"/>
        <v>2000</v>
      </c>
      <c r="Q51" s="28">
        <f t="shared" si="32"/>
        <v>2000</v>
      </c>
      <c r="R51" s="28">
        <f t="shared" si="32"/>
        <v>2000</v>
      </c>
      <c r="S51" s="28">
        <f t="shared" si="32"/>
        <v>2000</v>
      </c>
      <c r="T51" s="28">
        <f t="shared" si="32"/>
        <v>2000</v>
      </c>
      <c r="U51" s="28">
        <f t="shared" si="32"/>
        <v>2000</v>
      </c>
      <c r="V51" s="28">
        <f t="shared" si="32"/>
        <v>2000</v>
      </c>
      <c r="W51" s="28">
        <f t="shared" si="32"/>
        <v>2000</v>
      </c>
      <c r="X51" s="28">
        <f t="shared" si="32"/>
        <v>2000</v>
      </c>
      <c r="Y51" s="28">
        <f t="shared" si="32"/>
        <v>2000</v>
      </c>
      <c r="Z51" s="28">
        <f t="shared" si="32"/>
        <v>2000</v>
      </c>
      <c r="AA51" s="28">
        <f t="shared" si="32"/>
        <v>2000</v>
      </c>
      <c r="AB51" s="28">
        <f t="shared" si="32"/>
        <v>2000</v>
      </c>
      <c r="AC51" s="28">
        <f t="shared" si="32"/>
        <v>2000</v>
      </c>
      <c r="AD51" s="28">
        <f t="shared" si="32"/>
        <v>2000</v>
      </c>
      <c r="AE51" s="28">
        <f t="shared" si="32"/>
        <v>2000</v>
      </c>
      <c r="AF51" s="28">
        <f t="shared" si="32"/>
        <v>2000</v>
      </c>
      <c r="AG51" s="28">
        <f t="shared" si="32"/>
        <v>2000</v>
      </c>
      <c r="AH51" s="28">
        <f t="shared" si="32"/>
        <v>2000</v>
      </c>
      <c r="AI51" s="28">
        <f t="shared" si="32"/>
        <v>2000</v>
      </c>
      <c r="AJ51" s="28">
        <f t="shared" si="32"/>
        <v>2000</v>
      </c>
      <c r="AK51" s="28">
        <f t="shared" si="32"/>
        <v>2000</v>
      </c>
      <c r="AL51" s="28">
        <f t="shared" si="32"/>
        <v>2000</v>
      </c>
      <c r="AM51" s="28">
        <f t="shared" si="32"/>
        <v>2000</v>
      </c>
      <c r="AN51" s="28">
        <f t="shared" si="32"/>
        <v>2000</v>
      </c>
      <c r="AO51" s="28">
        <f t="shared" si="32"/>
        <v>2000</v>
      </c>
      <c r="AP51" s="28">
        <f t="shared" si="32"/>
        <v>2000</v>
      </c>
      <c r="AQ51" s="28">
        <f t="shared" si="32"/>
        <v>2000</v>
      </c>
      <c r="AR51" s="28">
        <f t="shared" si="32"/>
        <v>2000</v>
      </c>
    </row>
    <row r="52" spans="1:44" ht="12.75" customHeight="1" x14ac:dyDescent="0.15">
      <c r="A52" s="1"/>
      <c r="B52" s="69"/>
      <c r="C52" s="66"/>
      <c r="D52" s="1"/>
      <c r="E52" s="14">
        <v>3000</v>
      </c>
      <c r="F52" s="39" t="s">
        <v>59</v>
      </c>
      <c r="G52" s="28"/>
      <c r="H52" s="28">
        <f t="shared" si="32"/>
        <v>3000</v>
      </c>
      <c r="I52" s="28">
        <f t="shared" si="32"/>
        <v>3000</v>
      </c>
      <c r="J52" s="28">
        <f t="shared" si="32"/>
        <v>3000</v>
      </c>
      <c r="K52" s="28">
        <f t="shared" si="32"/>
        <v>3000</v>
      </c>
      <c r="L52" s="28">
        <f t="shared" si="32"/>
        <v>3000</v>
      </c>
      <c r="M52" s="28">
        <f t="shared" si="32"/>
        <v>3000</v>
      </c>
      <c r="N52" s="28">
        <f t="shared" si="32"/>
        <v>3000</v>
      </c>
      <c r="O52" s="28">
        <f t="shared" si="32"/>
        <v>3000</v>
      </c>
      <c r="P52" s="28">
        <f t="shared" si="32"/>
        <v>3000</v>
      </c>
      <c r="Q52" s="28">
        <f t="shared" si="32"/>
        <v>3000</v>
      </c>
      <c r="R52" s="28">
        <f t="shared" si="32"/>
        <v>3000</v>
      </c>
      <c r="S52" s="28">
        <f t="shared" si="32"/>
        <v>3000</v>
      </c>
      <c r="T52" s="28">
        <f t="shared" si="32"/>
        <v>3000</v>
      </c>
      <c r="U52" s="28">
        <f t="shared" si="32"/>
        <v>3000</v>
      </c>
      <c r="V52" s="28">
        <f t="shared" si="32"/>
        <v>3000</v>
      </c>
      <c r="W52" s="28">
        <f t="shared" si="32"/>
        <v>3000</v>
      </c>
      <c r="X52" s="28">
        <f t="shared" si="32"/>
        <v>3000</v>
      </c>
      <c r="Y52" s="28">
        <f t="shared" si="32"/>
        <v>3000</v>
      </c>
      <c r="Z52" s="28">
        <f t="shared" si="32"/>
        <v>3000</v>
      </c>
      <c r="AA52" s="28">
        <f t="shared" si="32"/>
        <v>3000</v>
      </c>
      <c r="AB52" s="28">
        <f t="shared" si="32"/>
        <v>3000</v>
      </c>
      <c r="AC52" s="28">
        <f t="shared" si="32"/>
        <v>3000</v>
      </c>
      <c r="AD52" s="28">
        <f t="shared" si="32"/>
        <v>3000</v>
      </c>
      <c r="AE52" s="28">
        <f t="shared" si="32"/>
        <v>3000</v>
      </c>
      <c r="AF52" s="28">
        <f t="shared" si="32"/>
        <v>3000</v>
      </c>
      <c r="AG52" s="28">
        <f t="shared" si="32"/>
        <v>3000</v>
      </c>
      <c r="AH52" s="28">
        <f t="shared" si="32"/>
        <v>3000</v>
      </c>
      <c r="AI52" s="28">
        <f t="shared" si="32"/>
        <v>3000</v>
      </c>
      <c r="AJ52" s="28">
        <f t="shared" si="32"/>
        <v>3000</v>
      </c>
      <c r="AK52" s="28">
        <f t="shared" si="32"/>
        <v>3000</v>
      </c>
      <c r="AL52" s="28">
        <f t="shared" si="32"/>
        <v>3000</v>
      </c>
      <c r="AM52" s="28">
        <f t="shared" si="32"/>
        <v>3000</v>
      </c>
      <c r="AN52" s="28">
        <f t="shared" si="32"/>
        <v>3000</v>
      </c>
      <c r="AO52" s="28">
        <f t="shared" si="32"/>
        <v>3000</v>
      </c>
      <c r="AP52" s="28">
        <f t="shared" si="32"/>
        <v>3000</v>
      </c>
      <c r="AQ52" s="28">
        <f t="shared" si="32"/>
        <v>3000</v>
      </c>
      <c r="AR52" s="28">
        <f t="shared" si="32"/>
        <v>3000</v>
      </c>
    </row>
    <row r="53" spans="1:44" ht="12.75" customHeight="1" x14ac:dyDescent="0.15">
      <c r="A53" s="15"/>
      <c r="B53" s="69"/>
      <c r="C53" s="66"/>
      <c r="D53" s="15"/>
      <c r="E53" s="14">
        <v>0</v>
      </c>
      <c r="F53" s="27" t="s">
        <v>61</v>
      </c>
      <c r="G53" s="28"/>
      <c r="H53" s="28">
        <f t="shared" si="32"/>
        <v>0</v>
      </c>
      <c r="I53" s="28">
        <f t="shared" si="32"/>
        <v>0</v>
      </c>
      <c r="J53" s="28">
        <f t="shared" si="32"/>
        <v>0</v>
      </c>
      <c r="K53" s="28">
        <f t="shared" si="32"/>
        <v>0</v>
      </c>
      <c r="L53" s="28">
        <f t="shared" si="32"/>
        <v>0</v>
      </c>
      <c r="M53" s="28">
        <f t="shared" si="32"/>
        <v>0</v>
      </c>
      <c r="N53" s="28">
        <f t="shared" si="32"/>
        <v>0</v>
      </c>
      <c r="O53" s="28">
        <f t="shared" si="32"/>
        <v>0</v>
      </c>
      <c r="P53" s="28">
        <f t="shared" si="32"/>
        <v>0</v>
      </c>
      <c r="Q53" s="28">
        <f t="shared" si="32"/>
        <v>0</v>
      </c>
      <c r="R53" s="28">
        <f t="shared" si="32"/>
        <v>0</v>
      </c>
      <c r="S53" s="28">
        <f t="shared" si="32"/>
        <v>0</v>
      </c>
      <c r="T53" s="28">
        <f t="shared" si="32"/>
        <v>0</v>
      </c>
      <c r="U53" s="28">
        <f t="shared" si="32"/>
        <v>0</v>
      </c>
      <c r="V53" s="28">
        <f t="shared" si="32"/>
        <v>0</v>
      </c>
      <c r="W53" s="28">
        <f t="shared" si="32"/>
        <v>0</v>
      </c>
      <c r="X53" s="28">
        <f t="shared" si="32"/>
        <v>0</v>
      </c>
      <c r="Y53" s="28">
        <f t="shared" si="32"/>
        <v>0</v>
      </c>
      <c r="Z53" s="28">
        <f t="shared" si="32"/>
        <v>0</v>
      </c>
      <c r="AA53" s="28">
        <f t="shared" si="32"/>
        <v>0</v>
      </c>
      <c r="AB53" s="28">
        <f t="shared" si="32"/>
        <v>0</v>
      </c>
      <c r="AC53" s="28">
        <f t="shared" si="32"/>
        <v>0</v>
      </c>
      <c r="AD53" s="28">
        <f t="shared" si="32"/>
        <v>0</v>
      </c>
      <c r="AE53" s="28">
        <f t="shared" si="32"/>
        <v>0</v>
      </c>
      <c r="AF53" s="28">
        <f t="shared" si="32"/>
        <v>0</v>
      </c>
      <c r="AG53" s="28">
        <f t="shared" si="32"/>
        <v>0</v>
      </c>
      <c r="AH53" s="28">
        <f t="shared" si="32"/>
        <v>0</v>
      </c>
      <c r="AI53" s="28">
        <f t="shared" si="32"/>
        <v>0</v>
      </c>
      <c r="AJ53" s="28">
        <f t="shared" si="32"/>
        <v>0</v>
      </c>
      <c r="AK53" s="28">
        <f t="shared" si="32"/>
        <v>0</v>
      </c>
      <c r="AL53" s="28">
        <f t="shared" si="32"/>
        <v>0</v>
      </c>
      <c r="AM53" s="28">
        <f t="shared" si="32"/>
        <v>0</v>
      </c>
      <c r="AN53" s="28">
        <f t="shared" si="32"/>
        <v>0</v>
      </c>
      <c r="AO53" s="28">
        <f t="shared" si="32"/>
        <v>0</v>
      </c>
      <c r="AP53" s="28">
        <f t="shared" si="32"/>
        <v>0</v>
      </c>
      <c r="AQ53" s="28">
        <f t="shared" si="32"/>
        <v>0</v>
      </c>
      <c r="AR53" s="28">
        <f t="shared" si="32"/>
        <v>0</v>
      </c>
    </row>
    <row r="54" spans="1:44" ht="12.75" customHeight="1" x14ac:dyDescent="0.15">
      <c r="A54" s="15"/>
      <c r="B54" s="69"/>
      <c r="C54" s="66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1:44" ht="12.75" customHeight="1" x14ac:dyDescent="0.15">
      <c r="A55" s="1"/>
      <c r="B55" s="68"/>
      <c r="C55" s="66"/>
      <c r="D55" s="1"/>
      <c r="E55" s="15"/>
      <c r="F55" s="24" t="s">
        <v>62</v>
      </c>
      <c r="G55" s="24">
        <f t="shared" ref="G55:AR55" si="33">G40-G43</f>
        <v>0</v>
      </c>
      <c r="H55" s="24">
        <f t="shared" si="33"/>
        <v>-20818</v>
      </c>
      <c r="I55" s="24">
        <f t="shared" si="33"/>
        <v>4156.7750000000233</v>
      </c>
      <c r="J55" s="24">
        <f t="shared" si="33"/>
        <v>27083.288749999949</v>
      </c>
      <c r="K55" s="24">
        <f t="shared" si="33"/>
        <v>51156.128187499999</v>
      </c>
      <c r="L55" s="24">
        <f t="shared" si="33"/>
        <v>76432.609596874914</v>
      </c>
      <c r="M55" s="24">
        <f t="shared" si="33"/>
        <v>102972.91507671878</v>
      </c>
      <c r="N55" s="24">
        <f t="shared" si="33"/>
        <v>130840.23583055474</v>
      </c>
      <c r="O55" s="24">
        <f t="shared" si="33"/>
        <v>160100.92262208252</v>
      </c>
      <c r="P55" s="24">
        <f t="shared" si="33"/>
        <v>190824.64375318657</v>
      </c>
      <c r="Q55" s="24">
        <f t="shared" si="33"/>
        <v>223084.55094084609</v>
      </c>
      <c r="R55" s="24">
        <f t="shared" si="33"/>
        <v>256957.45348788844</v>
      </c>
      <c r="S55" s="24">
        <f t="shared" si="33"/>
        <v>264994.61097152694</v>
      </c>
      <c r="T55" s="24">
        <f t="shared" si="33"/>
        <v>273157.80497099843</v>
      </c>
      <c r="U55" s="24">
        <f t="shared" si="33"/>
        <v>281449.34509019158</v>
      </c>
      <c r="V55" s="24">
        <f t="shared" si="33"/>
        <v>289871.58569350734</v>
      </c>
      <c r="W55" s="24">
        <f t="shared" si="33"/>
        <v>298426.92679015337</v>
      </c>
      <c r="X55" s="24">
        <f t="shared" si="33"/>
        <v>307117.81493603042</v>
      </c>
      <c r="Y55" s="24">
        <f t="shared" si="33"/>
        <v>315946.74415356317</v>
      </c>
      <c r="Z55" s="24">
        <f t="shared" si="33"/>
        <v>324916.25686983531</v>
      </c>
      <c r="AA55" s="24">
        <f t="shared" si="33"/>
        <v>334028.94487339177</v>
      </c>
      <c r="AB55" s="24">
        <f t="shared" si="33"/>
        <v>343287.45029008074</v>
      </c>
      <c r="AC55" s="24">
        <f t="shared" si="33"/>
        <v>352694.46657831781</v>
      </c>
      <c r="AD55" s="24">
        <f t="shared" si="33"/>
        <v>359965.98946322198</v>
      </c>
      <c r="AE55" s="24">
        <f t="shared" si="33"/>
        <v>367374.07296937797</v>
      </c>
      <c r="AF55" s="24">
        <f t="shared" si="33"/>
        <v>374921.43943937356</v>
      </c>
      <c r="AG55" s="24">
        <f t="shared" si="33"/>
        <v>382610.86565377994</v>
      </c>
      <c r="AH55" s="24">
        <f t="shared" si="33"/>
        <v>390445.1839199001</v>
      </c>
      <c r="AI55" s="24">
        <f t="shared" si="33"/>
        <v>398427.28318229562</v>
      </c>
      <c r="AJ55" s="24">
        <f t="shared" si="33"/>
        <v>406560.11015552306</v>
      </c>
      <c r="AK55" s="24">
        <f t="shared" si="33"/>
        <v>414846.67047952453</v>
      </c>
      <c r="AL55" s="24">
        <f t="shared" si="33"/>
        <v>423290.02989812684</v>
      </c>
      <c r="AM55" s="24">
        <f t="shared" si="33"/>
        <v>431893.31546111056</v>
      </c>
      <c r="AN55" s="24">
        <f t="shared" si="33"/>
        <v>440659.71675031888</v>
      </c>
      <c r="AO55" s="24">
        <f t="shared" si="33"/>
        <v>449592.48713029118</v>
      </c>
      <c r="AP55" s="24">
        <f t="shared" si="33"/>
        <v>458694.94502390781</v>
      </c>
      <c r="AQ55" s="24">
        <f t="shared" si="33"/>
        <v>467970.47521354817</v>
      </c>
      <c r="AR55" s="24">
        <f t="shared" si="33"/>
        <v>477422.53016827034</v>
      </c>
    </row>
    <row r="56" spans="1:44" ht="12.75" customHeight="1" x14ac:dyDescent="0.15">
      <c r="A56" s="15"/>
      <c r="B56" s="67"/>
      <c r="C56" s="70"/>
      <c r="D56" s="15"/>
      <c r="E56" s="4">
        <v>0.06</v>
      </c>
      <c r="F56" s="27" t="s">
        <v>64</v>
      </c>
      <c r="G56" s="28">
        <f t="shared" ref="G56:AR56" si="34">G26*$E$56</f>
        <v>0</v>
      </c>
      <c r="H56" s="28">
        <f>H26*$E$56</f>
        <v>37161.9</v>
      </c>
      <c r="I56" s="28">
        <f t="shared" si="34"/>
        <v>39302.595000000001</v>
      </c>
      <c r="J56" s="28">
        <f t="shared" si="34"/>
        <v>41267.724749999994</v>
      </c>
      <c r="K56" s="28">
        <f t="shared" si="34"/>
        <v>43331.110987499997</v>
      </c>
      <c r="L56" s="28">
        <f t="shared" si="34"/>
        <v>45497.666536874996</v>
      </c>
      <c r="M56" s="28">
        <f t="shared" si="34"/>
        <v>47772.549863718748</v>
      </c>
      <c r="N56" s="28">
        <f t="shared" si="34"/>
        <v>50161.177356904693</v>
      </c>
      <c r="O56" s="28">
        <f t="shared" si="34"/>
        <v>52669.236224749933</v>
      </c>
      <c r="P56" s="28">
        <f t="shared" si="34"/>
        <v>55302.698035987421</v>
      </c>
      <c r="Q56" s="28">
        <f t="shared" si="34"/>
        <v>58067.832937786799</v>
      </c>
      <c r="R56" s="28">
        <f t="shared" si="34"/>
        <v>60971.224584676151</v>
      </c>
      <c r="S56" s="28">
        <f t="shared" si="34"/>
        <v>61660.123797559449</v>
      </c>
      <c r="T56" s="28">
        <f t="shared" si="34"/>
        <v>62359.826140371297</v>
      </c>
      <c r="U56" s="28">
        <f t="shared" si="34"/>
        <v>63070.52957915928</v>
      </c>
      <c r="V56" s="28">
        <f t="shared" si="34"/>
        <v>63792.435916586343</v>
      </c>
      <c r="W56" s="28">
        <f t="shared" si="34"/>
        <v>64525.750867727431</v>
      </c>
      <c r="X56" s="28">
        <f t="shared" si="34"/>
        <v>65270.684137374032</v>
      </c>
      <c r="Y56" s="28">
        <f t="shared" si="34"/>
        <v>66027.449498876842</v>
      </c>
      <c r="Z56" s="28">
        <f t="shared" si="34"/>
        <v>66796.26487455731</v>
      </c>
      <c r="AA56" s="28">
        <f t="shared" si="34"/>
        <v>67577.352417719288</v>
      </c>
      <c r="AB56" s="28">
        <f t="shared" si="34"/>
        <v>68370.938596292632</v>
      </c>
      <c r="AC56" s="28">
        <f t="shared" si="34"/>
        <v>69177.254278141525</v>
      </c>
      <c r="AD56" s="28">
        <f t="shared" si="34"/>
        <v>69800.527668276176</v>
      </c>
      <c r="AE56" s="28">
        <f t="shared" si="34"/>
        <v>70435.506254518114</v>
      </c>
      <c r="AF56" s="28">
        <f t="shared" si="34"/>
        <v>71082.423380517735</v>
      </c>
      <c r="AG56" s="28">
        <f t="shared" si="34"/>
        <v>71741.517056038283</v>
      </c>
      <c r="AH56" s="28">
        <f t="shared" si="34"/>
        <v>72413.030050277142</v>
      </c>
      <c r="AI56" s="28">
        <f t="shared" si="34"/>
        <v>73097.20998705391</v>
      </c>
      <c r="AJ56" s="28">
        <f t="shared" si="34"/>
        <v>73794.309441901976</v>
      </c>
      <c r="AK56" s="28">
        <f t="shared" si="34"/>
        <v>74504.586041102099</v>
      </c>
      <c r="AL56" s="28">
        <f t="shared" si="34"/>
        <v>75228.302562696597</v>
      </c>
      <c r="AM56" s="28">
        <f t="shared" si="34"/>
        <v>75965.727039523772</v>
      </c>
      <c r="AN56" s="28">
        <f t="shared" si="34"/>
        <v>76717.132864313055</v>
      </c>
      <c r="AO56" s="28">
        <f t="shared" si="34"/>
        <v>77482.798896882101</v>
      </c>
      <c r="AP56" s="28">
        <f t="shared" si="34"/>
        <v>78263.009573477815</v>
      </c>
      <c r="AQ56" s="28">
        <f t="shared" si="34"/>
        <v>79058.055018304134</v>
      </c>
      <c r="AR56" s="28">
        <f t="shared" si="34"/>
        <v>79868.231157280316</v>
      </c>
    </row>
    <row r="57" spans="1:44" ht="12.75" customHeight="1" x14ac:dyDescent="0.15">
      <c r="A57" s="15"/>
      <c r="B57" s="67"/>
      <c r="C57" s="67"/>
      <c r="D57" s="1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1:44" ht="12.75" customHeight="1" x14ac:dyDescent="0.15">
      <c r="A58" s="1"/>
      <c r="B58" s="68"/>
      <c r="C58" s="66"/>
      <c r="D58" s="1"/>
      <c r="E58" s="1"/>
      <c r="F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spans="1:44" ht="12.75" customHeight="1" x14ac:dyDescent="0.15">
      <c r="A59" s="1"/>
      <c r="B59" s="68"/>
      <c r="C59" s="66"/>
      <c r="D59" s="1"/>
      <c r="E59" s="15"/>
      <c r="F59" s="15" t="s">
        <v>65</v>
      </c>
      <c r="G59" s="26">
        <f>G55-G56</f>
        <v>0</v>
      </c>
      <c r="H59" s="26">
        <f t="shared" ref="H59:AR59" si="35">H55-H56-H57</f>
        <v>-57979.9</v>
      </c>
      <c r="I59" s="26">
        <f t="shared" si="35"/>
        <v>-35145.819999999978</v>
      </c>
      <c r="J59" s="26">
        <f t="shared" si="35"/>
        <v>-14184.436000000045</v>
      </c>
      <c r="K59" s="26">
        <f t="shared" si="35"/>
        <v>7825.017200000002</v>
      </c>
      <c r="L59" s="26">
        <f t="shared" si="35"/>
        <v>30934.943059999918</v>
      </c>
      <c r="M59" s="26">
        <f t="shared" si="35"/>
        <v>55200.365213000034</v>
      </c>
      <c r="N59" s="26">
        <f t="shared" si="35"/>
        <v>80679.058473650046</v>
      </c>
      <c r="O59" s="26">
        <f t="shared" si="35"/>
        <v>107431.68639733258</v>
      </c>
      <c r="P59" s="26">
        <f t="shared" si="35"/>
        <v>135521.94571719915</v>
      </c>
      <c r="Q59" s="26">
        <f t="shared" si="35"/>
        <v>165016.7180030593</v>
      </c>
      <c r="R59" s="26">
        <f t="shared" si="35"/>
        <v>195986.22890321229</v>
      </c>
      <c r="S59" s="26">
        <f t="shared" si="35"/>
        <v>203334.4871739675</v>
      </c>
      <c r="T59" s="26">
        <f t="shared" si="35"/>
        <v>210797.97883062714</v>
      </c>
      <c r="U59" s="26">
        <f t="shared" si="35"/>
        <v>218378.8155110323</v>
      </c>
      <c r="V59" s="26">
        <f t="shared" si="35"/>
        <v>226079.149776921</v>
      </c>
      <c r="W59" s="26">
        <f t="shared" si="35"/>
        <v>233901.17592242593</v>
      </c>
      <c r="X59" s="26">
        <f t="shared" si="35"/>
        <v>241847.13079865638</v>
      </c>
      <c r="Y59" s="26">
        <f t="shared" si="35"/>
        <v>249919.29465468632</v>
      </c>
      <c r="Z59" s="26">
        <f t="shared" si="35"/>
        <v>258119.99199527799</v>
      </c>
      <c r="AA59" s="26">
        <f t="shared" si="35"/>
        <v>266451.59245567245</v>
      </c>
      <c r="AB59" s="26">
        <f t="shared" si="35"/>
        <v>274916.51169378811</v>
      </c>
      <c r="AC59" s="26">
        <f t="shared" si="35"/>
        <v>283517.21230017627</v>
      </c>
      <c r="AD59" s="26">
        <f t="shared" si="35"/>
        <v>290165.46179494582</v>
      </c>
      <c r="AE59" s="26">
        <f t="shared" si="35"/>
        <v>296938.56671485986</v>
      </c>
      <c r="AF59" s="26">
        <f t="shared" si="35"/>
        <v>303839.01605885581</v>
      </c>
      <c r="AG59" s="26">
        <f t="shared" si="35"/>
        <v>310869.34859774169</v>
      </c>
      <c r="AH59" s="26">
        <f t="shared" si="35"/>
        <v>318032.15386962297</v>
      </c>
      <c r="AI59" s="26">
        <f t="shared" si="35"/>
        <v>325330.07319524174</v>
      </c>
      <c r="AJ59" s="26">
        <f t="shared" si="35"/>
        <v>332765.80071362108</v>
      </c>
      <c r="AK59" s="26">
        <f t="shared" si="35"/>
        <v>340342.08443842246</v>
      </c>
      <c r="AL59" s="26">
        <f t="shared" si="35"/>
        <v>348061.72733543022</v>
      </c>
      <c r="AM59" s="26">
        <f t="shared" si="35"/>
        <v>355927.58842158678</v>
      </c>
      <c r="AN59" s="26">
        <f t="shared" si="35"/>
        <v>363942.5838860058</v>
      </c>
      <c r="AO59" s="26">
        <f t="shared" si="35"/>
        <v>372109.68823340908</v>
      </c>
      <c r="AP59" s="26">
        <f t="shared" si="35"/>
        <v>380431.93545043003</v>
      </c>
      <c r="AQ59" s="26">
        <f t="shared" si="35"/>
        <v>388912.42019524402</v>
      </c>
      <c r="AR59" s="26">
        <f t="shared" si="35"/>
        <v>397554.29901099001</v>
      </c>
    </row>
    <row r="60" spans="1:44" ht="12.75" customHeight="1" x14ac:dyDescent="0.15">
      <c r="A60" s="35"/>
      <c r="B60" s="67"/>
      <c r="C60" s="67"/>
      <c r="D60" s="35"/>
      <c r="E60" s="36"/>
      <c r="F60" s="38" t="s">
        <v>37</v>
      </c>
      <c r="G60" s="41"/>
      <c r="H60" s="38">
        <f t="shared" ref="H60:AR60" si="36">H59/H26</f>
        <v>-9.3611844389011323E-2</v>
      </c>
      <c r="I60" s="38">
        <f t="shared" si="36"/>
        <v>-5.3654197642674706E-2</v>
      </c>
      <c r="J60" s="38">
        <f t="shared" si="36"/>
        <v>-2.0623045373976009E-2</v>
      </c>
      <c r="K60" s="38">
        <f t="shared" si="36"/>
        <v>1.0835194881927678E-2</v>
      </c>
      <c r="L60" s="38">
        <f t="shared" si="36"/>
        <v>4.0795423697073868E-2</v>
      </c>
      <c r="M60" s="38">
        <f t="shared" si="36"/>
        <v>6.9328974949594294E-2</v>
      </c>
      <c r="N60" s="38">
        <f t="shared" si="36"/>
        <v>9.650378566628029E-2</v>
      </c>
      <c r="O60" s="38">
        <f t="shared" si="36"/>
        <v>0.12238455777740982</v>
      </c>
      <c r="P60" s="38">
        <f t="shared" si="36"/>
        <v>0.14703291216896169</v>
      </c>
      <c r="Q60" s="38">
        <f t="shared" si="36"/>
        <v>0.17050753539901131</v>
      </c>
      <c r="R60" s="38">
        <f t="shared" si="36"/>
        <v>0.1928643194276298</v>
      </c>
      <c r="S60" s="38">
        <f t="shared" si="36"/>
        <v>0.19785995354944352</v>
      </c>
      <c r="T60" s="38">
        <f t="shared" si="36"/>
        <v>0.20282094278722632</v>
      </c>
      <c r="U60" s="38">
        <f t="shared" si="36"/>
        <v>0.20774724769381894</v>
      </c>
      <c r="V60" s="38">
        <f t="shared" si="36"/>
        <v>0.2126388307910399</v>
      </c>
      <c r="W60" s="38">
        <f t="shared" si="36"/>
        <v>0.21749565664279155</v>
      </c>
      <c r="X60" s="38">
        <f t="shared" si="36"/>
        <v>0.22231769192703274</v>
      </c>
      <c r="Y60" s="38">
        <f t="shared" si="36"/>
        <v>0.22710490550655382</v>
      </c>
      <c r="Z60" s="38">
        <f t="shared" si="36"/>
        <v>0.23185726849849281</v>
      </c>
      <c r="AA60" s="38">
        <f t="shared" si="36"/>
        <v>0.23657475434252748</v>
      </c>
      <c r="AB60" s="38">
        <f t="shared" si="36"/>
        <v>0.2412573388676825</v>
      </c>
      <c r="AC60" s="38">
        <f t="shared" si="36"/>
        <v>0.24590500035769247</v>
      </c>
      <c r="AD60" s="38">
        <f t="shared" si="36"/>
        <v>0.24942401281601531</v>
      </c>
      <c r="AE60" s="38">
        <f t="shared" si="36"/>
        <v>0.25294506918871978</v>
      </c>
      <c r="AF60" s="38">
        <f t="shared" si="36"/>
        <v>0.25646763428338482</v>
      </c>
      <c r="AG60" s="38">
        <f t="shared" si="36"/>
        <v>0.2599911694269727</v>
      </c>
      <c r="AH60" s="38">
        <f t="shared" si="36"/>
        <v>0.26351513282800881</v>
      </c>
      <c r="AI60" s="38">
        <f t="shared" si="36"/>
        <v>0.26703897994426345</v>
      </c>
      <c r="AJ60" s="38">
        <f t="shared" si="36"/>
        <v>0.27056216385541748</v>
      </c>
      <c r="AK60" s="38">
        <f t="shared" si="36"/>
        <v>0.27408413564018613</v>
      </c>
      <c r="AL60" s="38">
        <f t="shared" si="36"/>
        <v>0.27760434475735996</v>
      </c>
      <c r="AM60" s="38">
        <f t="shared" si="36"/>
        <v>0.28112223943021297</v>
      </c>
      <c r="AN60" s="38">
        <f t="shared" si="36"/>
        <v>0.28463726703371345</v>
      </c>
      <c r="AO60" s="38">
        <f t="shared" si="36"/>
        <v>0.28814887448397225</v>
      </c>
      <c r="AP60" s="38">
        <f t="shared" si="36"/>
        <v>0.29165650862934828</v>
      </c>
      <c r="AQ60" s="38">
        <f t="shared" si="36"/>
        <v>0.29515961664263052</v>
      </c>
      <c r="AR60" s="38">
        <f t="shared" si="36"/>
        <v>0.29865764641370895</v>
      </c>
    </row>
    <row r="61" spans="1:44" ht="12.75" customHeight="1" x14ac:dyDescent="0.1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" ht="12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" ht="12.75" customHeight="1" x14ac:dyDescent="0.15">
      <c r="A63" s="15"/>
      <c r="B63" s="15"/>
      <c r="C63" s="26"/>
      <c r="D63" s="15"/>
      <c r="E63" s="1"/>
      <c r="F63" s="24" t="s">
        <v>66</v>
      </c>
      <c r="G63" s="24">
        <v>0</v>
      </c>
      <c r="H63" s="24">
        <f t="shared" ref="H63:AR63" si="37">G68</f>
        <v>509298.30541875027</v>
      </c>
      <c r="I63" s="24">
        <f t="shared" si="37"/>
        <v>451318.40541875025</v>
      </c>
      <c r="J63" s="24">
        <f t="shared" si="37"/>
        <v>416172.5854187503</v>
      </c>
      <c r="K63" s="24">
        <f t="shared" si="37"/>
        <v>401988.14941875025</v>
      </c>
      <c r="L63" s="24">
        <f t="shared" si="37"/>
        <v>409813.16661875026</v>
      </c>
      <c r="M63" s="24">
        <f t="shared" si="37"/>
        <v>439183.10623875016</v>
      </c>
      <c r="N63" s="24">
        <f t="shared" si="37"/>
        <v>488196.48283975024</v>
      </c>
      <c r="O63" s="24">
        <f t="shared" si="37"/>
        <v>557835.46827080031</v>
      </c>
      <c r="P63" s="24">
        <f t="shared" si="37"/>
        <v>649131.34297340293</v>
      </c>
      <c r="Q63" s="24">
        <f t="shared" si="37"/>
        <v>763166.95141113549</v>
      </c>
      <c r="R63" s="24">
        <f t="shared" si="37"/>
        <v>901079.28027075494</v>
      </c>
      <c r="S63" s="24">
        <f t="shared" si="37"/>
        <v>1064062.1655733553</v>
      </c>
      <c r="T63" s="24">
        <f t="shared" si="37"/>
        <v>1228199.4069666804</v>
      </c>
      <c r="U63" s="24">
        <f t="shared" si="37"/>
        <v>1398330.4883625142</v>
      </c>
      <c r="V63" s="24">
        <f t="shared" si="37"/>
        <v>1574549.7081074209</v>
      </c>
      <c r="W63" s="24">
        <f t="shared" si="37"/>
        <v>1756953.0947821354</v>
      </c>
      <c r="X63" s="24">
        <f t="shared" si="37"/>
        <v>1945638.4407491772</v>
      </c>
      <c r="Y63" s="24">
        <f t="shared" si="37"/>
        <v>2140705.3363633486</v>
      </c>
      <c r="Z63" s="24">
        <f t="shared" si="37"/>
        <v>2342255.204858304</v>
      </c>
      <c r="AA63" s="24">
        <f t="shared" si="37"/>
        <v>2550391.3379226443</v>
      </c>
      <c r="AB63" s="24">
        <f t="shared" si="37"/>
        <v>2765218.9319792613</v>
      </c>
      <c r="AC63" s="24">
        <f t="shared" si="37"/>
        <v>2986845.1251819152</v>
      </c>
      <c r="AD63" s="24">
        <f t="shared" si="37"/>
        <v>3215379.035143334</v>
      </c>
      <c r="AE63" s="24">
        <f t="shared" si="37"/>
        <v>3448841.0544782444</v>
      </c>
      <c r="AF63" s="24">
        <f t="shared" si="37"/>
        <v>3687746.5288341152</v>
      </c>
      <c r="AG63" s="24">
        <f t="shared" si="37"/>
        <v>3932197.8315499988</v>
      </c>
      <c r="AH63" s="24">
        <f t="shared" si="37"/>
        <v>4182299.37693597</v>
      </c>
      <c r="AI63" s="24">
        <f t="shared" si="37"/>
        <v>4438157.6610860452</v>
      </c>
      <c r="AJ63" s="24">
        <f t="shared" si="37"/>
        <v>4699881.3035073616</v>
      </c>
      <c r="AK63" s="24">
        <f t="shared" si="37"/>
        <v>4967581.0895819347</v>
      </c>
      <c r="AL63" s="24">
        <f t="shared" si="37"/>
        <v>5241370.013877633</v>
      </c>
      <c r="AM63" s="24">
        <f t="shared" si="37"/>
        <v>5521363.3243253781</v>
      </c>
      <c r="AN63" s="24">
        <f t="shared" si="37"/>
        <v>5807678.567279879</v>
      </c>
      <c r="AO63" s="24">
        <f t="shared" si="37"/>
        <v>6100435.6334815677</v>
      </c>
      <c r="AP63" s="24">
        <f t="shared" si="37"/>
        <v>6399756.8049377752</v>
      </c>
      <c r="AQ63" s="24">
        <f t="shared" si="37"/>
        <v>6705766.8027415238</v>
      </c>
      <c r="AR63" s="24">
        <f t="shared" si="37"/>
        <v>7018592.8358466821</v>
      </c>
    </row>
    <row r="64" spans="1:44" ht="12.75" customHeight="1" x14ac:dyDescent="0.15">
      <c r="A64" s="15"/>
      <c r="B64" s="15"/>
      <c r="C64" s="26"/>
      <c r="D64" s="15"/>
      <c r="E64" s="42">
        <v>7000000</v>
      </c>
      <c r="F64" s="43" t="s">
        <v>67</v>
      </c>
      <c r="G64" s="42">
        <f>E64</f>
        <v>7000000</v>
      </c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</row>
    <row r="65" spans="1:44" ht="12.75" customHeight="1" x14ac:dyDescent="0.15">
      <c r="A65" s="15"/>
      <c r="B65" s="15"/>
      <c r="C65" s="26"/>
      <c r="D65" s="15"/>
      <c r="E65" s="15"/>
      <c r="F65" s="27" t="s">
        <v>68</v>
      </c>
      <c r="G65" s="28">
        <v>-6490701.6945812497</v>
      </c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</row>
    <row r="66" spans="1:44" ht="12.75" customHeight="1" x14ac:dyDescent="0.15">
      <c r="A66" s="15"/>
      <c r="B66" s="15"/>
      <c r="C66" s="26"/>
      <c r="D66" s="15"/>
      <c r="E66" s="1"/>
      <c r="F66" s="27" t="s">
        <v>69</v>
      </c>
      <c r="G66" s="28">
        <f t="shared" ref="G66:AR66" si="38">G59</f>
        <v>0</v>
      </c>
      <c r="H66" s="28">
        <f t="shared" si="38"/>
        <v>-57979.9</v>
      </c>
      <c r="I66" s="28">
        <f t="shared" si="38"/>
        <v>-35145.819999999978</v>
      </c>
      <c r="J66" s="28">
        <f t="shared" si="38"/>
        <v>-14184.436000000045</v>
      </c>
      <c r="K66" s="28">
        <f t="shared" si="38"/>
        <v>7825.017200000002</v>
      </c>
      <c r="L66" s="28">
        <f t="shared" si="38"/>
        <v>30934.943059999918</v>
      </c>
      <c r="M66" s="28">
        <f t="shared" si="38"/>
        <v>55200.365213000034</v>
      </c>
      <c r="N66" s="28">
        <f t="shared" si="38"/>
        <v>80679.058473650046</v>
      </c>
      <c r="O66" s="28">
        <f t="shared" si="38"/>
        <v>107431.68639733258</v>
      </c>
      <c r="P66" s="28">
        <f t="shared" si="38"/>
        <v>135521.94571719915</v>
      </c>
      <c r="Q66" s="28">
        <f t="shared" si="38"/>
        <v>165016.7180030593</v>
      </c>
      <c r="R66" s="28">
        <f t="shared" si="38"/>
        <v>195986.22890321229</v>
      </c>
      <c r="S66" s="28">
        <f t="shared" si="38"/>
        <v>203334.4871739675</v>
      </c>
      <c r="T66" s="28">
        <f t="shared" si="38"/>
        <v>210797.97883062714</v>
      </c>
      <c r="U66" s="28">
        <f t="shared" si="38"/>
        <v>218378.8155110323</v>
      </c>
      <c r="V66" s="28">
        <f t="shared" si="38"/>
        <v>226079.149776921</v>
      </c>
      <c r="W66" s="28">
        <f t="shared" si="38"/>
        <v>233901.17592242593</v>
      </c>
      <c r="X66" s="28">
        <f t="shared" si="38"/>
        <v>241847.13079865638</v>
      </c>
      <c r="Y66" s="28">
        <f t="shared" si="38"/>
        <v>249919.29465468632</v>
      </c>
      <c r="Z66" s="28">
        <f t="shared" si="38"/>
        <v>258119.99199527799</v>
      </c>
      <c r="AA66" s="28">
        <f t="shared" si="38"/>
        <v>266451.59245567245</v>
      </c>
      <c r="AB66" s="28">
        <f t="shared" si="38"/>
        <v>274916.51169378811</v>
      </c>
      <c r="AC66" s="28">
        <f t="shared" si="38"/>
        <v>283517.21230017627</v>
      </c>
      <c r="AD66" s="28">
        <f t="shared" si="38"/>
        <v>290165.46179494582</v>
      </c>
      <c r="AE66" s="28">
        <f t="shared" si="38"/>
        <v>296938.56671485986</v>
      </c>
      <c r="AF66" s="28">
        <f t="shared" si="38"/>
        <v>303839.01605885581</v>
      </c>
      <c r="AG66" s="28">
        <f t="shared" si="38"/>
        <v>310869.34859774169</v>
      </c>
      <c r="AH66" s="28">
        <f t="shared" si="38"/>
        <v>318032.15386962297</v>
      </c>
      <c r="AI66" s="28">
        <f t="shared" si="38"/>
        <v>325330.07319524174</v>
      </c>
      <c r="AJ66" s="28">
        <f t="shared" si="38"/>
        <v>332765.80071362108</v>
      </c>
      <c r="AK66" s="28">
        <f t="shared" si="38"/>
        <v>340342.08443842246</v>
      </c>
      <c r="AL66" s="28">
        <f t="shared" si="38"/>
        <v>348061.72733543022</v>
      </c>
      <c r="AM66" s="28">
        <f t="shared" si="38"/>
        <v>355927.58842158678</v>
      </c>
      <c r="AN66" s="28">
        <f t="shared" si="38"/>
        <v>363942.5838860058</v>
      </c>
      <c r="AO66" s="28">
        <f t="shared" si="38"/>
        <v>372109.68823340908</v>
      </c>
      <c r="AP66" s="28">
        <f t="shared" si="38"/>
        <v>380431.93545043003</v>
      </c>
      <c r="AQ66" s="28">
        <f t="shared" si="38"/>
        <v>388912.42019524402</v>
      </c>
      <c r="AR66" s="28">
        <f t="shared" si="38"/>
        <v>397554.29901099001</v>
      </c>
    </row>
    <row r="67" spans="1:44" ht="12.75" customHeight="1" x14ac:dyDescent="0.15">
      <c r="A67" s="15"/>
      <c r="B67" s="15"/>
      <c r="C67" s="26"/>
      <c r="D67" s="15"/>
      <c r="E67" s="4">
        <f>IF(C9=1, 25%, 20%)</f>
        <v>0.2</v>
      </c>
      <c r="F67" s="44" t="s">
        <v>70</v>
      </c>
      <c r="G67" s="45"/>
      <c r="H67" s="45">
        <f>IF(G59&gt;0, -G59*$E$67, 0)</f>
        <v>0</v>
      </c>
      <c r="I67" s="45">
        <f>IF(H59&gt;0, -H59*$E$67, 0)</f>
        <v>0</v>
      </c>
      <c r="J67" s="45">
        <f t="shared" ref="J67:AR67" si="39">IF(I59&gt;0, -I59*$E$67, 0)</f>
        <v>0</v>
      </c>
      <c r="K67" s="45">
        <f t="shared" si="39"/>
        <v>0</v>
      </c>
      <c r="L67" s="45">
        <f t="shared" si="39"/>
        <v>-1565.0034400000004</v>
      </c>
      <c r="M67" s="45">
        <f t="shared" si="39"/>
        <v>-6186.9886119999837</v>
      </c>
      <c r="N67" s="45">
        <f t="shared" si="39"/>
        <v>-11040.073042600008</v>
      </c>
      <c r="O67" s="45">
        <f t="shared" si="39"/>
        <v>-16135.81169473001</v>
      </c>
      <c r="P67" s="45">
        <f t="shared" si="39"/>
        <v>-21486.337279466519</v>
      </c>
      <c r="Q67" s="45">
        <f t="shared" si="39"/>
        <v>-27104.389143439832</v>
      </c>
      <c r="R67" s="45">
        <f t="shared" si="39"/>
        <v>-33003.343600611865</v>
      </c>
      <c r="S67" s="45">
        <f t="shared" si="39"/>
        <v>-39197.245780642457</v>
      </c>
      <c r="T67" s="45">
        <f t="shared" si="39"/>
        <v>-40666.8974347935</v>
      </c>
      <c r="U67" s="45">
        <f t="shared" si="39"/>
        <v>-42159.595766125429</v>
      </c>
      <c r="V67" s="45">
        <f t="shared" si="39"/>
        <v>-43675.76310220646</v>
      </c>
      <c r="W67" s="45">
        <f t="shared" si="39"/>
        <v>-45215.829955384201</v>
      </c>
      <c r="X67" s="45">
        <f t="shared" si="39"/>
        <v>-46780.235184485187</v>
      </c>
      <c r="Y67" s="45">
        <f t="shared" si="39"/>
        <v>-48369.42615973128</v>
      </c>
      <c r="Z67" s="45">
        <f t="shared" si="39"/>
        <v>-49983.858930937269</v>
      </c>
      <c r="AA67" s="45">
        <f t="shared" si="39"/>
        <v>-51623.998399055599</v>
      </c>
      <c r="AB67" s="45">
        <f t="shared" si="39"/>
        <v>-53290.318491134494</v>
      </c>
      <c r="AC67" s="45">
        <f t="shared" si="39"/>
        <v>-54983.302338757625</v>
      </c>
      <c r="AD67" s="45">
        <f t="shared" si="39"/>
        <v>-56703.442460035258</v>
      </c>
      <c r="AE67" s="45">
        <f t="shared" si="39"/>
        <v>-58033.092358989168</v>
      </c>
      <c r="AF67" s="45">
        <f t="shared" si="39"/>
        <v>-59387.713342971976</v>
      </c>
      <c r="AG67" s="45">
        <f t="shared" si="39"/>
        <v>-60767.803211771163</v>
      </c>
      <c r="AH67" s="45">
        <f t="shared" si="39"/>
        <v>-62173.86971954834</v>
      </c>
      <c r="AI67" s="45">
        <f t="shared" si="39"/>
        <v>-63606.4307739246</v>
      </c>
      <c r="AJ67" s="45">
        <f t="shared" si="39"/>
        <v>-65066.01463904835</v>
      </c>
      <c r="AK67" s="45">
        <f t="shared" si="39"/>
        <v>-66553.160142724213</v>
      </c>
      <c r="AL67" s="45">
        <f t="shared" si="39"/>
        <v>-68068.416887684492</v>
      </c>
      <c r="AM67" s="45">
        <f t="shared" si="39"/>
        <v>-69612.345467086052</v>
      </c>
      <c r="AN67" s="45">
        <f t="shared" si="39"/>
        <v>-71185.517684317354</v>
      </c>
      <c r="AO67" s="45">
        <f t="shared" si="39"/>
        <v>-72788.516777201163</v>
      </c>
      <c r="AP67" s="45">
        <f t="shared" si="39"/>
        <v>-74421.937646681821</v>
      </c>
      <c r="AQ67" s="45">
        <f t="shared" si="39"/>
        <v>-76086.387090086006</v>
      </c>
      <c r="AR67" s="45">
        <f t="shared" si="39"/>
        <v>-77782.48403904881</v>
      </c>
    </row>
    <row r="68" spans="1:44" ht="12.75" customHeight="1" x14ac:dyDescent="0.15">
      <c r="A68" s="15"/>
      <c r="B68" s="15"/>
      <c r="C68" s="26"/>
      <c r="D68" s="15"/>
      <c r="E68" s="1"/>
      <c r="F68" s="24" t="s">
        <v>71</v>
      </c>
      <c r="G68" s="24">
        <f t="shared" ref="G68:AR68" si="40">SUM(G63:G67)</f>
        <v>509298.30541875027</v>
      </c>
      <c r="H68" s="24">
        <f t="shared" si="40"/>
        <v>451318.40541875025</v>
      </c>
      <c r="I68" s="24">
        <f>SUM(I63:I67)</f>
        <v>416172.5854187503</v>
      </c>
      <c r="J68" s="24">
        <f t="shared" si="40"/>
        <v>401988.14941875025</v>
      </c>
      <c r="K68" s="24">
        <f t="shared" si="40"/>
        <v>409813.16661875026</v>
      </c>
      <c r="L68" s="24">
        <f t="shared" si="40"/>
        <v>439183.10623875016</v>
      </c>
      <c r="M68" s="24">
        <f t="shared" si="40"/>
        <v>488196.48283975024</v>
      </c>
      <c r="N68" s="24">
        <f t="shared" si="40"/>
        <v>557835.46827080031</v>
      </c>
      <c r="O68" s="24">
        <f t="shared" si="40"/>
        <v>649131.34297340293</v>
      </c>
      <c r="P68" s="24">
        <f t="shared" si="40"/>
        <v>763166.95141113549</v>
      </c>
      <c r="Q68" s="24">
        <f t="shared" si="40"/>
        <v>901079.28027075494</v>
      </c>
      <c r="R68" s="24">
        <f t="shared" si="40"/>
        <v>1064062.1655733553</v>
      </c>
      <c r="S68" s="24">
        <f t="shared" si="40"/>
        <v>1228199.4069666804</v>
      </c>
      <c r="T68" s="24">
        <f t="shared" si="40"/>
        <v>1398330.4883625142</v>
      </c>
      <c r="U68" s="24">
        <f t="shared" si="40"/>
        <v>1574549.7081074209</v>
      </c>
      <c r="V68" s="24">
        <f t="shared" si="40"/>
        <v>1756953.0947821354</v>
      </c>
      <c r="W68" s="24">
        <f t="shared" si="40"/>
        <v>1945638.4407491772</v>
      </c>
      <c r="X68" s="24">
        <f t="shared" si="40"/>
        <v>2140705.3363633486</v>
      </c>
      <c r="Y68" s="24">
        <f t="shared" si="40"/>
        <v>2342255.204858304</v>
      </c>
      <c r="Z68" s="24">
        <f t="shared" si="40"/>
        <v>2550391.3379226443</v>
      </c>
      <c r="AA68" s="24">
        <f t="shared" si="40"/>
        <v>2765218.9319792613</v>
      </c>
      <c r="AB68" s="24">
        <f t="shared" si="40"/>
        <v>2986845.1251819152</v>
      </c>
      <c r="AC68" s="24">
        <f t="shared" si="40"/>
        <v>3215379.035143334</v>
      </c>
      <c r="AD68" s="24">
        <f t="shared" si="40"/>
        <v>3448841.0544782444</v>
      </c>
      <c r="AE68" s="24">
        <f t="shared" si="40"/>
        <v>3687746.5288341152</v>
      </c>
      <c r="AF68" s="24">
        <f t="shared" si="40"/>
        <v>3932197.8315499988</v>
      </c>
      <c r="AG68" s="24">
        <f t="shared" si="40"/>
        <v>4182299.37693597</v>
      </c>
      <c r="AH68" s="24">
        <f t="shared" si="40"/>
        <v>4438157.6610860452</v>
      </c>
      <c r="AI68" s="24">
        <f t="shared" si="40"/>
        <v>4699881.3035073616</v>
      </c>
      <c r="AJ68" s="24">
        <f t="shared" si="40"/>
        <v>4967581.0895819347</v>
      </c>
      <c r="AK68" s="24">
        <f t="shared" si="40"/>
        <v>5241370.013877633</v>
      </c>
      <c r="AL68" s="24">
        <f t="shared" si="40"/>
        <v>5521363.3243253781</v>
      </c>
      <c r="AM68" s="24">
        <f t="shared" si="40"/>
        <v>5807678.567279879</v>
      </c>
      <c r="AN68" s="24">
        <f t="shared" si="40"/>
        <v>6100435.6334815677</v>
      </c>
      <c r="AO68" s="24">
        <f t="shared" si="40"/>
        <v>6399756.8049377752</v>
      </c>
      <c r="AP68" s="24">
        <f t="shared" si="40"/>
        <v>6705766.8027415238</v>
      </c>
      <c r="AQ68" s="24">
        <f t="shared" si="40"/>
        <v>7018592.8358466821</v>
      </c>
      <c r="AR68" s="24">
        <f t="shared" si="40"/>
        <v>7338364.6508186236</v>
      </c>
    </row>
    <row r="69" spans="1:44" ht="12.75" customHeight="1" x14ac:dyDescent="0.1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ht="12.75" customHeight="1" x14ac:dyDescent="0.15">
      <c r="A70" s="1"/>
      <c r="B70" s="1"/>
      <c r="C70" s="2"/>
      <c r="D70" s="1"/>
      <c r="E70" s="1"/>
      <c r="F70" s="1" t="s">
        <v>72</v>
      </c>
      <c r="G70" s="1" t="str">
        <f t="shared" ref="G70:AR70" si="41">IF(G68&gt;$G$64,G5,"")</f>
        <v/>
      </c>
      <c r="H70" s="1" t="str">
        <f t="shared" si="41"/>
        <v/>
      </c>
      <c r="I70" s="1" t="str">
        <f t="shared" si="41"/>
        <v/>
      </c>
      <c r="J70" s="1" t="str">
        <f t="shared" si="41"/>
        <v/>
      </c>
      <c r="K70" s="1" t="str">
        <f t="shared" si="41"/>
        <v/>
      </c>
      <c r="L70" s="1" t="str">
        <f t="shared" si="41"/>
        <v/>
      </c>
      <c r="M70" s="1" t="str">
        <f t="shared" si="41"/>
        <v/>
      </c>
      <c r="N70" s="1" t="str">
        <f t="shared" si="41"/>
        <v/>
      </c>
      <c r="O70" s="1" t="str">
        <f t="shared" si="41"/>
        <v/>
      </c>
      <c r="P70" s="1" t="str">
        <f t="shared" si="41"/>
        <v/>
      </c>
      <c r="Q70" s="1" t="str">
        <f t="shared" si="41"/>
        <v/>
      </c>
      <c r="R70" s="1" t="str">
        <f t="shared" si="41"/>
        <v/>
      </c>
      <c r="S70" s="1" t="str">
        <f t="shared" si="41"/>
        <v/>
      </c>
      <c r="T70" s="1" t="str">
        <f t="shared" si="41"/>
        <v/>
      </c>
      <c r="U70" s="1" t="str">
        <f t="shared" si="41"/>
        <v/>
      </c>
      <c r="V70" s="1" t="str">
        <f t="shared" si="41"/>
        <v/>
      </c>
      <c r="W70" s="1" t="str">
        <f t="shared" si="41"/>
        <v/>
      </c>
      <c r="X70" s="1" t="str">
        <f t="shared" si="41"/>
        <v/>
      </c>
      <c r="Y70" s="1" t="str">
        <f t="shared" si="41"/>
        <v/>
      </c>
      <c r="Z70" s="1" t="str">
        <f t="shared" si="41"/>
        <v/>
      </c>
      <c r="AA70" s="1" t="str">
        <f t="shared" si="41"/>
        <v/>
      </c>
      <c r="AB70" s="1" t="str">
        <f t="shared" si="41"/>
        <v/>
      </c>
      <c r="AC70" s="1" t="str">
        <f t="shared" si="41"/>
        <v/>
      </c>
      <c r="AD70" s="1" t="str">
        <f t="shared" si="41"/>
        <v/>
      </c>
      <c r="AE70" s="1" t="str">
        <f t="shared" si="41"/>
        <v/>
      </c>
      <c r="AF70" s="1" t="str">
        <f t="shared" si="41"/>
        <v/>
      </c>
      <c r="AG70" s="1" t="str">
        <f t="shared" si="41"/>
        <v/>
      </c>
      <c r="AH70" s="1" t="str">
        <f t="shared" si="41"/>
        <v/>
      </c>
      <c r="AI70" s="1" t="str">
        <f t="shared" si="41"/>
        <v/>
      </c>
      <c r="AJ70" s="1" t="str">
        <f t="shared" si="41"/>
        <v/>
      </c>
      <c r="AK70" s="1" t="str">
        <f t="shared" si="41"/>
        <v/>
      </c>
      <c r="AL70" s="1" t="str">
        <f t="shared" si="41"/>
        <v/>
      </c>
      <c r="AM70" s="1" t="str">
        <f t="shared" si="41"/>
        <v/>
      </c>
      <c r="AN70" s="1" t="str">
        <f t="shared" si="41"/>
        <v/>
      </c>
      <c r="AO70" s="1" t="str">
        <f t="shared" si="41"/>
        <v/>
      </c>
      <c r="AP70" s="1" t="str">
        <f t="shared" si="41"/>
        <v/>
      </c>
      <c r="AQ70" s="1">
        <f t="shared" si="41"/>
        <v>37</v>
      </c>
      <c r="AR70" s="1">
        <f t="shared" si="41"/>
        <v>38</v>
      </c>
    </row>
    <row r="71" spans="1:44" ht="12.75" customHeight="1" x14ac:dyDescent="0.1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ht="12.75" customHeight="1" x14ac:dyDescent="0.15">
      <c r="A72" s="1"/>
      <c r="B72" s="1"/>
      <c r="C72" s="2"/>
      <c r="D72" s="1"/>
      <c r="E72" s="1"/>
      <c r="F72" s="46" t="s">
        <v>73</v>
      </c>
      <c r="G72" s="47">
        <f>G64</f>
        <v>7000000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spans="1:44" ht="12.75" customHeight="1" x14ac:dyDescent="0.15">
      <c r="A73" s="1"/>
      <c r="B73" s="1"/>
      <c r="C73" s="2"/>
      <c r="D73" s="1"/>
      <c r="E73" s="1"/>
      <c r="F73" s="1" t="s">
        <v>74</v>
      </c>
      <c r="G73" s="1"/>
      <c r="H73" s="2">
        <f t="shared" ref="H73:AR73" si="42">G73-H67</f>
        <v>0</v>
      </c>
      <c r="I73" s="2">
        <f t="shared" si="42"/>
        <v>0</v>
      </c>
      <c r="J73" s="2">
        <f t="shared" si="42"/>
        <v>0</v>
      </c>
      <c r="K73" s="2">
        <f t="shared" si="42"/>
        <v>0</v>
      </c>
      <c r="L73" s="2">
        <f t="shared" si="42"/>
        <v>1565.0034400000004</v>
      </c>
      <c r="M73" s="2">
        <f t="shared" si="42"/>
        <v>7751.9920519999841</v>
      </c>
      <c r="N73" s="2">
        <f t="shared" si="42"/>
        <v>18792.065094599991</v>
      </c>
      <c r="O73" s="2">
        <f t="shared" si="42"/>
        <v>34927.876789330003</v>
      </c>
      <c r="P73" s="2">
        <f t="shared" si="42"/>
        <v>56414.214068796522</v>
      </c>
      <c r="Q73" s="2">
        <f t="shared" si="42"/>
        <v>83518.603212236354</v>
      </c>
      <c r="R73" s="2">
        <f t="shared" si="42"/>
        <v>116521.94681284821</v>
      </c>
      <c r="S73" s="2">
        <f t="shared" si="42"/>
        <v>155719.19259349068</v>
      </c>
      <c r="T73" s="2">
        <f t="shared" si="42"/>
        <v>196386.09002828418</v>
      </c>
      <c r="U73" s="2">
        <f t="shared" si="42"/>
        <v>238545.6857944096</v>
      </c>
      <c r="V73" s="2">
        <f t="shared" si="42"/>
        <v>282221.44889661606</v>
      </c>
      <c r="W73" s="2">
        <f t="shared" si="42"/>
        <v>327437.27885200025</v>
      </c>
      <c r="X73" s="2">
        <f t="shared" si="42"/>
        <v>374217.51403648546</v>
      </c>
      <c r="Y73" s="2">
        <f t="shared" si="42"/>
        <v>422586.94019621675</v>
      </c>
      <c r="Z73" s="2">
        <f t="shared" si="42"/>
        <v>472570.79912715399</v>
      </c>
      <c r="AA73" s="2">
        <f t="shared" si="42"/>
        <v>524194.79752620962</v>
      </c>
      <c r="AB73" s="2">
        <f t="shared" si="42"/>
        <v>577485.11601734406</v>
      </c>
      <c r="AC73" s="2">
        <f t="shared" si="42"/>
        <v>632468.41835610173</v>
      </c>
      <c r="AD73" s="2">
        <f t="shared" si="42"/>
        <v>689171.86081613693</v>
      </c>
      <c r="AE73" s="2">
        <f t="shared" si="42"/>
        <v>747204.95317512611</v>
      </c>
      <c r="AF73" s="2">
        <f t="shared" si="42"/>
        <v>806592.66651809809</v>
      </c>
      <c r="AG73" s="2">
        <f t="shared" si="42"/>
        <v>867360.46972986928</v>
      </c>
      <c r="AH73" s="2">
        <f t="shared" si="42"/>
        <v>929534.33944941766</v>
      </c>
      <c r="AI73" s="2">
        <f t="shared" si="42"/>
        <v>993140.77022334223</v>
      </c>
      <c r="AJ73" s="2">
        <f t="shared" si="42"/>
        <v>1058206.7848623905</v>
      </c>
      <c r="AK73" s="2">
        <f t="shared" si="42"/>
        <v>1124759.9450051147</v>
      </c>
      <c r="AL73" s="2">
        <f t="shared" si="42"/>
        <v>1192828.3618927991</v>
      </c>
      <c r="AM73" s="2">
        <f t="shared" si="42"/>
        <v>1262440.7073598851</v>
      </c>
      <c r="AN73" s="2">
        <f t="shared" si="42"/>
        <v>1333626.2250442025</v>
      </c>
      <c r="AO73" s="2">
        <f t="shared" si="42"/>
        <v>1406414.7418214036</v>
      </c>
      <c r="AP73" s="2">
        <f t="shared" si="42"/>
        <v>1480836.6794680855</v>
      </c>
      <c r="AQ73" s="2">
        <f t="shared" si="42"/>
        <v>1556923.0665581715</v>
      </c>
      <c r="AR73" s="2">
        <f t="shared" si="42"/>
        <v>1634705.5505972204</v>
      </c>
    </row>
    <row r="74" spans="1:44" ht="12.75" customHeight="1" x14ac:dyDescent="0.15">
      <c r="A74" s="1"/>
      <c r="B74" s="1"/>
      <c r="C74" s="2"/>
      <c r="D74" s="1"/>
      <c r="E74" s="1"/>
      <c r="F74" s="1" t="s">
        <v>75</v>
      </c>
      <c r="G74" s="2">
        <f>-G64</f>
        <v>-7000000</v>
      </c>
      <c r="H74" s="2">
        <f t="shared" ref="H74:AR74" si="43">G74-H67</f>
        <v>-7000000</v>
      </c>
      <c r="I74" s="2">
        <f t="shared" si="43"/>
        <v>-7000000</v>
      </c>
      <c r="J74" s="2">
        <f t="shared" si="43"/>
        <v>-7000000</v>
      </c>
      <c r="K74" s="2">
        <f t="shared" si="43"/>
        <v>-7000000</v>
      </c>
      <c r="L74" s="2">
        <f t="shared" si="43"/>
        <v>-6998434.9965599999</v>
      </c>
      <c r="M74" s="2">
        <f t="shared" si="43"/>
        <v>-6992248.007948</v>
      </c>
      <c r="N74" s="2">
        <f t="shared" si="43"/>
        <v>-6981207.9349053996</v>
      </c>
      <c r="O74" s="2">
        <f t="shared" si="43"/>
        <v>-6965072.1232106695</v>
      </c>
      <c r="P74" s="2">
        <f t="shared" si="43"/>
        <v>-6943585.7859312026</v>
      </c>
      <c r="Q74" s="2">
        <f t="shared" si="43"/>
        <v>-6916481.3967877626</v>
      </c>
      <c r="R74" s="2">
        <f t="shared" si="43"/>
        <v>-6883478.0531871505</v>
      </c>
      <c r="S74" s="2">
        <f t="shared" si="43"/>
        <v>-6844280.8074065084</v>
      </c>
      <c r="T74" s="2">
        <f t="shared" si="43"/>
        <v>-6803613.909971715</v>
      </c>
      <c r="U74" s="2">
        <f t="shared" si="43"/>
        <v>-6761454.3142055897</v>
      </c>
      <c r="V74" s="2">
        <f t="shared" si="43"/>
        <v>-6717778.5511033833</v>
      </c>
      <c r="W74" s="2">
        <f t="shared" si="43"/>
        <v>-6672562.7211479992</v>
      </c>
      <c r="X74" s="2">
        <f t="shared" si="43"/>
        <v>-6625782.4859635141</v>
      </c>
      <c r="Y74" s="2">
        <f t="shared" si="43"/>
        <v>-6577413.059803783</v>
      </c>
      <c r="Z74" s="2">
        <f t="shared" si="43"/>
        <v>-6527429.2008728459</v>
      </c>
      <c r="AA74" s="2">
        <f t="shared" si="43"/>
        <v>-6475805.2024737904</v>
      </c>
      <c r="AB74" s="2">
        <f t="shared" si="43"/>
        <v>-6422514.8839826556</v>
      </c>
      <c r="AC74" s="2">
        <f t="shared" si="43"/>
        <v>-6367531.581643898</v>
      </c>
      <c r="AD74" s="2">
        <f t="shared" si="43"/>
        <v>-6310828.1391838631</v>
      </c>
      <c r="AE74" s="2">
        <f t="shared" si="43"/>
        <v>-6252795.0468248744</v>
      </c>
      <c r="AF74" s="2">
        <f t="shared" si="43"/>
        <v>-6193407.3334819023</v>
      </c>
      <c r="AG74" s="2">
        <f t="shared" si="43"/>
        <v>-6132639.5302701313</v>
      </c>
      <c r="AH74" s="2">
        <f t="shared" si="43"/>
        <v>-6070465.6605505832</v>
      </c>
      <c r="AI74" s="2">
        <f t="shared" si="43"/>
        <v>-6006859.2297766581</v>
      </c>
      <c r="AJ74" s="2">
        <f t="shared" si="43"/>
        <v>-5941793.2151376102</v>
      </c>
      <c r="AK74" s="2">
        <f t="shared" si="43"/>
        <v>-5875240.0549948858</v>
      </c>
      <c r="AL74" s="2">
        <f t="shared" si="43"/>
        <v>-5807171.6381072011</v>
      </c>
      <c r="AM74" s="2">
        <f t="shared" si="43"/>
        <v>-5737559.2926401151</v>
      </c>
      <c r="AN74" s="2">
        <f t="shared" si="43"/>
        <v>-5666373.7749557979</v>
      </c>
      <c r="AO74" s="2">
        <f t="shared" si="43"/>
        <v>-5593585.2581785964</v>
      </c>
      <c r="AP74" s="2">
        <f t="shared" si="43"/>
        <v>-5519163.3205319149</v>
      </c>
      <c r="AQ74" s="2">
        <f t="shared" si="43"/>
        <v>-5443076.9334418289</v>
      </c>
      <c r="AR74" s="2">
        <f t="shared" si="43"/>
        <v>-5365294.4494027803</v>
      </c>
    </row>
    <row r="75" spans="1:44" ht="12.75" customHeight="1" x14ac:dyDescent="0.15">
      <c r="A75" s="1"/>
      <c r="B75" s="1"/>
      <c r="C75" s="2"/>
      <c r="D75" s="1"/>
      <c r="E75" s="1"/>
      <c r="F75" s="1" t="s">
        <v>76</v>
      </c>
      <c r="G75" s="1"/>
      <c r="H75" s="1" t="str">
        <f t="shared" ref="H75:AP75" si="44">IF(H74&gt;0,H4,"")</f>
        <v/>
      </c>
      <c r="I75" s="1" t="str">
        <f t="shared" si="44"/>
        <v/>
      </c>
      <c r="J75" s="1" t="str">
        <f t="shared" si="44"/>
        <v/>
      </c>
      <c r="K75" s="1" t="str">
        <f t="shared" si="44"/>
        <v/>
      </c>
      <c r="L75" s="1" t="str">
        <f t="shared" si="44"/>
        <v/>
      </c>
      <c r="M75" s="1" t="str">
        <f t="shared" si="44"/>
        <v/>
      </c>
      <c r="N75" s="1" t="str">
        <f t="shared" si="44"/>
        <v/>
      </c>
      <c r="O75" s="1" t="str">
        <f t="shared" si="44"/>
        <v/>
      </c>
      <c r="P75" s="1" t="str">
        <f t="shared" si="44"/>
        <v/>
      </c>
      <c r="Q75" s="1" t="str">
        <f t="shared" si="44"/>
        <v/>
      </c>
      <c r="R75" s="1" t="str">
        <f t="shared" si="44"/>
        <v/>
      </c>
      <c r="S75" s="1" t="str">
        <f t="shared" si="44"/>
        <v/>
      </c>
      <c r="T75" s="1" t="str">
        <f t="shared" si="44"/>
        <v/>
      </c>
      <c r="U75" s="1" t="str">
        <f t="shared" si="44"/>
        <v/>
      </c>
      <c r="V75" s="1" t="str">
        <f t="shared" si="44"/>
        <v/>
      </c>
      <c r="W75" s="1" t="str">
        <f t="shared" si="44"/>
        <v/>
      </c>
      <c r="X75" s="1" t="str">
        <f t="shared" si="44"/>
        <v/>
      </c>
      <c r="Y75" s="1" t="str">
        <f t="shared" si="44"/>
        <v/>
      </c>
      <c r="Z75" s="1" t="str">
        <f t="shared" si="44"/>
        <v/>
      </c>
      <c r="AA75" s="1" t="str">
        <f t="shared" si="44"/>
        <v/>
      </c>
      <c r="AB75" s="1" t="str">
        <f t="shared" si="44"/>
        <v/>
      </c>
      <c r="AC75" s="1" t="str">
        <f t="shared" si="44"/>
        <v/>
      </c>
      <c r="AD75" s="1" t="str">
        <f t="shared" si="44"/>
        <v/>
      </c>
      <c r="AE75" s="1" t="str">
        <f t="shared" si="44"/>
        <v/>
      </c>
      <c r="AF75" s="1" t="str">
        <f t="shared" si="44"/>
        <v/>
      </c>
      <c r="AG75" s="1" t="str">
        <f t="shared" si="44"/>
        <v/>
      </c>
      <c r="AH75" s="1" t="str">
        <f t="shared" si="44"/>
        <v/>
      </c>
      <c r="AI75" s="1" t="str">
        <f t="shared" si="44"/>
        <v/>
      </c>
      <c r="AJ75" s="1" t="str">
        <f t="shared" si="44"/>
        <v/>
      </c>
      <c r="AK75" s="1" t="str">
        <f t="shared" si="44"/>
        <v/>
      </c>
      <c r="AL75" s="1" t="str">
        <f t="shared" si="44"/>
        <v/>
      </c>
      <c r="AM75" s="1" t="str">
        <f t="shared" si="44"/>
        <v/>
      </c>
      <c r="AN75" s="1" t="str">
        <f t="shared" si="44"/>
        <v/>
      </c>
      <c r="AO75" s="1" t="str">
        <f t="shared" si="44"/>
        <v/>
      </c>
      <c r="AP75" s="1" t="str">
        <f t="shared" si="44"/>
        <v/>
      </c>
    </row>
    <row r="76" spans="1:44" ht="12.75" customHeight="1" x14ac:dyDescent="0.1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4" ht="12.75" customHeight="1" x14ac:dyDescent="0.1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4" ht="12.75" customHeight="1" x14ac:dyDescent="0.1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4" ht="12.75" customHeight="1" x14ac:dyDescent="0.1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4" ht="12.75" customHeight="1" x14ac:dyDescent="0.1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2.75" customHeight="1" x14ac:dyDescent="0.1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2.75" customHeight="1" x14ac:dyDescent="0.1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2.75" customHeight="1" x14ac:dyDescent="0.1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2.75" customHeight="1" x14ac:dyDescent="0.1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2.75" customHeight="1" x14ac:dyDescent="0.1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2.75" customHeight="1" x14ac:dyDescent="0.1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2.75" customHeight="1" x14ac:dyDescent="0.1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2.75" customHeight="1" x14ac:dyDescent="0.1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2.75" customHeight="1" x14ac:dyDescent="0.1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2.75" customHeight="1" x14ac:dyDescent="0.1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2.75" customHeight="1" x14ac:dyDescent="0.1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2.75" customHeight="1" x14ac:dyDescent="0.1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2.75" customHeight="1" x14ac:dyDescent="0.1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2.75" customHeight="1" x14ac:dyDescent="0.1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2.75" customHeight="1" x14ac:dyDescent="0.1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2.75" customHeight="1" x14ac:dyDescent="0.1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2.75" customHeight="1" x14ac:dyDescent="0.1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2.75" customHeight="1" x14ac:dyDescent="0.1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2.75" customHeight="1" x14ac:dyDescent="0.1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2.75" customHeight="1" x14ac:dyDescent="0.1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2.75" customHeight="1" x14ac:dyDescent="0.1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2.75" customHeight="1" x14ac:dyDescent="0.1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2.75" customHeight="1" x14ac:dyDescent="0.1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2.75" customHeight="1" x14ac:dyDescent="0.1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2.75" customHeight="1" x14ac:dyDescent="0.1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2.75" customHeight="1" x14ac:dyDescent="0.1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2.75" customHeight="1" x14ac:dyDescent="0.1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2.75" customHeight="1" x14ac:dyDescent="0.1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2.75" customHeight="1" x14ac:dyDescent="0.1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2.75" customHeight="1" x14ac:dyDescent="0.1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2.75" customHeight="1" x14ac:dyDescent="0.1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2.75" customHeight="1" x14ac:dyDescent="0.1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2.75" customHeight="1" x14ac:dyDescent="0.1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2.75" customHeight="1" x14ac:dyDescent="0.1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2.75" customHeight="1" x14ac:dyDescent="0.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2.75" customHeight="1" x14ac:dyDescent="0.1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2.75" customHeight="1" x14ac:dyDescent="0.1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2.75" customHeight="1" x14ac:dyDescent="0.1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2.75" customHeight="1" x14ac:dyDescent="0.1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2.75" customHeight="1" x14ac:dyDescent="0.1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2.75" customHeight="1" x14ac:dyDescent="0.1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2.75" customHeight="1" x14ac:dyDescent="0.1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2.75" customHeight="1" x14ac:dyDescent="0.1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2.75" customHeight="1" x14ac:dyDescent="0.1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2.75" customHeight="1" x14ac:dyDescent="0.1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2.75" customHeight="1" x14ac:dyDescent="0.1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2.75" customHeight="1" x14ac:dyDescent="0.1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2.75" customHeight="1" x14ac:dyDescent="0.1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2.75" customHeight="1" x14ac:dyDescent="0.1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2.75" customHeight="1" x14ac:dyDescent="0.1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2.75" customHeight="1" x14ac:dyDescent="0.1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2.75" customHeight="1" x14ac:dyDescent="0.1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2.75" customHeight="1" x14ac:dyDescent="0.1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2.75" customHeight="1" x14ac:dyDescent="0.1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2.75" customHeight="1" x14ac:dyDescent="0.1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2.75" customHeight="1" x14ac:dyDescent="0.1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2.75" customHeight="1" x14ac:dyDescent="0.1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2.75" customHeight="1" x14ac:dyDescent="0.1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2.75" customHeight="1" x14ac:dyDescent="0.1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2.75" customHeight="1" x14ac:dyDescent="0.1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2.75" customHeight="1" x14ac:dyDescent="0.1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2.75" customHeight="1" x14ac:dyDescent="0.1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2.75" customHeight="1" x14ac:dyDescent="0.1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2.75" customHeight="1" x14ac:dyDescent="0.1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2.75" customHeight="1" x14ac:dyDescent="0.1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2.75" customHeight="1" x14ac:dyDescent="0.1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2.75" customHeight="1" x14ac:dyDescent="0.1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2.75" customHeight="1" x14ac:dyDescent="0.1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2.75" customHeight="1" x14ac:dyDescent="0.1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2.75" customHeight="1" x14ac:dyDescent="0.1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2.75" customHeight="1" x14ac:dyDescent="0.15">
      <c r="A151" s="1"/>
      <c r="B151" s="6"/>
      <c r="C151" s="6"/>
      <c r="D151" s="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2.75" customHeight="1" x14ac:dyDescent="0.15">
      <c r="A152" s="1"/>
      <c r="B152" s="6"/>
      <c r="C152" s="6"/>
      <c r="D152" s="6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2.75" customHeight="1" x14ac:dyDescent="0.15">
      <c r="A153" s="1"/>
      <c r="B153" s="6"/>
      <c r="C153" s="6"/>
      <c r="D153" s="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2.75" customHeight="1" x14ac:dyDescent="0.15">
      <c r="A154" s="1"/>
      <c r="B154" s="6"/>
      <c r="C154" s="6"/>
      <c r="D154" s="6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2.75" customHeight="1" x14ac:dyDescent="0.15">
      <c r="A155" s="1"/>
      <c r="B155" s="6"/>
      <c r="C155" s="6"/>
      <c r="D155" s="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2.75" customHeight="1" x14ac:dyDescent="0.15">
      <c r="A156" s="1"/>
      <c r="B156" s="6"/>
      <c r="C156" s="6"/>
      <c r="D156" s="6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2.75" customHeight="1" x14ac:dyDescent="0.15">
      <c r="A157" s="1"/>
      <c r="B157" s="6"/>
      <c r="C157" s="6"/>
      <c r="D157" s="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2.75" customHeight="1" x14ac:dyDescent="0.15">
      <c r="A158" s="1"/>
      <c r="B158" s="6"/>
      <c r="C158" s="6"/>
      <c r="D158" s="6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2.75" customHeight="1" x14ac:dyDescent="0.15">
      <c r="A159" s="1"/>
      <c r="B159" s="6"/>
      <c r="C159" s="6"/>
      <c r="D159" s="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2.75" customHeight="1" x14ac:dyDescent="0.15">
      <c r="A160" s="1"/>
      <c r="B160" s="6"/>
      <c r="C160" s="6"/>
      <c r="D160" s="6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2.75" customHeight="1" x14ac:dyDescent="0.1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2.75" customHeight="1" x14ac:dyDescent="0.1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2.75" customHeight="1" x14ac:dyDescent="0.1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2.75" customHeight="1" x14ac:dyDescent="0.1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2.75" customHeight="1" x14ac:dyDescent="0.1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2.75" customHeight="1" x14ac:dyDescent="0.1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2.75" customHeight="1" x14ac:dyDescent="0.1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2.75" customHeight="1" x14ac:dyDescent="0.1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2.75" customHeight="1" x14ac:dyDescent="0.1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2.75" customHeight="1" x14ac:dyDescent="0.1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2.75" customHeight="1" x14ac:dyDescent="0.1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2.75" customHeight="1" x14ac:dyDescent="0.1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2.75" customHeight="1" x14ac:dyDescent="0.1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2.75" customHeight="1" x14ac:dyDescent="0.1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2.75" customHeight="1" x14ac:dyDescent="0.1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2.75" customHeight="1" x14ac:dyDescent="0.1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2.75" customHeight="1" x14ac:dyDescent="0.1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2.75" customHeight="1" x14ac:dyDescent="0.1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2.75" customHeight="1" x14ac:dyDescent="0.1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2.75" customHeight="1" x14ac:dyDescent="0.1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2.75" customHeight="1" x14ac:dyDescent="0.1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2.75" customHeight="1" x14ac:dyDescent="0.1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2.75" customHeight="1" x14ac:dyDescent="0.1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2.75" customHeight="1" x14ac:dyDescent="0.1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2.75" customHeight="1" x14ac:dyDescent="0.1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2.75" customHeight="1" x14ac:dyDescent="0.1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2.75" customHeight="1" x14ac:dyDescent="0.1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2.75" customHeight="1" x14ac:dyDescent="0.1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2.75" customHeight="1" x14ac:dyDescent="0.1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2.75" customHeight="1" x14ac:dyDescent="0.1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2.75" customHeight="1" x14ac:dyDescent="0.1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2.75" customHeight="1" x14ac:dyDescent="0.1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2.75" customHeight="1" x14ac:dyDescent="0.1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2.75" customHeight="1" x14ac:dyDescent="0.1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2.75" customHeight="1" x14ac:dyDescent="0.1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2.75" customHeight="1" x14ac:dyDescent="0.1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2.75" customHeight="1" x14ac:dyDescent="0.1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2.75" customHeight="1" x14ac:dyDescent="0.1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2.75" customHeight="1" x14ac:dyDescent="0.1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2.75" customHeight="1" x14ac:dyDescent="0.1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2.75" customHeight="1" x14ac:dyDescent="0.1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2.75" customHeight="1" x14ac:dyDescent="0.1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2.75" customHeight="1" x14ac:dyDescent="0.1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2.75" customHeight="1" x14ac:dyDescent="0.1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2.75" customHeight="1" x14ac:dyDescent="0.1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2.75" customHeight="1" x14ac:dyDescent="0.1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2.75" customHeight="1" x14ac:dyDescent="0.1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2.75" customHeight="1" x14ac:dyDescent="0.1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2.75" customHeight="1" x14ac:dyDescent="0.1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2.75" customHeight="1" x14ac:dyDescent="0.1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2.75" customHeight="1" x14ac:dyDescent="0.1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2.75" customHeight="1" x14ac:dyDescent="0.1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2.75" customHeight="1" x14ac:dyDescent="0.1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2.75" customHeight="1" x14ac:dyDescent="0.1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2.75" customHeight="1" x14ac:dyDescent="0.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2.75" customHeight="1" x14ac:dyDescent="0.1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2.75" customHeight="1" x14ac:dyDescent="0.1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2.75" customHeight="1" x14ac:dyDescent="0.1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2.75" customHeight="1" x14ac:dyDescent="0.1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2.75" customHeight="1" x14ac:dyDescent="0.1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2.75" customHeight="1" x14ac:dyDescent="0.1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2.75" customHeight="1" x14ac:dyDescent="0.1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2.75" customHeight="1" x14ac:dyDescent="0.1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2.75" customHeight="1" x14ac:dyDescent="0.1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2.75" customHeight="1" x14ac:dyDescent="0.1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2.75" customHeight="1" x14ac:dyDescent="0.1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2.75" customHeight="1" x14ac:dyDescent="0.1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2.75" customHeight="1" x14ac:dyDescent="0.1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2.75" customHeight="1" x14ac:dyDescent="0.1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2.75" customHeight="1" x14ac:dyDescent="0.1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2.75" customHeight="1" x14ac:dyDescent="0.1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2.75" customHeight="1" x14ac:dyDescent="0.1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2.75" customHeight="1" x14ac:dyDescent="0.1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2.75" customHeight="1" x14ac:dyDescent="0.1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2.75" customHeight="1" x14ac:dyDescent="0.1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2.75" customHeight="1" x14ac:dyDescent="0.1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2.75" customHeight="1" x14ac:dyDescent="0.1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2.75" customHeight="1" x14ac:dyDescent="0.1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2.75" customHeight="1" x14ac:dyDescent="0.1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2.75" customHeight="1" x14ac:dyDescent="0.1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2.75" customHeight="1" x14ac:dyDescent="0.1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2.75" customHeight="1" x14ac:dyDescent="0.1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2.75" customHeight="1" x14ac:dyDescent="0.1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2.75" customHeight="1" x14ac:dyDescent="0.1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2.75" customHeight="1" x14ac:dyDescent="0.1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2.75" customHeight="1" x14ac:dyDescent="0.1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2.75" customHeight="1" x14ac:dyDescent="0.1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2.75" customHeight="1" x14ac:dyDescent="0.1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2.75" customHeight="1" x14ac:dyDescent="0.1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2.75" customHeight="1" x14ac:dyDescent="0.1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2.75" customHeight="1" x14ac:dyDescent="0.1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2.75" customHeight="1" x14ac:dyDescent="0.1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2.75" customHeight="1" x14ac:dyDescent="0.1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2.75" customHeight="1" x14ac:dyDescent="0.1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2.75" customHeight="1" x14ac:dyDescent="0.1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2.75" customHeight="1" x14ac:dyDescent="0.1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2.75" customHeight="1" x14ac:dyDescent="0.1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2.75" customHeight="1" x14ac:dyDescent="0.1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2.75" customHeight="1" x14ac:dyDescent="0.1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2.75" customHeight="1" x14ac:dyDescent="0.1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2.75" customHeight="1" x14ac:dyDescent="0.1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2.75" customHeight="1" x14ac:dyDescent="0.1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2.75" customHeight="1" x14ac:dyDescent="0.1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2.75" customHeight="1" x14ac:dyDescent="0.1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2.75" customHeight="1" x14ac:dyDescent="0.1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2.75" customHeight="1" x14ac:dyDescent="0.1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2.75" customHeight="1" x14ac:dyDescent="0.1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2.75" customHeight="1" x14ac:dyDescent="0.1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2.75" customHeight="1" x14ac:dyDescent="0.1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2.75" customHeight="1" x14ac:dyDescent="0.1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2.75" customHeight="1" x14ac:dyDescent="0.1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2.75" customHeight="1" x14ac:dyDescent="0.1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2.75" customHeight="1" x14ac:dyDescent="0.1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2.75" customHeight="1" x14ac:dyDescent="0.1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2.75" customHeight="1" x14ac:dyDescent="0.1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2.75" customHeight="1" x14ac:dyDescent="0.1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2.75" customHeight="1" x14ac:dyDescent="0.1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2.75" customHeight="1" x14ac:dyDescent="0.1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2.75" customHeight="1" x14ac:dyDescent="0.1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2.75" customHeight="1" x14ac:dyDescent="0.1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2.75" customHeight="1" x14ac:dyDescent="0.1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2.75" customHeight="1" x14ac:dyDescent="0.1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2.75" customHeight="1" x14ac:dyDescent="0.1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2.75" customHeight="1" x14ac:dyDescent="0.1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2.75" customHeight="1" x14ac:dyDescent="0.1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2.75" customHeight="1" x14ac:dyDescent="0.1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2.75" customHeight="1" x14ac:dyDescent="0.1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2.75" customHeight="1" x14ac:dyDescent="0.1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2.75" customHeight="1" x14ac:dyDescent="0.1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2.75" customHeight="1" x14ac:dyDescent="0.1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2.75" customHeight="1" x14ac:dyDescent="0.1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2.75" customHeight="1" x14ac:dyDescent="0.1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2.75" customHeight="1" x14ac:dyDescent="0.1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2.75" customHeight="1" x14ac:dyDescent="0.1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2.75" customHeight="1" x14ac:dyDescent="0.1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2.75" customHeight="1" x14ac:dyDescent="0.1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2.75" customHeight="1" x14ac:dyDescent="0.1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2.75" customHeight="1" x14ac:dyDescent="0.1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2.75" customHeight="1" x14ac:dyDescent="0.1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2.75" customHeight="1" x14ac:dyDescent="0.1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2.75" customHeight="1" x14ac:dyDescent="0.1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2.75" customHeight="1" x14ac:dyDescent="0.1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2.75" customHeight="1" x14ac:dyDescent="0.1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2.75" customHeight="1" x14ac:dyDescent="0.1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2.75" customHeight="1" x14ac:dyDescent="0.1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2.75" customHeight="1" x14ac:dyDescent="0.1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2.75" customHeight="1" x14ac:dyDescent="0.1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2.75" customHeight="1" x14ac:dyDescent="0.1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2.75" customHeight="1" x14ac:dyDescent="0.1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2.75" customHeight="1" x14ac:dyDescent="0.1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2.75" customHeight="1" x14ac:dyDescent="0.1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2.75" customHeight="1" x14ac:dyDescent="0.1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2.75" customHeight="1" x14ac:dyDescent="0.1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2.75" customHeight="1" x14ac:dyDescent="0.1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2.75" customHeight="1" x14ac:dyDescent="0.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2.75" customHeight="1" x14ac:dyDescent="0.1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2.75" customHeight="1" x14ac:dyDescent="0.1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2.75" customHeight="1" x14ac:dyDescent="0.1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2.75" customHeight="1" x14ac:dyDescent="0.1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2.75" customHeight="1" x14ac:dyDescent="0.1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2.75" customHeight="1" x14ac:dyDescent="0.1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2.75" customHeight="1" x14ac:dyDescent="0.1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2.75" customHeight="1" x14ac:dyDescent="0.1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2.75" customHeight="1" x14ac:dyDescent="0.1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2.75" customHeight="1" x14ac:dyDescent="0.1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2.75" customHeight="1" x14ac:dyDescent="0.1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2.75" customHeight="1" x14ac:dyDescent="0.1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2.75" customHeight="1" x14ac:dyDescent="0.1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2.75" customHeight="1" x14ac:dyDescent="0.1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2.75" customHeight="1" x14ac:dyDescent="0.1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2.75" customHeight="1" x14ac:dyDescent="0.1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2.75" customHeight="1" x14ac:dyDescent="0.1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2.75" customHeight="1" x14ac:dyDescent="0.1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2.75" customHeight="1" x14ac:dyDescent="0.1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2.75" customHeight="1" x14ac:dyDescent="0.1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2.75" customHeight="1" x14ac:dyDescent="0.1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2.75" customHeight="1" x14ac:dyDescent="0.1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2.75" customHeight="1" x14ac:dyDescent="0.1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2.75" customHeight="1" x14ac:dyDescent="0.1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2.75" customHeight="1" x14ac:dyDescent="0.1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2.75" customHeight="1" x14ac:dyDescent="0.1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2.75" customHeight="1" x14ac:dyDescent="0.1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2.75" customHeight="1" x14ac:dyDescent="0.1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2.75" customHeight="1" x14ac:dyDescent="0.1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2.75" customHeight="1" x14ac:dyDescent="0.1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2.75" customHeight="1" x14ac:dyDescent="0.1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2.75" customHeight="1" x14ac:dyDescent="0.1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2.75" customHeight="1" x14ac:dyDescent="0.1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2.75" customHeight="1" x14ac:dyDescent="0.1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2.75" customHeight="1" x14ac:dyDescent="0.1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2.75" customHeight="1" x14ac:dyDescent="0.1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2.75" customHeight="1" x14ac:dyDescent="0.1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2.75" customHeight="1" x14ac:dyDescent="0.1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2.75" customHeight="1" x14ac:dyDescent="0.1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2.75" customHeight="1" x14ac:dyDescent="0.1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2.75" customHeight="1" x14ac:dyDescent="0.1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2.75" customHeight="1" x14ac:dyDescent="0.1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2.75" customHeight="1" x14ac:dyDescent="0.1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2.75" customHeight="1" x14ac:dyDescent="0.1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2.75" customHeight="1" x14ac:dyDescent="0.1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2.75" customHeight="1" x14ac:dyDescent="0.1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2.75" customHeight="1" x14ac:dyDescent="0.1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2.75" customHeight="1" x14ac:dyDescent="0.1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2.75" customHeight="1" x14ac:dyDescent="0.1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2.75" customHeight="1" x14ac:dyDescent="0.1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2.75" customHeight="1" x14ac:dyDescent="0.1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2.75" customHeight="1" x14ac:dyDescent="0.1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2.75" customHeight="1" x14ac:dyDescent="0.1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2.75" customHeight="1" x14ac:dyDescent="0.1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2.75" customHeight="1" x14ac:dyDescent="0.1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2.75" customHeight="1" x14ac:dyDescent="0.1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2.75" customHeight="1" x14ac:dyDescent="0.1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2.75" customHeight="1" x14ac:dyDescent="0.1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2.75" customHeight="1" x14ac:dyDescent="0.1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2.75" customHeight="1" x14ac:dyDescent="0.1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2.75" customHeight="1" x14ac:dyDescent="0.1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2.75" customHeight="1" x14ac:dyDescent="0.1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2.75" customHeight="1" x14ac:dyDescent="0.1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2.75" customHeight="1" x14ac:dyDescent="0.1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2.75" customHeight="1" x14ac:dyDescent="0.1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2.75" customHeight="1" x14ac:dyDescent="0.1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2.75" customHeight="1" x14ac:dyDescent="0.1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2.75" customHeight="1" x14ac:dyDescent="0.1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2.75" customHeight="1" x14ac:dyDescent="0.1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2.75" customHeight="1" x14ac:dyDescent="0.1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2.75" customHeight="1" x14ac:dyDescent="0.1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2.75" customHeight="1" x14ac:dyDescent="0.1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2.75" customHeight="1" x14ac:dyDescent="0.1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2.75" customHeight="1" x14ac:dyDescent="0.1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2.75" customHeight="1" x14ac:dyDescent="0.1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2.75" customHeight="1" x14ac:dyDescent="0.1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2.75" customHeight="1" x14ac:dyDescent="0.1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2.75" customHeight="1" x14ac:dyDescent="0.1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2.75" customHeight="1" x14ac:dyDescent="0.1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2.75" customHeight="1" x14ac:dyDescent="0.1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2.75" customHeight="1" x14ac:dyDescent="0.1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2.75" customHeight="1" x14ac:dyDescent="0.1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2.75" customHeight="1" x14ac:dyDescent="0.1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2.75" customHeight="1" x14ac:dyDescent="0.1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2.75" customHeight="1" x14ac:dyDescent="0.1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2.75" customHeight="1" x14ac:dyDescent="0.1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2.75" customHeight="1" x14ac:dyDescent="0.1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2.75" customHeight="1" x14ac:dyDescent="0.1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2.75" customHeight="1" x14ac:dyDescent="0.1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2.75" customHeight="1" x14ac:dyDescent="0.1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2.75" customHeight="1" x14ac:dyDescent="0.1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2.75" customHeight="1" x14ac:dyDescent="0.1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2.75" customHeight="1" x14ac:dyDescent="0.1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2.75" customHeight="1" x14ac:dyDescent="0.1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2.75" customHeight="1" x14ac:dyDescent="0.1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2.75" customHeight="1" x14ac:dyDescent="0.1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2.75" customHeight="1" x14ac:dyDescent="0.1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2.75" customHeight="1" x14ac:dyDescent="0.1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2.75" customHeight="1" x14ac:dyDescent="0.1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2.75" customHeight="1" x14ac:dyDescent="0.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2.75" customHeight="1" x14ac:dyDescent="0.1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2.75" customHeight="1" x14ac:dyDescent="0.1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2.75" customHeight="1" x14ac:dyDescent="0.1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2.75" customHeight="1" x14ac:dyDescent="0.1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2.75" customHeight="1" x14ac:dyDescent="0.1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2.75" customHeight="1" x14ac:dyDescent="0.1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2.75" customHeight="1" x14ac:dyDescent="0.1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2.75" customHeight="1" x14ac:dyDescent="0.1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2.75" customHeight="1" x14ac:dyDescent="0.1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2.75" customHeight="1" x14ac:dyDescent="0.1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2.75" customHeight="1" x14ac:dyDescent="0.1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2.75" customHeight="1" x14ac:dyDescent="0.1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2.75" customHeight="1" x14ac:dyDescent="0.1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2.75" customHeight="1" x14ac:dyDescent="0.1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2.75" customHeight="1" x14ac:dyDescent="0.1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2.75" customHeight="1" x14ac:dyDescent="0.1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2.75" customHeight="1" x14ac:dyDescent="0.1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2.75" customHeight="1" x14ac:dyDescent="0.1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2.75" customHeight="1" x14ac:dyDescent="0.1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2.75" customHeight="1" x14ac:dyDescent="0.1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2.75" customHeight="1" x14ac:dyDescent="0.1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2.75" customHeight="1" x14ac:dyDescent="0.1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2.75" customHeight="1" x14ac:dyDescent="0.1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2.75" customHeight="1" x14ac:dyDescent="0.1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2.75" customHeight="1" x14ac:dyDescent="0.1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2.75" customHeight="1" x14ac:dyDescent="0.1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2.75" customHeight="1" x14ac:dyDescent="0.1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2.75" customHeight="1" x14ac:dyDescent="0.1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2.75" customHeight="1" x14ac:dyDescent="0.1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2.75" customHeight="1" x14ac:dyDescent="0.1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2.75" customHeight="1" x14ac:dyDescent="0.1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2.75" customHeight="1" x14ac:dyDescent="0.1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2.75" customHeight="1" x14ac:dyDescent="0.1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2.75" customHeight="1" x14ac:dyDescent="0.1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2.75" customHeight="1" x14ac:dyDescent="0.1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2.75" customHeight="1" x14ac:dyDescent="0.1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2.75" customHeight="1" x14ac:dyDescent="0.1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2.75" customHeight="1" x14ac:dyDescent="0.1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2.75" customHeight="1" x14ac:dyDescent="0.1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2.75" customHeight="1" x14ac:dyDescent="0.1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2.75" customHeight="1" x14ac:dyDescent="0.1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2.75" customHeight="1" x14ac:dyDescent="0.1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2.75" customHeight="1" x14ac:dyDescent="0.1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2.75" customHeight="1" x14ac:dyDescent="0.1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2.75" customHeight="1" x14ac:dyDescent="0.1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2.75" customHeight="1" x14ac:dyDescent="0.1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2.75" customHeight="1" x14ac:dyDescent="0.1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2.75" customHeight="1" x14ac:dyDescent="0.1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2.75" customHeight="1" x14ac:dyDescent="0.1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2.75" customHeight="1" x14ac:dyDescent="0.1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2.75" customHeight="1" x14ac:dyDescent="0.1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2.75" customHeight="1" x14ac:dyDescent="0.1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2.75" customHeight="1" x14ac:dyDescent="0.1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2.75" customHeight="1" x14ac:dyDescent="0.1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2.75" customHeight="1" x14ac:dyDescent="0.1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2.75" customHeight="1" x14ac:dyDescent="0.1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2.75" customHeight="1" x14ac:dyDescent="0.1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2.75" customHeight="1" x14ac:dyDescent="0.1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2.75" customHeight="1" x14ac:dyDescent="0.1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2.75" customHeight="1" x14ac:dyDescent="0.1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2.75" customHeight="1" x14ac:dyDescent="0.1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2.75" customHeight="1" x14ac:dyDescent="0.1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2.75" customHeight="1" x14ac:dyDescent="0.1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2.75" customHeight="1" x14ac:dyDescent="0.1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2.75" customHeight="1" x14ac:dyDescent="0.1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2.75" customHeight="1" x14ac:dyDescent="0.1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2.75" customHeight="1" x14ac:dyDescent="0.1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2.75" customHeight="1" x14ac:dyDescent="0.1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2.75" customHeight="1" x14ac:dyDescent="0.1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2.75" customHeight="1" x14ac:dyDescent="0.1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2.75" customHeight="1" x14ac:dyDescent="0.1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2.75" customHeight="1" x14ac:dyDescent="0.1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2.75" customHeight="1" x14ac:dyDescent="0.1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2.75" customHeight="1" x14ac:dyDescent="0.1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2.75" customHeight="1" x14ac:dyDescent="0.1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2.75" customHeight="1" x14ac:dyDescent="0.1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2.75" customHeight="1" x14ac:dyDescent="0.1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2.75" customHeight="1" x14ac:dyDescent="0.1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2.75" customHeight="1" x14ac:dyDescent="0.1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2.75" customHeight="1" x14ac:dyDescent="0.1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2.75" customHeight="1" x14ac:dyDescent="0.1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2.75" customHeight="1" x14ac:dyDescent="0.1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2.75" customHeight="1" x14ac:dyDescent="0.1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2.75" customHeight="1" x14ac:dyDescent="0.1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2.75" customHeight="1" x14ac:dyDescent="0.1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2.75" customHeight="1" x14ac:dyDescent="0.1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2.75" customHeight="1" x14ac:dyDescent="0.1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2.75" customHeight="1" x14ac:dyDescent="0.1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2.75" customHeight="1" x14ac:dyDescent="0.1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2.75" customHeight="1" x14ac:dyDescent="0.1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2.75" customHeight="1" x14ac:dyDescent="0.1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2.75" customHeight="1" x14ac:dyDescent="0.1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2.75" customHeight="1" x14ac:dyDescent="0.1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2.75" customHeight="1" x14ac:dyDescent="0.1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2.75" customHeight="1" x14ac:dyDescent="0.1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2.75" customHeight="1" x14ac:dyDescent="0.1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2.75" customHeight="1" x14ac:dyDescent="0.1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2.75" customHeight="1" x14ac:dyDescent="0.1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2.75" customHeight="1" x14ac:dyDescent="0.1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2.75" customHeight="1" x14ac:dyDescent="0.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2.75" customHeight="1" x14ac:dyDescent="0.1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2.75" customHeight="1" x14ac:dyDescent="0.1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2.75" customHeight="1" x14ac:dyDescent="0.1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2.75" customHeight="1" x14ac:dyDescent="0.1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2.75" customHeight="1" x14ac:dyDescent="0.1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2.75" customHeight="1" x14ac:dyDescent="0.1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2.75" customHeight="1" x14ac:dyDescent="0.1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2.75" customHeight="1" x14ac:dyDescent="0.1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2.75" customHeight="1" x14ac:dyDescent="0.1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2.75" customHeight="1" x14ac:dyDescent="0.1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2.75" customHeight="1" x14ac:dyDescent="0.1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2.75" customHeight="1" x14ac:dyDescent="0.1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2.75" customHeight="1" x14ac:dyDescent="0.1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2.75" customHeight="1" x14ac:dyDescent="0.1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2.75" customHeight="1" x14ac:dyDescent="0.1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2.75" customHeight="1" x14ac:dyDescent="0.1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2.75" customHeight="1" x14ac:dyDescent="0.1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2.75" customHeight="1" x14ac:dyDescent="0.1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2.75" customHeight="1" x14ac:dyDescent="0.1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2.75" customHeight="1" x14ac:dyDescent="0.1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2.75" customHeight="1" x14ac:dyDescent="0.1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2.75" customHeight="1" x14ac:dyDescent="0.1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2.75" customHeight="1" x14ac:dyDescent="0.1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2.75" customHeight="1" x14ac:dyDescent="0.1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2.75" customHeight="1" x14ac:dyDescent="0.1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2.75" customHeight="1" x14ac:dyDescent="0.1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2.75" customHeight="1" x14ac:dyDescent="0.1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2.75" customHeight="1" x14ac:dyDescent="0.1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2.75" customHeight="1" x14ac:dyDescent="0.1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2.75" customHeight="1" x14ac:dyDescent="0.1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2.75" customHeight="1" x14ac:dyDescent="0.1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2.75" customHeight="1" x14ac:dyDescent="0.1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2.75" customHeight="1" x14ac:dyDescent="0.1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2.75" customHeight="1" x14ac:dyDescent="0.1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2.75" customHeight="1" x14ac:dyDescent="0.1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2.75" customHeight="1" x14ac:dyDescent="0.1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2.75" customHeight="1" x14ac:dyDescent="0.1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2.75" customHeight="1" x14ac:dyDescent="0.1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2.75" customHeight="1" x14ac:dyDescent="0.1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2.75" customHeight="1" x14ac:dyDescent="0.1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2.75" customHeight="1" x14ac:dyDescent="0.1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2.75" customHeight="1" x14ac:dyDescent="0.1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2.75" customHeight="1" x14ac:dyDescent="0.1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2.75" customHeight="1" x14ac:dyDescent="0.1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2.75" customHeight="1" x14ac:dyDescent="0.1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2.75" customHeight="1" x14ac:dyDescent="0.1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2.75" customHeight="1" x14ac:dyDescent="0.1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2.75" customHeight="1" x14ac:dyDescent="0.1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2.75" customHeight="1" x14ac:dyDescent="0.1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2.75" customHeight="1" x14ac:dyDescent="0.1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2.75" customHeight="1" x14ac:dyDescent="0.1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2.75" customHeight="1" x14ac:dyDescent="0.1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2.75" customHeight="1" x14ac:dyDescent="0.1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2.75" customHeight="1" x14ac:dyDescent="0.1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2.75" customHeight="1" x14ac:dyDescent="0.1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2.75" customHeight="1" x14ac:dyDescent="0.1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2.75" customHeight="1" x14ac:dyDescent="0.1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2.75" customHeight="1" x14ac:dyDescent="0.1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2.75" customHeight="1" x14ac:dyDescent="0.1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2.75" customHeight="1" x14ac:dyDescent="0.1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2.75" customHeight="1" x14ac:dyDescent="0.1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2.75" customHeight="1" x14ac:dyDescent="0.1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2.75" customHeight="1" x14ac:dyDescent="0.1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2.75" customHeight="1" x14ac:dyDescent="0.1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2.75" customHeight="1" x14ac:dyDescent="0.1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2.75" customHeight="1" x14ac:dyDescent="0.1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2.75" customHeight="1" x14ac:dyDescent="0.1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2.75" customHeight="1" x14ac:dyDescent="0.1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2.75" customHeight="1" x14ac:dyDescent="0.1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2.75" customHeight="1" x14ac:dyDescent="0.1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2.75" customHeight="1" x14ac:dyDescent="0.1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2.75" customHeight="1" x14ac:dyDescent="0.1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2.75" customHeight="1" x14ac:dyDescent="0.1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2.75" customHeight="1" x14ac:dyDescent="0.1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2.75" customHeight="1" x14ac:dyDescent="0.1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2.75" customHeight="1" x14ac:dyDescent="0.1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2.75" customHeight="1" x14ac:dyDescent="0.1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2.75" customHeight="1" x14ac:dyDescent="0.1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2.75" customHeight="1" x14ac:dyDescent="0.1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2.75" customHeight="1" x14ac:dyDescent="0.1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2.75" customHeight="1" x14ac:dyDescent="0.1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2.75" customHeight="1" x14ac:dyDescent="0.1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2.75" customHeight="1" x14ac:dyDescent="0.1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2.75" customHeight="1" x14ac:dyDescent="0.1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2.75" customHeight="1" x14ac:dyDescent="0.1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2.75" customHeight="1" x14ac:dyDescent="0.1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2.75" customHeight="1" x14ac:dyDescent="0.1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2.75" customHeight="1" x14ac:dyDescent="0.1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2.75" customHeight="1" x14ac:dyDescent="0.1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2.75" customHeight="1" x14ac:dyDescent="0.1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2.75" customHeight="1" x14ac:dyDescent="0.1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2.75" customHeight="1" x14ac:dyDescent="0.1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2.75" customHeight="1" x14ac:dyDescent="0.1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2.75" customHeight="1" x14ac:dyDescent="0.1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2.75" customHeight="1" x14ac:dyDescent="0.1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2.75" customHeight="1" x14ac:dyDescent="0.1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2.75" customHeight="1" x14ac:dyDescent="0.1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2.75" customHeight="1" x14ac:dyDescent="0.1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2.75" customHeight="1" x14ac:dyDescent="0.1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2.75" customHeight="1" x14ac:dyDescent="0.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2.75" customHeight="1" x14ac:dyDescent="0.1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2.75" customHeight="1" x14ac:dyDescent="0.1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2.75" customHeight="1" x14ac:dyDescent="0.1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2.75" customHeight="1" x14ac:dyDescent="0.1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2.75" customHeight="1" x14ac:dyDescent="0.1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2.75" customHeight="1" x14ac:dyDescent="0.1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2.75" customHeight="1" x14ac:dyDescent="0.1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2.75" customHeight="1" x14ac:dyDescent="0.1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2.75" customHeight="1" x14ac:dyDescent="0.1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2.75" customHeight="1" x14ac:dyDescent="0.1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2.75" customHeight="1" x14ac:dyDescent="0.1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2.75" customHeight="1" x14ac:dyDescent="0.1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2.75" customHeight="1" x14ac:dyDescent="0.1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2.75" customHeight="1" x14ac:dyDescent="0.1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2.75" customHeight="1" x14ac:dyDescent="0.1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2.75" customHeight="1" x14ac:dyDescent="0.1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2.75" customHeight="1" x14ac:dyDescent="0.1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2.75" customHeight="1" x14ac:dyDescent="0.1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2.75" customHeight="1" x14ac:dyDescent="0.1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2.75" customHeight="1" x14ac:dyDescent="0.1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2.75" customHeight="1" x14ac:dyDescent="0.1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2.75" customHeight="1" x14ac:dyDescent="0.1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2.75" customHeight="1" x14ac:dyDescent="0.1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2.75" customHeight="1" x14ac:dyDescent="0.1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2.75" customHeight="1" x14ac:dyDescent="0.1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2.75" customHeight="1" x14ac:dyDescent="0.1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2.75" customHeight="1" x14ac:dyDescent="0.1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2.75" customHeight="1" x14ac:dyDescent="0.1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2.75" customHeight="1" x14ac:dyDescent="0.1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2.75" customHeight="1" x14ac:dyDescent="0.1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2.75" customHeight="1" x14ac:dyDescent="0.1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2.75" customHeight="1" x14ac:dyDescent="0.1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2.75" customHeight="1" x14ac:dyDescent="0.1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2.75" customHeight="1" x14ac:dyDescent="0.1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2.75" customHeight="1" x14ac:dyDescent="0.1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2.75" customHeight="1" x14ac:dyDescent="0.1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2.75" customHeight="1" x14ac:dyDescent="0.1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2.75" customHeight="1" x14ac:dyDescent="0.1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2.75" customHeight="1" x14ac:dyDescent="0.1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2.75" customHeight="1" x14ac:dyDescent="0.1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2.75" customHeight="1" x14ac:dyDescent="0.1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2.75" customHeight="1" x14ac:dyDescent="0.1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2.75" customHeight="1" x14ac:dyDescent="0.1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2.75" customHeight="1" x14ac:dyDescent="0.1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2.75" customHeight="1" x14ac:dyDescent="0.1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2.75" customHeight="1" x14ac:dyDescent="0.1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2.75" customHeight="1" x14ac:dyDescent="0.1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2.75" customHeight="1" x14ac:dyDescent="0.1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2.75" customHeight="1" x14ac:dyDescent="0.1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2.75" customHeight="1" x14ac:dyDescent="0.1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2.75" customHeight="1" x14ac:dyDescent="0.1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2.75" customHeight="1" x14ac:dyDescent="0.1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2.75" customHeight="1" x14ac:dyDescent="0.1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2.75" customHeight="1" x14ac:dyDescent="0.1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2.75" customHeight="1" x14ac:dyDescent="0.1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2.75" customHeight="1" x14ac:dyDescent="0.1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2.75" customHeight="1" x14ac:dyDescent="0.1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2.75" customHeight="1" x14ac:dyDescent="0.1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2.75" customHeight="1" x14ac:dyDescent="0.1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2.75" customHeight="1" x14ac:dyDescent="0.1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2.75" customHeight="1" x14ac:dyDescent="0.1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2.75" customHeight="1" x14ac:dyDescent="0.1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2.75" customHeight="1" x14ac:dyDescent="0.1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2.75" customHeight="1" x14ac:dyDescent="0.1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2.75" customHeight="1" x14ac:dyDescent="0.1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2.75" customHeight="1" x14ac:dyDescent="0.1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2.75" customHeight="1" x14ac:dyDescent="0.1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2.75" customHeight="1" x14ac:dyDescent="0.1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2.75" customHeight="1" x14ac:dyDescent="0.1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2.75" customHeight="1" x14ac:dyDescent="0.1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2.75" customHeight="1" x14ac:dyDescent="0.1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2.75" customHeight="1" x14ac:dyDescent="0.1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2.75" customHeight="1" x14ac:dyDescent="0.1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2.75" customHeight="1" x14ac:dyDescent="0.1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2.75" customHeight="1" x14ac:dyDescent="0.1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2.75" customHeight="1" x14ac:dyDescent="0.1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2.75" customHeight="1" x14ac:dyDescent="0.1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2.75" customHeight="1" x14ac:dyDescent="0.1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2.75" customHeight="1" x14ac:dyDescent="0.1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2.75" customHeight="1" x14ac:dyDescent="0.1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2.75" customHeight="1" x14ac:dyDescent="0.1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2.75" customHeight="1" x14ac:dyDescent="0.1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2.75" customHeight="1" x14ac:dyDescent="0.1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2.75" customHeight="1" x14ac:dyDescent="0.1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2.75" customHeight="1" x14ac:dyDescent="0.1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2.75" customHeight="1" x14ac:dyDescent="0.1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2.75" customHeight="1" x14ac:dyDescent="0.1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2.75" customHeight="1" x14ac:dyDescent="0.1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2.75" customHeight="1" x14ac:dyDescent="0.1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2.75" customHeight="1" x14ac:dyDescent="0.1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2.75" customHeight="1" x14ac:dyDescent="0.1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2.75" customHeight="1" x14ac:dyDescent="0.1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2.75" customHeight="1" x14ac:dyDescent="0.1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2.75" customHeight="1" x14ac:dyDescent="0.1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2.75" customHeight="1" x14ac:dyDescent="0.1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2.75" customHeight="1" x14ac:dyDescent="0.1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2.75" customHeight="1" x14ac:dyDescent="0.1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2.75" customHeight="1" x14ac:dyDescent="0.1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2.75" customHeight="1" x14ac:dyDescent="0.1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2.75" customHeight="1" x14ac:dyDescent="0.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2.75" customHeight="1" x14ac:dyDescent="0.1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2.75" customHeight="1" x14ac:dyDescent="0.1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2.75" customHeight="1" x14ac:dyDescent="0.1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2.75" customHeight="1" x14ac:dyDescent="0.1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2.75" customHeight="1" x14ac:dyDescent="0.1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2.75" customHeight="1" x14ac:dyDescent="0.1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2.75" customHeight="1" x14ac:dyDescent="0.1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2.75" customHeight="1" x14ac:dyDescent="0.1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2.75" customHeight="1" x14ac:dyDescent="0.1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2.75" customHeight="1" x14ac:dyDescent="0.1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2.75" customHeight="1" x14ac:dyDescent="0.1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2.75" customHeight="1" x14ac:dyDescent="0.1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2.75" customHeight="1" x14ac:dyDescent="0.1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2.75" customHeight="1" x14ac:dyDescent="0.1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2.75" customHeight="1" x14ac:dyDescent="0.1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2.75" customHeight="1" x14ac:dyDescent="0.1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2.75" customHeight="1" x14ac:dyDescent="0.1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2.75" customHeight="1" x14ac:dyDescent="0.1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2.75" customHeight="1" x14ac:dyDescent="0.1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2.75" customHeight="1" x14ac:dyDescent="0.1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2.75" customHeight="1" x14ac:dyDescent="0.1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2.75" customHeight="1" x14ac:dyDescent="0.1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2.75" customHeight="1" x14ac:dyDescent="0.1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2.75" customHeight="1" x14ac:dyDescent="0.1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2.75" customHeight="1" x14ac:dyDescent="0.1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2.75" customHeight="1" x14ac:dyDescent="0.1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2.75" customHeight="1" x14ac:dyDescent="0.1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2.75" customHeight="1" x14ac:dyDescent="0.1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2.75" customHeight="1" x14ac:dyDescent="0.1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2.75" customHeight="1" x14ac:dyDescent="0.1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2.75" customHeight="1" x14ac:dyDescent="0.1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2.75" customHeight="1" x14ac:dyDescent="0.1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2.75" customHeight="1" x14ac:dyDescent="0.1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2.75" customHeight="1" x14ac:dyDescent="0.1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2.75" customHeight="1" x14ac:dyDescent="0.1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2.75" customHeight="1" x14ac:dyDescent="0.1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2.75" customHeight="1" x14ac:dyDescent="0.1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2.75" customHeight="1" x14ac:dyDescent="0.1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2.75" customHeight="1" x14ac:dyDescent="0.1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2.75" customHeight="1" x14ac:dyDescent="0.1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2.75" customHeight="1" x14ac:dyDescent="0.1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2.75" customHeight="1" x14ac:dyDescent="0.1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2.75" customHeight="1" x14ac:dyDescent="0.1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2.75" customHeight="1" x14ac:dyDescent="0.1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2.75" customHeight="1" x14ac:dyDescent="0.1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2.75" customHeight="1" x14ac:dyDescent="0.1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2.75" customHeight="1" x14ac:dyDescent="0.1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2.75" customHeight="1" x14ac:dyDescent="0.1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2.75" customHeight="1" x14ac:dyDescent="0.1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2.75" customHeight="1" x14ac:dyDescent="0.1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2.75" customHeight="1" x14ac:dyDescent="0.1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2.75" customHeight="1" x14ac:dyDescent="0.1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2.75" customHeight="1" x14ac:dyDescent="0.1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2.75" customHeight="1" x14ac:dyDescent="0.1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2.75" customHeight="1" x14ac:dyDescent="0.1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2.75" customHeight="1" x14ac:dyDescent="0.1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2.75" customHeight="1" x14ac:dyDescent="0.1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2.75" customHeight="1" x14ac:dyDescent="0.1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2.75" customHeight="1" x14ac:dyDescent="0.1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2.75" customHeight="1" x14ac:dyDescent="0.1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2.75" customHeight="1" x14ac:dyDescent="0.1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2.75" customHeight="1" x14ac:dyDescent="0.1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2.75" customHeight="1" x14ac:dyDescent="0.1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2.75" customHeight="1" x14ac:dyDescent="0.1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2.75" customHeight="1" x14ac:dyDescent="0.1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2.75" customHeight="1" x14ac:dyDescent="0.1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2.75" customHeight="1" x14ac:dyDescent="0.1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2.75" customHeight="1" x14ac:dyDescent="0.1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2.75" customHeight="1" x14ac:dyDescent="0.1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2.75" customHeight="1" x14ac:dyDescent="0.1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2.75" customHeight="1" x14ac:dyDescent="0.1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2.75" customHeight="1" x14ac:dyDescent="0.1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2.75" customHeight="1" x14ac:dyDescent="0.1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2.75" customHeight="1" x14ac:dyDescent="0.1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2.75" customHeight="1" x14ac:dyDescent="0.1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2.75" customHeight="1" x14ac:dyDescent="0.1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2.75" customHeight="1" x14ac:dyDescent="0.1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2.75" customHeight="1" x14ac:dyDescent="0.1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2.75" customHeight="1" x14ac:dyDescent="0.1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2.75" customHeight="1" x14ac:dyDescent="0.1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2.75" customHeight="1" x14ac:dyDescent="0.1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2.75" customHeight="1" x14ac:dyDescent="0.1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2.75" customHeight="1" x14ac:dyDescent="0.1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2.75" customHeight="1" x14ac:dyDescent="0.1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2.75" customHeight="1" x14ac:dyDescent="0.1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2.75" customHeight="1" x14ac:dyDescent="0.1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2.75" customHeight="1" x14ac:dyDescent="0.1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2.75" customHeight="1" x14ac:dyDescent="0.1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2.75" customHeight="1" x14ac:dyDescent="0.1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2.75" customHeight="1" x14ac:dyDescent="0.1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2.75" customHeight="1" x14ac:dyDescent="0.1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2.75" customHeight="1" x14ac:dyDescent="0.1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2.75" customHeight="1" x14ac:dyDescent="0.1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2.75" customHeight="1" x14ac:dyDescent="0.1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2.75" customHeight="1" x14ac:dyDescent="0.1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2.75" customHeight="1" x14ac:dyDescent="0.1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2.75" customHeight="1" x14ac:dyDescent="0.1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2.75" customHeight="1" x14ac:dyDescent="0.1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2.75" customHeight="1" x14ac:dyDescent="0.1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2.75" customHeight="1" x14ac:dyDescent="0.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2.75" customHeight="1" x14ac:dyDescent="0.1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2.75" customHeight="1" x14ac:dyDescent="0.1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2.75" customHeight="1" x14ac:dyDescent="0.1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2.75" customHeight="1" x14ac:dyDescent="0.1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2.75" customHeight="1" x14ac:dyDescent="0.1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2.75" customHeight="1" x14ac:dyDescent="0.1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2.75" customHeight="1" x14ac:dyDescent="0.1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2.75" customHeight="1" x14ac:dyDescent="0.1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2.75" customHeight="1" x14ac:dyDescent="0.1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2.75" customHeight="1" x14ac:dyDescent="0.1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2.75" customHeight="1" x14ac:dyDescent="0.1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2.75" customHeight="1" x14ac:dyDescent="0.1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2.75" customHeight="1" x14ac:dyDescent="0.1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2.75" customHeight="1" x14ac:dyDescent="0.1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2.75" customHeight="1" x14ac:dyDescent="0.1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2.75" customHeight="1" x14ac:dyDescent="0.1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2.75" customHeight="1" x14ac:dyDescent="0.1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2.75" customHeight="1" x14ac:dyDescent="0.1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2.75" customHeight="1" x14ac:dyDescent="0.1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2.75" customHeight="1" x14ac:dyDescent="0.1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2.75" customHeight="1" x14ac:dyDescent="0.1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2.75" customHeight="1" x14ac:dyDescent="0.1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2.75" customHeight="1" x14ac:dyDescent="0.1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2.75" customHeight="1" x14ac:dyDescent="0.1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2.75" customHeight="1" x14ac:dyDescent="0.1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2.75" customHeight="1" x14ac:dyDescent="0.1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2.75" customHeight="1" x14ac:dyDescent="0.1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2.75" customHeight="1" x14ac:dyDescent="0.1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2.75" customHeight="1" x14ac:dyDescent="0.1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2.75" customHeight="1" x14ac:dyDescent="0.1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2.75" customHeight="1" x14ac:dyDescent="0.1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2.75" customHeight="1" x14ac:dyDescent="0.1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2.75" customHeight="1" x14ac:dyDescent="0.1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2.75" customHeight="1" x14ac:dyDescent="0.1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2.75" customHeight="1" x14ac:dyDescent="0.1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2.75" customHeight="1" x14ac:dyDescent="0.1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2.75" customHeight="1" x14ac:dyDescent="0.1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2.75" customHeight="1" x14ac:dyDescent="0.1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2.75" customHeight="1" x14ac:dyDescent="0.1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2.75" customHeight="1" x14ac:dyDescent="0.1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2.75" customHeight="1" x14ac:dyDescent="0.1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2.75" customHeight="1" x14ac:dyDescent="0.1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2.75" customHeight="1" x14ac:dyDescent="0.1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2.75" customHeight="1" x14ac:dyDescent="0.1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2.75" customHeight="1" x14ac:dyDescent="0.1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2.75" customHeight="1" x14ac:dyDescent="0.1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2.75" customHeight="1" x14ac:dyDescent="0.1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2.75" customHeight="1" x14ac:dyDescent="0.1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2.75" customHeight="1" x14ac:dyDescent="0.1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2.75" customHeight="1" x14ac:dyDescent="0.1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2.75" customHeight="1" x14ac:dyDescent="0.1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2.75" customHeight="1" x14ac:dyDescent="0.1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2.75" customHeight="1" x14ac:dyDescent="0.1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2.75" customHeight="1" x14ac:dyDescent="0.1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2.75" customHeight="1" x14ac:dyDescent="0.1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2.75" customHeight="1" x14ac:dyDescent="0.1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2.75" customHeight="1" x14ac:dyDescent="0.1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2.75" customHeight="1" x14ac:dyDescent="0.1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2.75" customHeight="1" x14ac:dyDescent="0.1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2.75" customHeight="1" x14ac:dyDescent="0.1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2.75" customHeight="1" x14ac:dyDescent="0.1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2.75" customHeight="1" x14ac:dyDescent="0.1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2.75" customHeight="1" x14ac:dyDescent="0.1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2.75" customHeight="1" x14ac:dyDescent="0.1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2.75" customHeight="1" x14ac:dyDescent="0.1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2.75" customHeight="1" x14ac:dyDescent="0.1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2.75" customHeight="1" x14ac:dyDescent="0.1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2.75" customHeight="1" x14ac:dyDescent="0.1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2.75" customHeight="1" x14ac:dyDescent="0.1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2.75" customHeight="1" x14ac:dyDescent="0.1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2.75" customHeight="1" x14ac:dyDescent="0.1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2.75" customHeight="1" x14ac:dyDescent="0.1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2.75" customHeight="1" x14ac:dyDescent="0.1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2.75" customHeight="1" x14ac:dyDescent="0.1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2.75" customHeight="1" x14ac:dyDescent="0.1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2.75" customHeight="1" x14ac:dyDescent="0.1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2.75" customHeight="1" x14ac:dyDescent="0.1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2.75" customHeight="1" x14ac:dyDescent="0.1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2.75" customHeight="1" x14ac:dyDescent="0.1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2.75" customHeight="1" x14ac:dyDescent="0.1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2.75" customHeight="1" x14ac:dyDescent="0.1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2.75" customHeight="1" x14ac:dyDescent="0.1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2.75" customHeight="1" x14ac:dyDescent="0.1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2.75" customHeight="1" x14ac:dyDescent="0.1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2.75" customHeight="1" x14ac:dyDescent="0.1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2.75" customHeight="1" x14ac:dyDescent="0.1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2.75" customHeight="1" x14ac:dyDescent="0.1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2.75" customHeight="1" x14ac:dyDescent="0.1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2.75" customHeight="1" x14ac:dyDescent="0.1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2.75" customHeight="1" x14ac:dyDescent="0.1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2.75" customHeight="1" x14ac:dyDescent="0.1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2.75" customHeight="1" x14ac:dyDescent="0.1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2.75" customHeight="1" x14ac:dyDescent="0.1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2.75" customHeight="1" x14ac:dyDescent="0.1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2.75" customHeight="1" x14ac:dyDescent="0.1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2.75" customHeight="1" x14ac:dyDescent="0.1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2.75" customHeight="1" x14ac:dyDescent="0.1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2.75" customHeight="1" x14ac:dyDescent="0.1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2.75" customHeight="1" x14ac:dyDescent="0.1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2.75" customHeight="1" x14ac:dyDescent="0.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2.75" customHeight="1" x14ac:dyDescent="0.1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2.75" customHeight="1" x14ac:dyDescent="0.1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2.75" customHeight="1" x14ac:dyDescent="0.1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2.75" customHeight="1" x14ac:dyDescent="0.1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2.75" customHeight="1" x14ac:dyDescent="0.1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2.75" customHeight="1" x14ac:dyDescent="0.1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2.75" customHeight="1" x14ac:dyDescent="0.1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2.75" customHeight="1" x14ac:dyDescent="0.1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2.75" customHeight="1" x14ac:dyDescent="0.1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2.75" customHeight="1" x14ac:dyDescent="0.1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2.75" customHeight="1" x14ac:dyDescent="0.1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2.75" customHeight="1" x14ac:dyDescent="0.1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2.75" customHeight="1" x14ac:dyDescent="0.1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2.75" customHeight="1" x14ac:dyDescent="0.1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2.75" customHeight="1" x14ac:dyDescent="0.1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2.75" customHeight="1" x14ac:dyDescent="0.1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2.75" customHeight="1" x14ac:dyDescent="0.1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2.75" customHeight="1" x14ac:dyDescent="0.1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2.75" customHeight="1" x14ac:dyDescent="0.1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2.75" customHeight="1" x14ac:dyDescent="0.1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2.75" customHeight="1" x14ac:dyDescent="0.1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2.75" customHeight="1" x14ac:dyDescent="0.1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2.75" customHeight="1" x14ac:dyDescent="0.1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2.75" customHeight="1" x14ac:dyDescent="0.1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2.75" customHeight="1" x14ac:dyDescent="0.1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2.75" customHeight="1" x14ac:dyDescent="0.1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2.75" customHeight="1" x14ac:dyDescent="0.1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2.75" customHeight="1" x14ac:dyDescent="0.1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2.75" customHeight="1" x14ac:dyDescent="0.1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2.75" customHeight="1" x14ac:dyDescent="0.1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2.75" customHeight="1" x14ac:dyDescent="0.1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2.75" customHeight="1" x14ac:dyDescent="0.1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2.75" customHeight="1" x14ac:dyDescent="0.1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2.75" customHeight="1" x14ac:dyDescent="0.1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2.75" customHeight="1" x14ac:dyDescent="0.1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2.75" customHeight="1" x14ac:dyDescent="0.1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2.75" customHeight="1" x14ac:dyDescent="0.1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2.75" customHeight="1" x14ac:dyDescent="0.1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2.75" customHeight="1" x14ac:dyDescent="0.1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2.75" customHeight="1" x14ac:dyDescent="0.1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2.75" customHeight="1" x14ac:dyDescent="0.1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2.75" customHeight="1" x14ac:dyDescent="0.1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2.75" customHeight="1" x14ac:dyDescent="0.1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2.75" customHeight="1" x14ac:dyDescent="0.1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2.75" customHeight="1" x14ac:dyDescent="0.1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2.75" customHeight="1" x14ac:dyDescent="0.1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2.75" customHeight="1" x14ac:dyDescent="0.1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2.75" customHeight="1" x14ac:dyDescent="0.1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2.75" customHeight="1" x14ac:dyDescent="0.1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2.75" customHeight="1" x14ac:dyDescent="0.1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2.75" customHeight="1" x14ac:dyDescent="0.1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2.75" customHeight="1" x14ac:dyDescent="0.1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2.75" customHeight="1" x14ac:dyDescent="0.1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2.75" customHeight="1" x14ac:dyDescent="0.1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2.75" customHeight="1" x14ac:dyDescent="0.1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2.75" customHeight="1" x14ac:dyDescent="0.1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2.75" customHeight="1" x14ac:dyDescent="0.1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2.75" customHeight="1" x14ac:dyDescent="0.1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2.75" customHeight="1" x14ac:dyDescent="0.1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2.75" customHeight="1" x14ac:dyDescent="0.1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2.75" customHeight="1" x14ac:dyDescent="0.1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2.75" customHeight="1" x14ac:dyDescent="0.1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2.75" customHeight="1" x14ac:dyDescent="0.1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2.75" customHeight="1" x14ac:dyDescent="0.1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2.75" customHeight="1" x14ac:dyDescent="0.1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2.75" customHeight="1" x14ac:dyDescent="0.1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2.75" customHeight="1" x14ac:dyDescent="0.1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2.75" customHeight="1" x14ac:dyDescent="0.1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2.75" customHeight="1" x14ac:dyDescent="0.1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2.75" customHeight="1" x14ac:dyDescent="0.1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2.75" customHeight="1" x14ac:dyDescent="0.1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2.75" customHeight="1" x14ac:dyDescent="0.1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2.75" customHeight="1" x14ac:dyDescent="0.1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2.75" customHeight="1" x14ac:dyDescent="0.1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2.75" customHeight="1" x14ac:dyDescent="0.1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2.75" customHeight="1" x14ac:dyDescent="0.1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2.75" customHeight="1" x14ac:dyDescent="0.1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2.75" customHeight="1" x14ac:dyDescent="0.1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2.75" customHeight="1" x14ac:dyDescent="0.1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2.75" customHeight="1" x14ac:dyDescent="0.1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2.75" customHeight="1" x14ac:dyDescent="0.1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2.75" customHeight="1" x14ac:dyDescent="0.1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2.75" customHeight="1" x14ac:dyDescent="0.1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2.75" customHeight="1" x14ac:dyDescent="0.1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2.75" customHeight="1" x14ac:dyDescent="0.1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</sheetData>
  <conditionalFormatting sqref="G59:AR59">
    <cfRule type="cellIs" dxfId="0" priority="1" operator="lessThan">
      <formula>0</formula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BREAKFAST — финмодель</vt:lpstr>
      <vt:lpstr>исправленная финмодель</vt:lpstr>
      <vt:lpstr>возможные изменения</vt:lpstr>
      <vt:lpstr>выводы</vt:lpstr>
      <vt:lpstr>данные для пирсона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2026-05-10T16:13:11Z</dcterms:created>
  <dcterms:modified xsi:type="dcterms:W3CDTF">2026-05-10T16:13:11Z</dcterms:modified>
</cp:coreProperties>
</file>