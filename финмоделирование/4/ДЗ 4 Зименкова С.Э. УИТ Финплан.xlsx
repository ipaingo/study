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Софья Зименкова\учёба\магистратура\2 сем\финмоделирование\4\"/>
    </mc:Choice>
  </mc:AlternateContent>
  <xr:revisionPtr revIDLastSave="0" documentId="13_ncr:1_{6B433BA3-88B5-410C-9616-891BA8603B1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Ответы на вопросы" sheetId="4" r:id="rId1"/>
    <sheet name="ОПИУ (расчеты)" sheetId="1" r:id="rId2"/>
    <sheet name="ОДДС (хватит ли 80 млн)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6" i="1" l="1"/>
  <c r="F66" i="1"/>
  <c r="G66" i="1"/>
  <c r="H66" i="1"/>
  <c r="I66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E67" i="1"/>
  <c r="F67" i="1"/>
  <c r="G67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D67" i="1"/>
  <c r="D66" i="1"/>
  <c r="D13" i="2"/>
  <c r="D14" i="2"/>
  <c r="D15" i="2"/>
  <c r="D16" i="2"/>
  <c r="D17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AJ18" i="2"/>
  <c r="AK18" i="2"/>
  <c r="AL18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AH19" i="2"/>
  <c r="AI19" i="2"/>
  <c r="AJ19" i="2"/>
  <c r="AK19" i="2"/>
  <c r="AL19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AJ20" i="2"/>
  <c r="AK20" i="2"/>
  <c r="AL20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AB21" i="2"/>
  <c r="AC21" i="2"/>
  <c r="AD21" i="2"/>
  <c r="AE21" i="2"/>
  <c r="AF21" i="2"/>
  <c r="AG21" i="2"/>
  <c r="AH21" i="2"/>
  <c r="AI21" i="2"/>
  <c r="AJ21" i="2"/>
  <c r="AK21" i="2"/>
  <c r="AL21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AA22" i="2"/>
  <c r="AB22" i="2"/>
  <c r="AC22" i="2"/>
  <c r="AD22" i="2"/>
  <c r="AE22" i="2"/>
  <c r="AF22" i="2"/>
  <c r="AG22" i="2"/>
  <c r="AH22" i="2"/>
  <c r="AI22" i="2"/>
  <c r="AJ22" i="2"/>
  <c r="AK22" i="2"/>
  <c r="AL22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AJ23" i="2"/>
  <c r="AK23" i="2"/>
  <c r="AL23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AJ24" i="2"/>
  <c r="AK24" i="2"/>
  <c r="AL24" i="2"/>
  <c r="C24" i="2"/>
  <c r="C23" i="2"/>
  <c r="C22" i="2"/>
  <c r="C21" i="2"/>
  <c r="C20" i="2"/>
  <c r="C19" i="2"/>
  <c r="C18" i="2"/>
  <c r="C17" i="2"/>
  <c r="C16" i="2"/>
  <c r="C15" i="2"/>
  <c r="C14" i="2"/>
  <c r="C13" i="2"/>
  <c r="C11" i="2"/>
  <c r="C10" i="2"/>
  <c r="C9" i="2"/>
  <c r="D9" i="2"/>
  <c r="D8" i="2"/>
  <c r="C8" i="2"/>
  <c r="D7" i="2"/>
  <c r="C7" i="2"/>
  <c r="D12" i="2"/>
  <c r="C12" i="2"/>
  <c r="C67" i="1"/>
  <c r="C66" i="1"/>
  <c r="C75" i="1"/>
  <c r="C53" i="1" l="1"/>
  <c r="D53" i="1" s="1"/>
  <c r="D6" i="2"/>
  <c r="C6" i="2"/>
  <c r="D51" i="1"/>
  <c r="D52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C54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C52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C51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C49" i="1"/>
  <c r="AL53" i="1"/>
  <c r="AK53" i="1"/>
  <c r="AJ53" i="1"/>
  <c r="AI53" i="1"/>
  <c r="AH53" i="1"/>
  <c r="AG53" i="1"/>
  <c r="AF53" i="1"/>
  <c r="AE53" i="1"/>
  <c r="AD53" i="1"/>
  <c r="AC53" i="1"/>
  <c r="AB53" i="1"/>
  <c r="AA53" i="1"/>
  <c r="Z53" i="1"/>
  <c r="Y53" i="1"/>
  <c r="X53" i="1"/>
  <c r="C42" i="1"/>
  <c r="C28" i="1"/>
  <c r="C27" i="1"/>
  <c r="D68" i="1"/>
  <c r="E68" i="1"/>
  <c r="F68" i="1"/>
  <c r="G68" i="1"/>
  <c r="H68" i="1"/>
  <c r="I68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AJ68" i="1"/>
  <c r="AK68" i="1"/>
  <c r="AL68" i="1"/>
  <c r="C68" i="1"/>
  <c r="C65" i="1"/>
  <c r="C27" i="2" l="1"/>
  <c r="C28" i="2" s="1"/>
  <c r="D5" i="2" s="1"/>
  <c r="D65" i="1"/>
  <c r="E65" i="1" s="1"/>
  <c r="F65" i="1" s="1"/>
  <c r="G65" i="1" s="1"/>
  <c r="H65" i="1" s="1"/>
  <c r="I65" i="1" s="1"/>
  <c r="J65" i="1" s="1"/>
  <c r="K65" i="1" s="1"/>
  <c r="L65" i="1" s="1"/>
  <c r="M65" i="1" s="1"/>
  <c r="N65" i="1" s="1"/>
  <c r="O65" i="1" s="1"/>
  <c r="P65" i="1" s="1"/>
  <c r="Q65" i="1" s="1"/>
  <c r="R65" i="1" s="1"/>
  <c r="S65" i="1" s="1"/>
  <c r="T65" i="1" s="1"/>
  <c r="U65" i="1" s="1"/>
  <c r="V65" i="1" s="1"/>
  <c r="W65" i="1" s="1"/>
  <c r="X65" i="1" s="1"/>
  <c r="Y65" i="1" s="1"/>
  <c r="Z65" i="1" s="1"/>
  <c r="AA65" i="1" s="1"/>
  <c r="AB65" i="1" s="1"/>
  <c r="AC65" i="1" s="1"/>
  <c r="AD65" i="1" s="1"/>
  <c r="AE65" i="1" s="1"/>
  <c r="AF65" i="1" s="1"/>
  <c r="AG65" i="1" s="1"/>
  <c r="AH65" i="1" s="1"/>
  <c r="AI65" i="1" s="1"/>
  <c r="AJ65" i="1" s="1"/>
  <c r="AK65" i="1" s="1"/>
  <c r="AL65" i="1" s="1"/>
  <c r="C48" i="1"/>
  <c r="AJ48" i="1"/>
  <c r="AK48" i="1"/>
  <c r="AL48" i="1"/>
  <c r="E53" i="1"/>
  <c r="F53" i="1" s="1"/>
  <c r="G53" i="1" s="1"/>
  <c r="H53" i="1" s="1"/>
  <c r="I53" i="1" s="1"/>
  <c r="J53" i="1" s="1"/>
  <c r="K53" i="1" s="1"/>
  <c r="L53" i="1" s="1"/>
  <c r="M53" i="1" s="1"/>
  <c r="N53" i="1" s="1"/>
  <c r="O53" i="1" s="1"/>
  <c r="P53" i="1" s="1"/>
  <c r="Q53" i="1" s="1"/>
  <c r="R53" i="1" s="1"/>
  <c r="S53" i="1" s="1"/>
  <c r="T53" i="1" s="1"/>
  <c r="U53" i="1" s="1"/>
  <c r="V53" i="1" s="1"/>
  <c r="W53" i="1" s="1"/>
  <c r="W48" i="1" s="1"/>
  <c r="D48" i="1"/>
  <c r="AA48" i="1"/>
  <c r="AE48" i="1"/>
  <c r="AI48" i="1"/>
  <c r="Z48" i="1"/>
  <c r="AD48" i="1"/>
  <c r="AH48" i="1"/>
  <c r="Y48" i="1"/>
  <c r="AC48" i="1"/>
  <c r="AG48" i="1"/>
  <c r="X48" i="1"/>
  <c r="AB48" i="1"/>
  <c r="AF48" i="1"/>
  <c r="C44" i="1"/>
  <c r="AA69" i="1"/>
  <c r="AA70" i="1" s="1"/>
  <c r="AA71" i="1" s="1"/>
  <c r="AB69" i="1"/>
  <c r="AB70" i="1" s="1"/>
  <c r="AB71" i="1" s="1"/>
  <c r="AC69" i="1"/>
  <c r="AC70" i="1" s="1"/>
  <c r="AC71" i="1" s="1"/>
  <c r="C30" i="1"/>
  <c r="C29" i="1"/>
  <c r="AL69" i="1"/>
  <c r="AL70" i="1" s="1"/>
  <c r="AL71" i="1" s="1"/>
  <c r="AK69" i="1"/>
  <c r="AK70" i="1" s="1"/>
  <c r="AK71" i="1" s="1"/>
  <c r="AJ69" i="1"/>
  <c r="AJ70" i="1" s="1"/>
  <c r="AJ71" i="1" s="1"/>
  <c r="AI69" i="1"/>
  <c r="AI70" i="1" s="1"/>
  <c r="AI71" i="1" s="1"/>
  <c r="AH69" i="1"/>
  <c r="AH70" i="1" s="1"/>
  <c r="AH71" i="1" s="1"/>
  <c r="AE69" i="1"/>
  <c r="AE70" i="1" s="1"/>
  <c r="AE71" i="1" s="1"/>
  <c r="L69" i="1"/>
  <c r="L70" i="1" s="1"/>
  <c r="L71" i="1" s="1"/>
  <c r="K69" i="1"/>
  <c r="K70" i="1" s="1"/>
  <c r="K71" i="1" s="1"/>
  <c r="J69" i="1"/>
  <c r="J70" i="1" s="1"/>
  <c r="J71" i="1" s="1"/>
  <c r="I69" i="1"/>
  <c r="I70" i="1" s="1"/>
  <c r="I71" i="1" s="1"/>
  <c r="G69" i="1"/>
  <c r="G70" i="1" s="1"/>
  <c r="G71" i="1" s="1"/>
  <c r="U69" i="1"/>
  <c r="U70" i="1" s="1"/>
  <c r="U71" i="1" s="1"/>
  <c r="M69" i="1"/>
  <c r="M70" i="1" s="1"/>
  <c r="M71" i="1" s="1"/>
  <c r="H69" i="1"/>
  <c r="H70" i="1" s="1"/>
  <c r="H71" i="1" s="1"/>
  <c r="C69" i="1"/>
  <c r="C70" i="1" s="1"/>
  <c r="C71" i="1" s="1"/>
  <c r="D73" i="1" s="1"/>
  <c r="E69" i="1"/>
  <c r="E70" i="1" s="1"/>
  <c r="E71" i="1" s="1"/>
  <c r="T69" i="1"/>
  <c r="T70" i="1" s="1"/>
  <c r="T71" i="1" s="1"/>
  <c r="D69" i="1"/>
  <c r="D70" i="1" s="1"/>
  <c r="D71" i="1" s="1"/>
  <c r="S69" i="1"/>
  <c r="S70" i="1" s="1"/>
  <c r="S71" i="1" s="1"/>
  <c r="R69" i="1"/>
  <c r="R70" i="1" s="1"/>
  <c r="R71" i="1" s="1"/>
  <c r="Q69" i="1"/>
  <c r="Q70" i="1" s="1"/>
  <c r="Q71" i="1" s="1"/>
  <c r="O69" i="1"/>
  <c r="O70" i="1" s="1"/>
  <c r="O71" i="1" s="1"/>
  <c r="N69" i="1"/>
  <c r="N70" i="1" s="1"/>
  <c r="N71" i="1" s="1"/>
  <c r="P69" i="1" l="1"/>
  <c r="P70" i="1" s="1"/>
  <c r="P71" i="1" s="1"/>
  <c r="F69" i="1"/>
  <c r="F70" i="1" s="1"/>
  <c r="F71" i="1" s="1"/>
  <c r="Z69" i="1"/>
  <c r="Z70" i="1" s="1"/>
  <c r="Z71" i="1" s="1"/>
  <c r="D27" i="2"/>
  <c r="D28" i="2" s="1"/>
  <c r="E5" i="2" s="1"/>
  <c r="Y69" i="1"/>
  <c r="Y70" i="1" s="1"/>
  <c r="Y71" i="1" s="1"/>
  <c r="AF69" i="1"/>
  <c r="AF70" i="1" s="1"/>
  <c r="AF71" i="1" s="1"/>
  <c r="X69" i="1"/>
  <c r="X70" i="1" s="1"/>
  <c r="X71" i="1" s="1"/>
  <c r="V69" i="1"/>
  <c r="V70" i="1" s="1"/>
  <c r="V71" i="1" s="1"/>
  <c r="AD69" i="1"/>
  <c r="AD70" i="1" s="1"/>
  <c r="AD71" i="1" s="1"/>
  <c r="AG69" i="1"/>
  <c r="AG70" i="1" s="1"/>
  <c r="AG71" i="1" s="1"/>
  <c r="W69" i="1"/>
  <c r="W70" i="1" s="1"/>
  <c r="W71" i="1" s="1"/>
  <c r="AJ55" i="1"/>
  <c r="U48" i="1"/>
  <c r="H48" i="1"/>
  <c r="S48" i="1"/>
  <c r="K48" i="1"/>
  <c r="V48" i="1"/>
  <c r="V55" i="1" s="1"/>
  <c r="O48" i="1"/>
  <c r="Q48" i="1"/>
  <c r="G48" i="1"/>
  <c r="M48" i="1"/>
  <c r="I48" i="1"/>
  <c r="Z55" i="1"/>
  <c r="AB55" i="1"/>
  <c r="AD55" i="1"/>
  <c r="AF55" i="1"/>
  <c r="AH55" i="1"/>
  <c r="C26" i="1"/>
  <c r="C45" i="1" s="1"/>
  <c r="E48" i="1"/>
  <c r="W55" i="1"/>
  <c r="P48" i="1"/>
  <c r="AC55" i="1"/>
  <c r="AL55" i="1"/>
  <c r="AK55" i="1"/>
  <c r="X55" i="1"/>
  <c r="AG55" i="1"/>
  <c r="N48" i="1"/>
  <c r="AE55" i="1"/>
  <c r="J48" i="1"/>
  <c r="R48" i="1"/>
  <c r="L48" i="1"/>
  <c r="Y55" i="1"/>
  <c r="AI55" i="1"/>
  <c r="AA55" i="1"/>
  <c r="T48" i="1"/>
  <c r="F48" i="1"/>
  <c r="D74" i="1"/>
  <c r="E73" i="1" s="1"/>
  <c r="F73" i="1" s="1"/>
  <c r="G55" i="1" l="1"/>
  <c r="H55" i="1"/>
  <c r="M55" i="1"/>
  <c r="S55" i="1"/>
  <c r="D55" i="1"/>
  <c r="C43" i="1"/>
  <c r="U55" i="1"/>
  <c r="I55" i="1"/>
  <c r="L55" i="1"/>
  <c r="O55" i="1"/>
  <c r="K55" i="1"/>
  <c r="Q55" i="1"/>
  <c r="C61" i="1"/>
  <c r="E55" i="1"/>
  <c r="J55" i="1"/>
  <c r="N55" i="1"/>
  <c r="P55" i="1"/>
  <c r="F55" i="1"/>
  <c r="R55" i="1"/>
  <c r="T55" i="1"/>
  <c r="E74" i="1"/>
  <c r="E75" i="1" s="1"/>
  <c r="E44" i="1" s="1"/>
  <c r="E16" i="2" s="1"/>
  <c r="D75" i="1"/>
  <c r="D44" i="1" s="1"/>
  <c r="G73" i="1"/>
  <c r="C41" i="1" l="1"/>
  <c r="D30" i="1"/>
  <c r="E42" i="1"/>
  <c r="E14" i="2" s="1"/>
  <c r="F74" i="1"/>
  <c r="F75" i="1" s="1"/>
  <c r="F44" i="1" s="1"/>
  <c r="F16" i="2" s="1"/>
  <c r="D42" i="1"/>
  <c r="E29" i="1"/>
  <c r="D29" i="1"/>
  <c r="E30" i="1"/>
  <c r="G74" i="1" l="1"/>
  <c r="H73" i="1" s="1"/>
  <c r="F29" i="1"/>
  <c r="F30" i="1"/>
  <c r="C32" i="1"/>
  <c r="C47" i="1" s="1"/>
  <c r="C57" i="1"/>
  <c r="F42" i="1"/>
  <c r="F14" i="2" s="1"/>
  <c r="G75" i="1" l="1"/>
  <c r="G44" i="1" s="1"/>
  <c r="G16" i="2" s="1"/>
  <c r="H74" i="1"/>
  <c r="H75" i="1" s="1"/>
  <c r="H44" i="1" s="1"/>
  <c r="H16" i="2" s="1"/>
  <c r="C59" i="1"/>
  <c r="C58" i="1"/>
  <c r="C56" i="1"/>
  <c r="C34" i="1"/>
  <c r="I73" i="1"/>
  <c r="I74" i="1" l="1"/>
  <c r="I75" i="1" s="1"/>
  <c r="I44" i="1" s="1"/>
  <c r="I16" i="2" s="1"/>
  <c r="H29" i="1"/>
  <c r="H30" i="1"/>
  <c r="H42" i="1"/>
  <c r="H14" i="2" s="1"/>
  <c r="J73" i="1"/>
  <c r="G30" i="1"/>
  <c r="G42" i="1"/>
  <c r="G14" i="2" s="1"/>
  <c r="G29" i="1"/>
  <c r="C36" i="1"/>
  <c r="C35" i="1"/>
  <c r="J74" i="1" l="1"/>
  <c r="J75" i="1" s="1"/>
  <c r="J44" i="1" s="1"/>
  <c r="J16" i="2" s="1"/>
  <c r="I42" i="1"/>
  <c r="I14" i="2" s="1"/>
  <c r="K73" i="1"/>
  <c r="I29" i="1"/>
  <c r="I30" i="1"/>
  <c r="K74" i="1" l="1"/>
  <c r="K75" i="1" s="1"/>
  <c r="K44" i="1" s="1"/>
  <c r="K16" i="2" s="1"/>
  <c r="J30" i="1"/>
  <c r="J29" i="1"/>
  <c r="J42" i="1"/>
  <c r="J14" i="2" s="1"/>
  <c r="L73" i="1"/>
  <c r="M73" i="1" s="1"/>
  <c r="L74" i="1" l="1"/>
  <c r="L75" i="1" s="1"/>
  <c r="L44" i="1" s="1"/>
  <c r="L16" i="2" s="1"/>
  <c r="K42" i="1"/>
  <c r="K14" i="2" s="1"/>
  <c r="K30" i="1"/>
  <c r="K29" i="1"/>
  <c r="N73" i="1"/>
  <c r="M74" i="1" l="1"/>
  <c r="M75" i="1" s="1"/>
  <c r="M44" i="1" s="1"/>
  <c r="M16" i="2" s="1"/>
  <c r="L29" i="1"/>
  <c r="L30" i="1"/>
  <c r="L42" i="1"/>
  <c r="L14" i="2" s="1"/>
  <c r="M29" i="1" l="1"/>
  <c r="N74" i="1"/>
  <c r="O73" i="1" s="1"/>
  <c r="O27" i="1" s="1"/>
  <c r="O8" i="2" s="1"/>
  <c r="M42" i="1"/>
  <c r="M14" i="2" s="1"/>
  <c r="M30" i="1"/>
  <c r="O74" i="1" l="1"/>
  <c r="O28" i="1" s="1"/>
  <c r="O9" i="2" s="1"/>
  <c r="N75" i="1"/>
  <c r="N44" i="1" s="1"/>
  <c r="N16" i="2" s="1"/>
  <c r="P73" i="1"/>
  <c r="P27" i="1" s="1"/>
  <c r="P8" i="2" s="1"/>
  <c r="P74" i="1" l="1"/>
  <c r="P28" i="1" s="1"/>
  <c r="P9" i="2" s="1"/>
  <c r="O75" i="1"/>
  <c r="O29" i="1" s="1"/>
  <c r="N30" i="1"/>
  <c r="N42" i="1"/>
  <c r="N14" i="2" s="1"/>
  <c r="N29" i="1"/>
  <c r="Q73" i="1"/>
  <c r="Q27" i="1" s="1"/>
  <c r="Q8" i="2" s="1"/>
  <c r="O42" i="1" l="1"/>
  <c r="O14" i="2" s="1"/>
  <c r="P75" i="1"/>
  <c r="P44" i="1" s="1"/>
  <c r="P16" i="2" s="1"/>
  <c r="O30" i="1"/>
  <c r="O44" i="1"/>
  <c r="O16" i="2" s="1"/>
  <c r="Q74" i="1"/>
  <c r="R73" i="1"/>
  <c r="R27" i="1" s="1"/>
  <c r="R8" i="2" s="1"/>
  <c r="Q75" i="1"/>
  <c r="Q44" i="1" s="1"/>
  <c r="Q16" i="2" s="1"/>
  <c r="Q28" i="1"/>
  <c r="Q9" i="2" s="1"/>
  <c r="R74" i="1"/>
  <c r="P42" i="1" l="1"/>
  <c r="P14" i="2" s="1"/>
  <c r="P29" i="1"/>
  <c r="P30" i="1"/>
  <c r="Q29" i="1"/>
  <c r="Q42" i="1"/>
  <c r="Q14" i="2" s="1"/>
  <c r="Q30" i="1"/>
  <c r="R75" i="1"/>
  <c r="R44" i="1" s="1"/>
  <c r="R16" i="2" s="1"/>
  <c r="R28" i="1"/>
  <c r="R9" i="2" s="1"/>
  <c r="S73" i="1"/>
  <c r="S27" i="1" s="1"/>
  <c r="S8" i="2" s="1"/>
  <c r="R30" i="1" l="1"/>
  <c r="R29" i="1"/>
  <c r="R42" i="1"/>
  <c r="R14" i="2" s="1"/>
  <c r="S74" i="1"/>
  <c r="T73" i="1" l="1"/>
  <c r="T27" i="1" s="1"/>
  <c r="T8" i="2" s="1"/>
  <c r="S28" i="1"/>
  <c r="S9" i="2" s="1"/>
  <c r="T74" i="1"/>
  <c r="S75" i="1"/>
  <c r="S44" i="1" s="1"/>
  <c r="S16" i="2" s="1"/>
  <c r="U73" i="1" l="1"/>
  <c r="U27" i="1" s="1"/>
  <c r="U8" i="2" s="1"/>
  <c r="T28" i="1"/>
  <c r="T9" i="2" s="1"/>
  <c r="S30" i="1"/>
  <c r="S29" i="1"/>
  <c r="S42" i="1"/>
  <c r="S14" i="2" s="1"/>
  <c r="U74" i="1"/>
  <c r="V74" i="1" s="1"/>
  <c r="V28" i="1" s="1"/>
  <c r="V9" i="2" s="1"/>
  <c r="T75" i="1"/>
  <c r="T44" i="1" s="1"/>
  <c r="T16" i="2" s="1"/>
  <c r="U75" i="1" l="1"/>
  <c r="U44" i="1" s="1"/>
  <c r="U16" i="2" s="1"/>
  <c r="V73" i="1"/>
  <c r="V27" i="1" s="1"/>
  <c r="V8" i="2" s="1"/>
  <c r="U28" i="1"/>
  <c r="U9" i="2" s="1"/>
  <c r="T29" i="1"/>
  <c r="T30" i="1"/>
  <c r="T42" i="1"/>
  <c r="T14" i="2" s="1"/>
  <c r="W74" i="1"/>
  <c r="V75" i="1" l="1"/>
  <c r="V44" i="1" s="1"/>
  <c r="V16" i="2" s="1"/>
  <c r="W73" i="1"/>
  <c r="W75" i="1" s="1"/>
  <c r="U29" i="1"/>
  <c r="U30" i="1"/>
  <c r="U42" i="1"/>
  <c r="U14" i="2" s="1"/>
  <c r="W28" i="1"/>
  <c r="W9" i="2" s="1"/>
  <c r="X74" i="1"/>
  <c r="V42" i="1" l="1"/>
  <c r="V14" i="2" s="1"/>
  <c r="V29" i="1"/>
  <c r="V30" i="1"/>
  <c r="W44" i="1"/>
  <c r="W16" i="2" s="1"/>
  <c r="W29" i="1"/>
  <c r="W42" i="1"/>
  <c r="W14" i="2" s="1"/>
  <c r="W30" i="1"/>
  <c r="W27" i="1"/>
  <c r="W8" i="2" s="1"/>
  <c r="X73" i="1"/>
  <c r="X28" i="1"/>
  <c r="X9" i="2" s="1"/>
  <c r="Y74" i="1"/>
  <c r="X27" i="1" l="1"/>
  <c r="X8" i="2" s="1"/>
  <c r="Y73" i="1"/>
  <c r="Y27" i="1" s="1"/>
  <c r="Y8" i="2" s="1"/>
  <c r="X75" i="1"/>
  <c r="X44" i="1" s="1"/>
  <c r="X16" i="2" s="1"/>
  <c r="Y75" i="1"/>
  <c r="Y44" i="1" s="1"/>
  <c r="Y16" i="2" s="1"/>
  <c r="Y28" i="1"/>
  <c r="Y9" i="2" s="1"/>
  <c r="Z73" i="1"/>
  <c r="Z27" i="1" s="1"/>
  <c r="Z8" i="2" s="1"/>
  <c r="Z74" i="1"/>
  <c r="Z28" i="1" s="1"/>
  <c r="Z9" i="2" s="1"/>
  <c r="Y30" i="1" l="1"/>
  <c r="Y29" i="1"/>
  <c r="X42" i="1"/>
  <c r="X14" i="2" s="1"/>
  <c r="X30" i="1"/>
  <c r="X29" i="1"/>
  <c r="Y42" i="1"/>
  <c r="Y14" i="2" s="1"/>
  <c r="AA73" i="1"/>
  <c r="AA27" i="1" s="1"/>
  <c r="AA8" i="2" s="1"/>
  <c r="Z75" i="1"/>
  <c r="Z44" i="1" s="1"/>
  <c r="Z16" i="2" s="1"/>
  <c r="AA74" i="1"/>
  <c r="D27" i="1"/>
  <c r="AB73" i="1" l="1"/>
  <c r="AC73" i="1" s="1"/>
  <c r="AA75" i="1"/>
  <c r="AA44" i="1" s="1"/>
  <c r="AA16" i="2" s="1"/>
  <c r="Z42" i="1"/>
  <c r="Z14" i="2" s="1"/>
  <c r="Z29" i="1"/>
  <c r="Z30" i="1"/>
  <c r="AB74" i="1"/>
  <c r="E27" i="1"/>
  <c r="E8" i="2" s="1"/>
  <c r="E28" i="1"/>
  <c r="E9" i="2" s="1"/>
  <c r="D28" i="1"/>
  <c r="D26" i="1" s="1"/>
  <c r="AB75" i="1" l="1"/>
  <c r="AB44" i="1" s="1"/>
  <c r="AB16" i="2" s="1"/>
  <c r="AA30" i="1"/>
  <c r="AA29" i="1"/>
  <c r="AA42" i="1"/>
  <c r="AA14" i="2" s="1"/>
  <c r="D45" i="1"/>
  <c r="D31" i="1"/>
  <c r="D61" i="1"/>
  <c r="D43" i="1"/>
  <c r="E26" i="1"/>
  <c r="E7" i="2" s="1"/>
  <c r="AC74" i="1"/>
  <c r="AC75" i="1" s="1"/>
  <c r="AC44" i="1" s="1"/>
  <c r="AC16" i="2" s="1"/>
  <c r="AD73" i="1"/>
  <c r="F28" i="1"/>
  <c r="F9" i="2" s="1"/>
  <c r="F27" i="1"/>
  <c r="F8" i="2" s="1"/>
  <c r="AB30" i="1" l="1"/>
  <c r="AB29" i="1"/>
  <c r="AB42" i="1"/>
  <c r="AB14" i="2" s="1"/>
  <c r="E45" i="1"/>
  <c r="E17" i="2" s="1"/>
  <c r="E31" i="1"/>
  <c r="D41" i="1"/>
  <c r="F26" i="1"/>
  <c r="AC42" i="1"/>
  <c r="AC14" i="2" s="1"/>
  <c r="E61" i="1"/>
  <c r="E43" i="1"/>
  <c r="E15" i="2" s="1"/>
  <c r="AC30" i="1"/>
  <c r="AC29" i="1"/>
  <c r="AD74" i="1"/>
  <c r="AE73" i="1" s="1"/>
  <c r="G27" i="1"/>
  <c r="G8" i="2" s="1"/>
  <c r="G28" i="1"/>
  <c r="G9" i="2" s="1"/>
  <c r="F31" i="1" l="1"/>
  <c r="F7" i="2"/>
  <c r="D46" i="1"/>
  <c r="D32" i="1"/>
  <c r="D33" i="1" s="1"/>
  <c r="D57" i="1"/>
  <c r="F61" i="1"/>
  <c r="F45" i="1"/>
  <c r="F17" i="2" s="1"/>
  <c r="F43" i="1"/>
  <c r="F15" i="2" s="1"/>
  <c r="D59" i="1"/>
  <c r="D58" i="1"/>
  <c r="E41" i="1"/>
  <c r="E13" i="2" s="1"/>
  <c r="E6" i="2" s="1"/>
  <c r="E27" i="2" s="1"/>
  <c r="E28" i="2" s="1"/>
  <c r="F5" i="2" s="1"/>
  <c r="G26" i="1"/>
  <c r="G7" i="2" s="1"/>
  <c r="AD75" i="1"/>
  <c r="AD44" i="1" s="1"/>
  <c r="AD16" i="2" s="1"/>
  <c r="AE74" i="1"/>
  <c r="AE75" i="1" s="1"/>
  <c r="AE44" i="1" s="1"/>
  <c r="AE16" i="2" s="1"/>
  <c r="AF73" i="1"/>
  <c r="H28" i="1"/>
  <c r="H9" i="2" s="1"/>
  <c r="H27" i="1"/>
  <c r="H8" i="2" s="1"/>
  <c r="F41" i="1" l="1"/>
  <c r="F13" i="2" s="1"/>
  <c r="F6" i="2" s="1"/>
  <c r="F27" i="2" s="1"/>
  <c r="F28" i="2" s="1"/>
  <c r="G5" i="2" s="1"/>
  <c r="G45" i="1"/>
  <c r="G17" i="2" s="1"/>
  <c r="G31" i="1"/>
  <c r="D47" i="1"/>
  <c r="D56" i="1"/>
  <c r="D34" i="1"/>
  <c r="F32" i="1"/>
  <c r="F57" i="1"/>
  <c r="F59" i="1" s="1"/>
  <c r="H26" i="1"/>
  <c r="E32" i="1"/>
  <c r="E46" i="1"/>
  <c r="E57" i="1"/>
  <c r="D36" i="1"/>
  <c r="D35" i="1"/>
  <c r="AE42" i="1"/>
  <c r="AE14" i="2" s="1"/>
  <c r="AD42" i="1"/>
  <c r="AD14" i="2" s="1"/>
  <c r="G43" i="1"/>
  <c r="G15" i="2" s="1"/>
  <c r="G61" i="1"/>
  <c r="AE30" i="1"/>
  <c r="AE29" i="1"/>
  <c r="AD29" i="1"/>
  <c r="AD30" i="1"/>
  <c r="AF74" i="1"/>
  <c r="AG73" i="1" s="1"/>
  <c r="I27" i="1"/>
  <c r="I8" i="2" s="1"/>
  <c r="I28" i="1"/>
  <c r="I9" i="2" s="1"/>
  <c r="E47" i="1" l="1"/>
  <c r="E12" i="2"/>
  <c r="H61" i="1"/>
  <c r="H7" i="2"/>
  <c r="F34" i="1"/>
  <c r="F36" i="1" s="1"/>
  <c r="F12" i="2"/>
  <c r="F46" i="1"/>
  <c r="F56" i="1"/>
  <c r="F33" i="1"/>
  <c r="H45" i="1"/>
  <c r="H17" i="2" s="1"/>
  <c r="H31" i="1"/>
  <c r="F47" i="1"/>
  <c r="F58" i="1"/>
  <c r="H43" i="1"/>
  <c r="H15" i="2" s="1"/>
  <c r="E59" i="1"/>
  <c r="E58" i="1"/>
  <c r="E33" i="1"/>
  <c r="E56" i="1"/>
  <c r="E34" i="1"/>
  <c r="G41" i="1"/>
  <c r="G13" i="2" s="1"/>
  <c r="G6" i="2" s="1"/>
  <c r="G27" i="2" s="1"/>
  <c r="G28" i="2" s="1"/>
  <c r="H5" i="2" s="1"/>
  <c r="I26" i="1"/>
  <c r="I7" i="2" s="1"/>
  <c r="AF75" i="1"/>
  <c r="AF44" i="1" s="1"/>
  <c r="AF16" i="2" s="1"/>
  <c r="AG74" i="1"/>
  <c r="AG75" i="1" s="1"/>
  <c r="AG44" i="1" s="1"/>
  <c r="AG16" i="2" s="1"/>
  <c r="AH73" i="1"/>
  <c r="J28" i="1"/>
  <c r="J9" i="2" s="1"/>
  <c r="J27" i="1"/>
  <c r="J8" i="2" s="1"/>
  <c r="F35" i="1" l="1"/>
  <c r="H41" i="1"/>
  <c r="H13" i="2" s="1"/>
  <c r="H6" i="2" s="1"/>
  <c r="H27" i="2" s="1"/>
  <c r="H28" i="2" s="1"/>
  <c r="I5" i="2" s="1"/>
  <c r="I45" i="1"/>
  <c r="I17" i="2" s="1"/>
  <c r="I31" i="1"/>
  <c r="J26" i="1"/>
  <c r="J7" i="2" s="1"/>
  <c r="G32" i="1"/>
  <c r="G46" i="1"/>
  <c r="G57" i="1"/>
  <c r="H32" i="1"/>
  <c r="H46" i="1"/>
  <c r="H57" i="1"/>
  <c r="E36" i="1"/>
  <c r="E35" i="1"/>
  <c r="AG42" i="1"/>
  <c r="AG14" i="2" s="1"/>
  <c r="AF42" i="1"/>
  <c r="AF14" i="2" s="1"/>
  <c r="I43" i="1"/>
  <c r="I15" i="2" s="1"/>
  <c r="I61" i="1"/>
  <c r="AG30" i="1"/>
  <c r="AG29" i="1"/>
  <c r="AF29" i="1"/>
  <c r="AF30" i="1"/>
  <c r="AH74" i="1"/>
  <c r="AI73" i="1" s="1"/>
  <c r="K27" i="1"/>
  <c r="K8" i="2" s="1"/>
  <c r="K28" i="1"/>
  <c r="K9" i="2" s="1"/>
  <c r="H47" i="1" l="1"/>
  <c r="H12" i="2"/>
  <c r="G47" i="1"/>
  <c r="G12" i="2"/>
  <c r="J45" i="1"/>
  <c r="J17" i="2" s="1"/>
  <c r="J31" i="1"/>
  <c r="J43" i="1"/>
  <c r="J15" i="2" s="1"/>
  <c r="J61" i="1"/>
  <c r="H33" i="1"/>
  <c r="H56" i="1"/>
  <c r="H34" i="1"/>
  <c r="G58" i="1"/>
  <c r="G59" i="1"/>
  <c r="H59" i="1"/>
  <c r="H58" i="1"/>
  <c r="G33" i="1"/>
  <c r="G56" i="1"/>
  <c r="G34" i="1"/>
  <c r="I41" i="1"/>
  <c r="I13" i="2" s="1"/>
  <c r="I6" i="2" s="1"/>
  <c r="I27" i="2" s="1"/>
  <c r="I28" i="2" s="1"/>
  <c r="J5" i="2" s="1"/>
  <c r="K26" i="1"/>
  <c r="K7" i="2" s="1"/>
  <c r="AH75" i="1"/>
  <c r="AH44" i="1" s="1"/>
  <c r="AH16" i="2" s="1"/>
  <c r="AI74" i="1"/>
  <c r="AI75" i="1" s="1"/>
  <c r="AI44" i="1" s="1"/>
  <c r="AI16" i="2" s="1"/>
  <c r="AJ73" i="1"/>
  <c r="L28" i="1"/>
  <c r="L9" i="2" s="1"/>
  <c r="L27" i="1"/>
  <c r="L8" i="2" s="1"/>
  <c r="J41" i="1" l="1"/>
  <c r="K45" i="1"/>
  <c r="K17" i="2" s="1"/>
  <c r="K31" i="1"/>
  <c r="G36" i="1"/>
  <c r="G35" i="1"/>
  <c r="I32" i="1"/>
  <c r="I46" i="1"/>
  <c r="I57" i="1"/>
  <c r="J32" i="1"/>
  <c r="J46" i="1"/>
  <c r="H35" i="1"/>
  <c r="H36" i="1"/>
  <c r="AI42" i="1"/>
  <c r="AI14" i="2" s="1"/>
  <c r="AH42" i="1"/>
  <c r="AH14" i="2" s="1"/>
  <c r="L26" i="1"/>
  <c r="K43" i="1"/>
  <c r="K15" i="2" s="1"/>
  <c r="K61" i="1"/>
  <c r="AI30" i="1"/>
  <c r="AI29" i="1"/>
  <c r="AH30" i="1"/>
  <c r="AH29" i="1"/>
  <c r="AJ74" i="1"/>
  <c r="AJ75" i="1" s="1"/>
  <c r="AJ44" i="1" s="1"/>
  <c r="AJ16" i="2" s="1"/>
  <c r="M28" i="1"/>
  <c r="M9" i="2" s="1"/>
  <c r="M27" i="1"/>
  <c r="M8" i="2" s="1"/>
  <c r="I47" i="1" l="1"/>
  <c r="I12" i="2"/>
  <c r="J57" i="1"/>
  <c r="J59" i="1" s="1"/>
  <c r="J13" i="2"/>
  <c r="J6" i="2" s="1"/>
  <c r="J27" i="2" s="1"/>
  <c r="J28" i="2" s="1"/>
  <c r="K5" i="2" s="1"/>
  <c r="J47" i="1"/>
  <c r="J12" i="2"/>
  <c r="L31" i="1"/>
  <c r="L7" i="2"/>
  <c r="L61" i="1"/>
  <c r="L45" i="1"/>
  <c r="L17" i="2" s="1"/>
  <c r="I58" i="1"/>
  <c r="I59" i="1"/>
  <c r="L43" i="1"/>
  <c r="L15" i="2" s="1"/>
  <c r="J56" i="1"/>
  <c r="J34" i="1"/>
  <c r="J58" i="1"/>
  <c r="I33" i="1"/>
  <c r="I56" i="1"/>
  <c r="I34" i="1"/>
  <c r="J33" i="1"/>
  <c r="M26" i="1"/>
  <c r="M7" i="2" s="1"/>
  <c r="K41" i="1"/>
  <c r="K13" i="2" s="1"/>
  <c r="K6" i="2" s="1"/>
  <c r="AJ42" i="1"/>
  <c r="AJ14" i="2" s="1"/>
  <c r="AJ30" i="1"/>
  <c r="AJ29" i="1"/>
  <c r="N27" i="1"/>
  <c r="N8" i="2" s="1"/>
  <c r="N28" i="1"/>
  <c r="N9" i="2" s="1"/>
  <c r="K27" i="2" l="1"/>
  <c r="K28" i="2" s="1"/>
  <c r="L5" i="2" s="1"/>
  <c r="L41" i="1"/>
  <c r="L13" i="2" s="1"/>
  <c r="L6" i="2" s="1"/>
  <c r="M45" i="1"/>
  <c r="M17" i="2" s="1"/>
  <c r="M31" i="1"/>
  <c r="K32" i="1"/>
  <c r="K46" i="1"/>
  <c r="K57" i="1"/>
  <c r="L46" i="1"/>
  <c r="I35" i="1"/>
  <c r="I36" i="1"/>
  <c r="L57" i="1"/>
  <c r="J35" i="1"/>
  <c r="J36" i="1"/>
  <c r="M43" i="1"/>
  <c r="M61" i="1"/>
  <c r="N26" i="1"/>
  <c r="N7" i="2" s="1"/>
  <c r="AK74" i="1"/>
  <c r="AK73" i="1"/>
  <c r="L32" i="1" l="1"/>
  <c r="L47" i="1" s="1"/>
  <c r="K47" i="1"/>
  <c r="K12" i="2"/>
  <c r="L27" i="2"/>
  <c r="L28" i="2" s="1"/>
  <c r="M5" i="2" s="1"/>
  <c r="L12" i="2"/>
  <c r="M41" i="1"/>
  <c r="M13" i="2" s="1"/>
  <c r="M6" i="2" s="1"/>
  <c r="M15" i="2"/>
  <c r="N45" i="1"/>
  <c r="N17" i="2" s="1"/>
  <c r="N31" i="1"/>
  <c r="M32" i="1"/>
  <c r="M46" i="1"/>
  <c r="L59" i="1"/>
  <c r="L58" i="1"/>
  <c r="L33" i="1"/>
  <c r="L56" i="1"/>
  <c r="L34" i="1"/>
  <c r="K59" i="1"/>
  <c r="K58" i="1"/>
  <c r="K33" i="1"/>
  <c r="K56" i="1"/>
  <c r="K34" i="1"/>
  <c r="N61" i="1"/>
  <c r="N43" i="1"/>
  <c r="AK75" i="1"/>
  <c r="AK44" i="1" s="1"/>
  <c r="AK16" i="2" s="1"/>
  <c r="AL74" i="1"/>
  <c r="AL28" i="1" s="1"/>
  <c r="AL9" i="2" s="1"/>
  <c r="M47" i="1" l="1"/>
  <c r="M12" i="2"/>
  <c r="N41" i="1"/>
  <c r="N13" i="2" s="1"/>
  <c r="N6" i="2" s="1"/>
  <c r="N15" i="2"/>
  <c r="M57" i="1"/>
  <c r="M27" i="2"/>
  <c r="M28" i="2" s="1"/>
  <c r="N5" i="2" s="1"/>
  <c r="N27" i="2" s="1"/>
  <c r="N28" i="2" s="1"/>
  <c r="O5" i="2" s="1"/>
  <c r="K35" i="1"/>
  <c r="K36" i="1"/>
  <c r="N32" i="1"/>
  <c r="N46" i="1"/>
  <c r="M58" i="1"/>
  <c r="M59" i="1"/>
  <c r="N57" i="1"/>
  <c r="L36" i="1"/>
  <c r="L35" i="1"/>
  <c r="M33" i="1"/>
  <c r="M56" i="1"/>
  <c r="M34" i="1"/>
  <c r="AK42" i="1"/>
  <c r="AK14" i="2" s="1"/>
  <c r="P26" i="1"/>
  <c r="P7" i="2" s="1"/>
  <c r="AK29" i="1"/>
  <c r="AK30" i="1"/>
  <c r="AL73" i="1"/>
  <c r="AL27" i="1" s="1"/>
  <c r="AL8" i="2" s="1"/>
  <c r="N47" i="1" l="1"/>
  <c r="N12" i="2"/>
  <c r="P45" i="1"/>
  <c r="P17" i="2" s="1"/>
  <c r="Q26" i="1"/>
  <c r="Q7" i="2" s="1"/>
  <c r="M36" i="1"/>
  <c r="M35" i="1"/>
  <c r="N58" i="1"/>
  <c r="N59" i="1"/>
  <c r="N33" i="1"/>
  <c r="N56" i="1"/>
  <c r="N34" i="1"/>
  <c r="P43" i="1"/>
  <c r="P15" i="2" s="1"/>
  <c r="P61" i="1"/>
  <c r="AL75" i="1"/>
  <c r="AL44" i="1" s="1"/>
  <c r="AL16" i="2" s="1"/>
  <c r="Q45" i="1" l="1"/>
  <c r="Q17" i="2" s="1"/>
  <c r="Q31" i="1"/>
  <c r="Q43" i="1"/>
  <c r="Q15" i="2" s="1"/>
  <c r="Q61" i="1"/>
  <c r="P41" i="1"/>
  <c r="P32" i="1" s="1"/>
  <c r="P12" i="2" s="1"/>
  <c r="N36" i="1"/>
  <c r="N35" i="1"/>
  <c r="AL42" i="1"/>
  <c r="AL14" i="2" s="1"/>
  <c r="R26" i="1"/>
  <c r="AL30" i="1"/>
  <c r="AL29" i="1"/>
  <c r="Q41" i="1" l="1"/>
  <c r="R31" i="1"/>
  <c r="R7" i="2"/>
  <c r="P57" i="1"/>
  <c r="P59" i="1" s="1"/>
  <c r="P13" i="2"/>
  <c r="P6" i="2" s="1"/>
  <c r="Q57" i="1"/>
  <c r="Q59" i="1" s="1"/>
  <c r="Q13" i="2"/>
  <c r="Q6" i="2" s="1"/>
  <c r="R43" i="1"/>
  <c r="R15" i="2" s="1"/>
  <c r="R45" i="1"/>
  <c r="R17" i="2" s="1"/>
  <c r="P56" i="1"/>
  <c r="P34" i="1"/>
  <c r="P47" i="1"/>
  <c r="R61" i="1"/>
  <c r="S26" i="1"/>
  <c r="S7" i="2" s="1"/>
  <c r="Q32" i="1" l="1"/>
  <c r="Q46" i="1"/>
  <c r="Q58" i="1"/>
  <c r="S45" i="1"/>
  <c r="S17" i="2" s="1"/>
  <c r="S31" i="1"/>
  <c r="R41" i="1"/>
  <c r="P36" i="1"/>
  <c r="S61" i="1"/>
  <c r="S43" i="1"/>
  <c r="S15" i="2" s="1"/>
  <c r="T26" i="1"/>
  <c r="T7" i="2" s="1"/>
  <c r="Q33" i="1" l="1"/>
  <c r="Q47" i="1"/>
  <c r="Q12" i="2"/>
  <c r="Q34" i="1"/>
  <c r="Q56" i="1"/>
  <c r="R32" i="1"/>
  <c r="R13" i="2"/>
  <c r="R6" i="2" s="1"/>
  <c r="T45" i="1"/>
  <c r="T17" i="2" s="1"/>
  <c r="T31" i="1"/>
  <c r="R46" i="1"/>
  <c r="R57" i="1"/>
  <c r="R59" i="1" s="1"/>
  <c r="R33" i="1"/>
  <c r="R56" i="1"/>
  <c r="R34" i="1"/>
  <c r="S41" i="1"/>
  <c r="S13" i="2" s="1"/>
  <c r="S6" i="2" s="1"/>
  <c r="U26" i="1"/>
  <c r="T61" i="1"/>
  <c r="T43" i="1"/>
  <c r="T15" i="2" s="1"/>
  <c r="Q35" i="1" l="1"/>
  <c r="Q36" i="1"/>
  <c r="U31" i="1"/>
  <c r="U7" i="2"/>
  <c r="R47" i="1"/>
  <c r="R12" i="2"/>
  <c r="R58" i="1"/>
  <c r="U61" i="1"/>
  <c r="U45" i="1"/>
  <c r="U17" i="2" s="1"/>
  <c r="U43" i="1"/>
  <c r="U15" i="2" s="1"/>
  <c r="S32" i="1"/>
  <c r="S46" i="1"/>
  <c r="S57" i="1"/>
  <c r="R35" i="1"/>
  <c r="R36" i="1"/>
  <c r="T41" i="1"/>
  <c r="T13" i="2" s="1"/>
  <c r="T6" i="2" s="1"/>
  <c r="V26" i="1"/>
  <c r="V7" i="2" s="1"/>
  <c r="U41" i="1" l="1"/>
  <c r="U13" i="2" s="1"/>
  <c r="U6" i="2" s="1"/>
  <c r="S47" i="1"/>
  <c r="S12" i="2"/>
  <c r="V45" i="1"/>
  <c r="V17" i="2" s="1"/>
  <c r="V31" i="1"/>
  <c r="W26" i="1"/>
  <c r="W7" i="2" s="1"/>
  <c r="T32" i="1"/>
  <c r="T46" i="1"/>
  <c r="T57" i="1"/>
  <c r="S59" i="1"/>
  <c r="S58" i="1"/>
  <c r="S33" i="1"/>
  <c r="S56" i="1"/>
  <c r="S34" i="1"/>
  <c r="V61" i="1"/>
  <c r="V43" i="1"/>
  <c r="V15" i="2" s="1"/>
  <c r="U32" i="1" l="1"/>
  <c r="U33" i="1" s="1"/>
  <c r="U57" i="1"/>
  <c r="U59" i="1" s="1"/>
  <c r="U46" i="1"/>
  <c r="W43" i="1"/>
  <c r="W15" i="2" s="1"/>
  <c r="T47" i="1"/>
  <c r="T12" i="2"/>
  <c r="W61" i="1"/>
  <c r="W45" i="1"/>
  <c r="W17" i="2" s="1"/>
  <c r="W31" i="1"/>
  <c r="T58" i="1"/>
  <c r="T59" i="1"/>
  <c r="T33" i="1"/>
  <c r="T56" i="1"/>
  <c r="T34" i="1"/>
  <c r="S36" i="1"/>
  <c r="S35" i="1"/>
  <c r="V41" i="1"/>
  <c r="V13" i="2" s="1"/>
  <c r="V6" i="2" s="1"/>
  <c r="X26" i="1"/>
  <c r="X7" i="2" s="1"/>
  <c r="W41" i="1" l="1"/>
  <c r="U58" i="1"/>
  <c r="U56" i="1"/>
  <c r="U34" i="1"/>
  <c r="U36" i="1" s="1"/>
  <c r="U12" i="2"/>
  <c r="U47" i="1"/>
  <c r="W57" i="1"/>
  <c r="W59" i="1" s="1"/>
  <c r="W13" i="2"/>
  <c r="W6" i="2" s="1"/>
  <c r="W32" i="1"/>
  <c r="W12" i="2" s="1"/>
  <c r="X45" i="1"/>
  <c r="X17" i="2" s="1"/>
  <c r="X31" i="1"/>
  <c r="W46" i="1"/>
  <c r="T36" i="1"/>
  <c r="T35" i="1"/>
  <c r="W56" i="1"/>
  <c r="W34" i="1"/>
  <c r="V32" i="1"/>
  <c r="V46" i="1"/>
  <c r="V57" i="1"/>
  <c r="Y26" i="1"/>
  <c r="Y7" i="2" s="1"/>
  <c r="X43" i="1"/>
  <c r="X15" i="2" s="1"/>
  <c r="X61" i="1"/>
  <c r="U35" i="1" l="1"/>
  <c r="W47" i="1"/>
  <c r="V47" i="1"/>
  <c r="V12" i="2"/>
  <c r="W33" i="1"/>
  <c r="Y45" i="1"/>
  <c r="Y17" i="2" s="1"/>
  <c r="Y31" i="1"/>
  <c r="V33" i="1"/>
  <c r="V56" i="1"/>
  <c r="V34" i="1"/>
  <c r="Y61" i="1"/>
  <c r="V59" i="1"/>
  <c r="V58" i="1"/>
  <c r="W58" i="1"/>
  <c r="W36" i="1"/>
  <c r="W35" i="1"/>
  <c r="Y43" i="1"/>
  <c r="Y15" i="2" s="1"/>
  <c r="X41" i="1"/>
  <c r="X13" i="2" s="1"/>
  <c r="X6" i="2" s="1"/>
  <c r="Z26" i="1"/>
  <c r="Z7" i="2" s="1"/>
  <c r="AA28" i="1"/>
  <c r="AA9" i="2" s="1"/>
  <c r="Z45" i="1" l="1"/>
  <c r="Z17" i="2" s="1"/>
  <c r="Z31" i="1"/>
  <c r="Y41" i="1"/>
  <c r="X32" i="1"/>
  <c r="X46" i="1"/>
  <c r="X57" i="1"/>
  <c r="V36" i="1"/>
  <c r="V35" i="1"/>
  <c r="AA26" i="1"/>
  <c r="Z43" i="1"/>
  <c r="Z15" i="2" s="1"/>
  <c r="Z61" i="1"/>
  <c r="AB27" i="1"/>
  <c r="AB8" i="2" s="1"/>
  <c r="AB28" i="1"/>
  <c r="AB9" i="2" s="1"/>
  <c r="AA31" i="1" l="1"/>
  <c r="AA7" i="2"/>
  <c r="X47" i="1"/>
  <c r="X12" i="2"/>
  <c r="Y32" i="1"/>
  <c r="Y13" i="2"/>
  <c r="Y6" i="2" s="1"/>
  <c r="Y57" i="1"/>
  <c r="Y46" i="1"/>
  <c r="AA43" i="1"/>
  <c r="AA15" i="2" s="1"/>
  <c r="AA45" i="1"/>
  <c r="AA17" i="2" s="1"/>
  <c r="Y33" i="1"/>
  <c r="Z41" i="1"/>
  <c r="Y59" i="1"/>
  <c r="Y58" i="1"/>
  <c r="Y56" i="1"/>
  <c r="Y34" i="1"/>
  <c r="X58" i="1"/>
  <c r="X59" i="1"/>
  <c r="AA61" i="1"/>
  <c r="X33" i="1"/>
  <c r="X56" i="1"/>
  <c r="X34" i="1"/>
  <c r="AB26" i="1"/>
  <c r="AB7" i="2" s="1"/>
  <c r="AC28" i="1"/>
  <c r="AC9" i="2" s="1"/>
  <c r="AC27" i="1"/>
  <c r="AC8" i="2" s="1"/>
  <c r="Z57" i="1" l="1"/>
  <c r="Z58" i="1" s="1"/>
  <c r="Z13" i="2"/>
  <c r="Z6" i="2" s="1"/>
  <c r="Z46" i="1"/>
  <c r="Y47" i="1"/>
  <c r="Y12" i="2"/>
  <c r="Z32" i="1"/>
  <c r="AB45" i="1"/>
  <c r="AB17" i="2" s="1"/>
  <c r="AB31" i="1"/>
  <c r="AA41" i="1"/>
  <c r="AA13" i="2" s="1"/>
  <c r="AA6" i="2" s="1"/>
  <c r="Z59" i="1"/>
  <c r="AC26" i="1"/>
  <c r="AC7" i="2" s="1"/>
  <c r="Y35" i="1"/>
  <c r="Y36" i="1"/>
  <c r="Z33" i="1"/>
  <c r="X35" i="1"/>
  <c r="X36" i="1"/>
  <c r="AB61" i="1"/>
  <c r="AB43" i="1"/>
  <c r="AB15" i="2" s="1"/>
  <c r="AD27" i="1"/>
  <c r="AD8" i="2" s="1"/>
  <c r="AD28" i="1"/>
  <c r="AD9" i="2" s="1"/>
  <c r="Z47" i="1" l="1"/>
  <c r="Z12" i="2"/>
  <c r="AA57" i="1"/>
  <c r="AA59" i="1" s="1"/>
  <c r="Z34" i="1"/>
  <c r="AC43" i="1"/>
  <c r="AC15" i="2" s="1"/>
  <c r="AA46" i="1"/>
  <c r="AA32" i="1"/>
  <c r="AA12" i="2" s="1"/>
  <c r="Z56" i="1"/>
  <c r="AC45" i="1"/>
  <c r="AC17" i="2" s="1"/>
  <c r="AC31" i="1"/>
  <c r="AC61" i="1"/>
  <c r="AA56" i="1"/>
  <c r="AA34" i="1"/>
  <c r="AA33" i="1"/>
  <c r="Z35" i="1"/>
  <c r="AA58" i="1"/>
  <c r="AB41" i="1"/>
  <c r="AB13" i="2" s="1"/>
  <c r="AB6" i="2" s="1"/>
  <c r="AD26" i="1"/>
  <c r="AD7" i="2" s="1"/>
  <c r="AE28" i="1"/>
  <c r="AE9" i="2" s="1"/>
  <c r="AE27" i="1"/>
  <c r="AE8" i="2" s="1"/>
  <c r="Z36" i="1" l="1"/>
  <c r="AA47" i="1"/>
  <c r="AC41" i="1"/>
  <c r="AC13" i="2" s="1"/>
  <c r="AC6" i="2" s="1"/>
  <c r="AD45" i="1"/>
  <c r="AD17" i="2" s="1"/>
  <c r="AD31" i="1"/>
  <c r="AE26" i="1"/>
  <c r="AE7" i="2" s="1"/>
  <c r="AB32" i="1"/>
  <c r="AB46" i="1"/>
  <c r="AB57" i="1"/>
  <c r="AC32" i="1"/>
  <c r="AC46" i="1"/>
  <c r="AC57" i="1"/>
  <c r="AA35" i="1"/>
  <c r="AA36" i="1"/>
  <c r="AD61" i="1"/>
  <c r="AD43" i="1"/>
  <c r="AD15" i="2" s="1"/>
  <c r="AF27" i="1"/>
  <c r="AF8" i="2" s="1"/>
  <c r="AF28" i="1"/>
  <c r="AF9" i="2" s="1"/>
  <c r="AB47" i="1" l="1"/>
  <c r="AB12" i="2"/>
  <c r="AC47" i="1"/>
  <c r="AC12" i="2"/>
  <c r="AE45" i="1"/>
  <c r="AE17" i="2" s="1"/>
  <c r="AE31" i="1"/>
  <c r="AE61" i="1"/>
  <c r="AE43" i="1"/>
  <c r="AE15" i="2" s="1"/>
  <c r="AC58" i="1"/>
  <c r="AC59" i="1"/>
  <c r="AC33" i="1"/>
  <c r="AC56" i="1"/>
  <c r="AC34" i="1"/>
  <c r="AB59" i="1"/>
  <c r="AB58" i="1"/>
  <c r="AB33" i="1"/>
  <c r="AB56" i="1"/>
  <c r="AB34" i="1"/>
  <c r="AD41" i="1"/>
  <c r="AD13" i="2" s="1"/>
  <c r="AD6" i="2" s="1"/>
  <c r="AF26" i="1"/>
  <c r="AF7" i="2" s="1"/>
  <c r="AG28" i="1"/>
  <c r="AG9" i="2" s="1"/>
  <c r="AG27" i="1"/>
  <c r="AG8" i="2" s="1"/>
  <c r="AE41" i="1" l="1"/>
  <c r="AE13" i="2" s="1"/>
  <c r="AE6" i="2" s="1"/>
  <c r="AF45" i="1"/>
  <c r="AF17" i="2" s="1"/>
  <c r="AF31" i="1"/>
  <c r="AG26" i="1"/>
  <c r="AG7" i="2" s="1"/>
  <c r="AD32" i="1"/>
  <c r="AD46" i="1"/>
  <c r="AD57" i="1"/>
  <c r="AB36" i="1"/>
  <c r="AB35" i="1"/>
  <c r="AC36" i="1"/>
  <c r="AC35" i="1"/>
  <c r="AG61" i="1"/>
  <c r="AF61" i="1"/>
  <c r="AF43" i="1"/>
  <c r="AF15" i="2" s="1"/>
  <c r="AH27" i="1"/>
  <c r="AH8" i="2" s="1"/>
  <c r="AH28" i="1"/>
  <c r="AH9" i="2" s="1"/>
  <c r="AE57" i="1" l="1"/>
  <c r="AE46" i="1"/>
  <c r="AE32" i="1"/>
  <c r="AE12" i="2" s="1"/>
  <c r="AD47" i="1"/>
  <c r="AD12" i="2"/>
  <c r="AG43" i="1"/>
  <c r="AG15" i="2" s="1"/>
  <c r="AG45" i="1"/>
  <c r="AG31" i="1"/>
  <c r="AF41" i="1"/>
  <c r="AF32" i="1" s="1"/>
  <c r="AE33" i="1"/>
  <c r="AE56" i="1"/>
  <c r="AE34" i="1"/>
  <c r="AE58" i="1"/>
  <c r="AE59" i="1"/>
  <c r="AD58" i="1"/>
  <c r="AD59" i="1"/>
  <c r="AD33" i="1"/>
  <c r="AD56" i="1"/>
  <c r="AD34" i="1"/>
  <c r="AH26" i="1"/>
  <c r="AH7" i="2" s="1"/>
  <c r="AI28" i="1"/>
  <c r="AI9" i="2" s="1"/>
  <c r="AI27" i="1"/>
  <c r="AI8" i="2" s="1"/>
  <c r="AE47" i="1" l="1"/>
  <c r="AF57" i="1"/>
  <c r="AF59" i="1" s="1"/>
  <c r="AF13" i="2"/>
  <c r="AF6" i="2" s="1"/>
  <c r="AG41" i="1"/>
  <c r="AG13" i="2" s="1"/>
  <c r="AG6" i="2" s="1"/>
  <c r="AG17" i="2"/>
  <c r="AF47" i="1"/>
  <c r="AF12" i="2"/>
  <c r="AF46" i="1"/>
  <c r="AI26" i="1"/>
  <c r="AI7" i="2" s="1"/>
  <c r="AG46" i="1"/>
  <c r="AG57" i="1"/>
  <c r="AG59" i="1" s="1"/>
  <c r="AG32" i="1"/>
  <c r="AG12" i="2" s="1"/>
  <c r="AI45" i="1"/>
  <c r="AI17" i="2" s="1"/>
  <c r="AI31" i="1"/>
  <c r="AH45" i="1"/>
  <c r="AH17" i="2" s="1"/>
  <c r="AH31" i="1"/>
  <c r="AF33" i="1"/>
  <c r="AF56" i="1"/>
  <c r="AF34" i="1"/>
  <c r="AE36" i="1"/>
  <c r="AE35" i="1"/>
  <c r="AD36" i="1"/>
  <c r="AD35" i="1"/>
  <c r="AH61" i="1"/>
  <c r="AH43" i="1"/>
  <c r="AH15" i="2" s="1"/>
  <c r="AJ27" i="1"/>
  <c r="AJ8" i="2" s="1"/>
  <c r="AJ28" i="1"/>
  <c r="AJ9" i="2" s="1"/>
  <c r="AF58" i="1" l="1"/>
  <c r="AG58" i="1"/>
  <c r="AG47" i="1"/>
  <c r="AG34" i="1"/>
  <c r="AG35" i="1" s="1"/>
  <c r="AI61" i="1"/>
  <c r="AG33" i="1"/>
  <c r="AI43" i="1"/>
  <c r="AG56" i="1"/>
  <c r="AH41" i="1"/>
  <c r="AH46" i="1" s="1"/>
  <c r="AF36" i="1"/>
  <c r="AF35" i="1"/>
  <c r="AJ26" i="1"/>
  <c r="AJ7" i="2" s="1"/>
  <c r="AK28" i="1"/>
  <c r="AK9" i="2" s="1"/>
  <c r="AK27" i="1"/>
  <c r="AK8" i="2" s="1"/>
  <c r="AH57" i="1" l="1"/>
  <c r="AG36" i="1"/>
  <c r="AH32" i="1"/>
  <c r="AH13" i="2"/>
  <c r="AH6" i="2" s="1"/>
  <c r="AI41" i="1"/>
  <c r="AI37" i="1" s="1"/>
  <c r="AI38" i="1" s="1"/>
  <c r="AI15" i="2"/>
  <c r="AJ45" i="1"/>
  <c r="AJ17" i="2" s="1"/>
  <c r="AJ31" i="1"/>
  <c r="AL26" i="1"/>
  <c r="AL7" i="2" s="1"/>
  <c r="AH59" i="1"/>
  <c r="AH58" i="1"/>
  <c r="AH33" i="1"/>
  <c r="AH56" i="1"/>
  <c r="AH34" i="1"/>
  <c r="AK26" i="1"/>
  <c r="AJ61" i="1"/>
  <c r="AJ43" i="1"/>
  <c r="AJ15" i="2" s="1"/>
  <c r="C37" i="1"/>
  <c r="C38" i="1" s="1"/>
  <c r="K37" i="1"/>
  <c r="K38" i="1" s="1"/>
  <c r="M37" i="1"/>
  <c r="M38" i="1" s="1"/>
  <c r="AG37" i="1"/>
  <c r="AG38" i="1" s="1"/>
  <c r="L37" i="1"/>
  <c r="L38" i="1" s="1"/>
  <c r="S37" i="1"/>
  <c r="S38" i="1" s="1"/>
  <c r="E37" i="1"/>
  <c r="E38" i="1" s="1"/>
  <c r="W37" i="1"/>
  <c r="W38" i="1" s="1"/>
  <c r="P37" i="1"/>
  <c r="P38" i="1" s="1"/>
  <c r="AF37" i="1"/>
  <c r="AF38" i="1" s="1"/>
  <c r="J37" i="1"/>
  <c r="J38" i="1" s="1"/>
  <c r="N37" i="1"/>
  <c r="N38" i="1" s="1"/>
  <c r="G37" i="1"/>
  <c r="G38" i="1" s="1"/>
  <c r="T37" i="1"/>
  <c r="T38" i="1" s="1"/>
  <c r="Q37" i="1"/>
  <c r="Q38" i="1" s="1"/>
  <c r="V37" i="1"/>
  <c r="V38" i="1" s="1"/>
  <c r="D37" i="1"/>
  <c r="D38" i="1" s="1"/>
  <c r="U37" i="1"/>
  <c r="U38" i="1" s="1"/>
  <c r="I37" i="1"/>
  <c r="I38" i="1" s="1"/>
  <c r="AE37" i="1"/>
  <c r="AE38" i="1" s="1"/>
  <c r="AC37" i="1"/>
  <c r="AC38" i="1" s="1"/>
  <c r="AH37" i="1"/>
  <c r="AH38" i="1" s="1"/>
  <c r="R37" i="1"/>
  <c r="R38" i="1" s="1"/>
  <c r="H37" i="1"/>
  <c r="H38" i="1" s="1"/>
  <c r="AA37" i="1"/>
  <c r="AA38" i="1" s="1"/>
  <c r="Y37" i="1"/>
  <c r="Y38" i="1" s="1"/>
  <c r="X37" i="1"/>
  <c r="X38" i="1" s="1"/>
  <c r="F37" i="1"/>
  <c r="F38" i="1" s="1"/>
  <c r="Z37" i="1"/>
  <c r="Z38" i="1" s="1"/>
  <c r="AD37" i="1"/>
  <c r="AD38" i="1" s="1"/>
  <c r="AB37" i="1"/>
  <c r="AB38" i="1" s="1"/>
  <c r="AK31" i="1" l="1"/>
  <c r="AK7" i="2"/>
  <c r="AI13" i="2"/>
  <c r="AI6" i="2" s="1"/>
  <c r="AI32" i="1"/>
  <c r="AI46" i="1"/>
  <c r="AI57" i="1"/>
  <c r="AL61" i="1"/>
  <c r="AH47" i="1"/>
  <c r="AH12" i="2"/>
  <c r="AL45" i="1"/>
  <c r="AL17" i="2" s="1"/>
  <c r="AL31" i="1"/>
  <c r="AL43" i="1"/>
  <c r="AL15" i="2" s="1"/>
  <c r="AK45" i="1"/>
  <c r="AK17" i="2" s="1"/>
  <c r="AH35" i="1"/>
  <c r="AH36" i="1"/>
  <c r="AK43" i="1"/>
  <c r="AK15" i="2" s="1"/>
  <c r="AK61" i="1"/>
  <c r="AJ41" i="1"/>
  <c r="AJ13" i="2" s="1"/>
  <c r="AJ6" i="2" s="1"/>
  <c r="AI59" i="1" l="1"/>
  <c r="AI58" i="1"/>
  <c r="AL41" i="1"/>
  <c r="AL13" i="2" s="1"/>
  <c r="AL6" i="2" s="1"/>
  <c r="AI12" i="2"/>
  <c r="AI34" i="1"/>
  <c r="AI56" i="1"/>
  <c r="AI47" i="1"/>
  <c r="AI33" i="1"/>
  <c r="AL57" i="1"/>
  <c r="AJ46" i="1"/>
  <c r="AJ57" i="1"/>
  <c r="AK41" i="1"/>
  <c r="AK13" i="2" s="1"/>
  <c r="AK6" i="2" s="1"/>
  <c r="AJ37" i="1"/>
  <c r="AJ38" i="1" s="1"/>
  <c r="AJ32" i="1"/>
  <c r="AJ12" i="2" s="1"/>
  <c r="AL37" i="1"/>
  <c r="AL38" i="1" s="1"/>
  <c r="AI36" i="1" l="1"/>
  <c r="AI35" i="1"/>
  <c r="AL32" i="1"/>
  <c r="AL12" i="2" s="1"/>
  <c r="AJ59" i="1"/>
  <c r="AJ58" i="1"/>
  <c r="AL34" i="1"/>
  <c r="AJ56" i="1"/>
  <c r="AJ34" i="1"/>
  <c r="AK32" i="1"/>
  <c r="AK12" i="2" s="1"/>
  <c r="AK46" i="1"/>
  <c r="AK37" i="1"/>
  <c r="AK38" i="1" s="1"/>
  <c r="AK57" i="1"/>
  <c r="AJ47" i="1"/>
  <c r="AL59" i="1"/>
  <c r="AL47" i="1"/>
  <c r="AL46" i="1"/>
  <c r="AJ33" i="1"/>
  <c r="AL56" i="1" l="1"/>
  <c r="AK59" i="1"/>
  <c r="AK58" i="1"/>
  <c r="AL58" i="1"/>
  <c r="AK56" i="1"/>
  <c r="AK34" i="1"/>
  <c r="AL35" i="1" s="1"/>
  <c r="AL36" i="1"/>
  <c r="AK47" i="1"/>
  <c r="AJ36" i="1"/>
  <c r="AJ35" i="1"/>
  <c r="AK33" i="1"/>
  <c r="AL33" i="1"/>
  <c r="AK36" i="1" l="1"/>
  <c r="AK35" i="1"/>
  <c r="O26" i="1"/>
  <c r="O7" i="2" s="1"/>
  <c r="O31" i="1" l="1"/>
  <c r="P31" i="1"/>
  <c r="O43" i="1"/>
  <c r="O15" i="2" s="1"/>
  <c r="O61" i="1"/>
  <c r="O45" i="1"/>
  <c r="O17" i="2" s="1"/>
  <c r="O41" i="1" l="1"/>
  <c r="O13" i="2" s="1"/>
  <c r="O6" i="2" s="1"/>
  <c r="O27" i="2" s="1"/>
  <c r="O28" i="2" s="1"/>
  <c r="P5" i="2" s="1"/>
  <c r="P27" i="2" s="1"/>
  <c r="P28" i="2" s="1"/>
  <c r="Q5" i="2" s="1"/>
  <c r="Q27" i="2" s="1"/>
  <c r="Q28" i="2" s="1"/>
  <c r="R5" i="2" s="1"/>
  <c r="R27" i="2" s="1"/>
  <c r="R28" i="2" s="1"/>
  <c r="S5" i="2" s="1"/>
  <c r="S27" i="2" s="1"/>
  <c r="S28" i="2" s="1"/>
  <c r="T5" i="2" s="1"/>
  <c r="T27" i="2" s="1"/>
  <c r="T28" i="2" s="1"/>
  <c r="U5" i="2" s="1"/>
  <c r="U27" i="2" s="1"/>
  <c r="U28" i="2" s="1"/>
  <c r="V5" i="2" s="1"/>
  <c r="V27" i="2" s="1"/>
  <c r="V28" i="2" s="1"/>
  <c r="W5" i="2" s="1"/>
  <c r="W27" i="2" s="1"/>
  <c r="W28" i="2" s="1"/>
  <c r="X5" i="2" s="1"/>
  <c r="X27" i="2" s="1"/>
  <c r="X28" i="2" s="1"/>
  <c r="Y5" i="2" s="1"/>
  <c r="Y27" i="2" s="1"/>
  <c r="Y28" i="2" s="1"/>
  <c r="Z5" i="2" s="1"/>
  <c r="Z27" i="2" s="1"/>
  <c r="Z28" i="2" s="1"/>
  <c r="AA5" i="2" s="1"/>
  <c r="AA27" i="2" s="1"/>
  <c r="AA28" i="2" s="1"/>
  <c r="AB5" i="2" s="1"/>
  <c r="AB27" i="2" s="1"/>
  <c r="AB28" i="2" s="1"/>
  <c r="AC5" i="2" s="1"/>
  <c r="AC27" i="2" s="1"/>
  <c r="AC28" i="2" s="1"/>
  <c r="AD5" i="2" s="1"/>
  <c r="AD27" i="2" s="1"/>
  <c r="AD28" i="2" s="1"/>
  <c r="AE5" i="2" s="1"/>
  <c r="AE27" i="2" s="1"/>
  <c r="AE28" i="2" s="1"/>
  <c r="AF5" i="2" s="1"/>
  <c r="AF27" i="2" s="1"/>
  <c r="AF28" i="2" s="1"/>
  <c r="AG5" i="2" s="1"/>
  <c r="AG27" i="2" s="1"/>
  <c r="AG28" i="2" s="1"/>
  <c r="AH5" i="2" s="1"/>
  <c r="AH27" i="2" s="1"/>
  <c r="AH28" i="2" s="1"/>
  <c r="AI5" i="2" s="1"/>
  <c r="AI27" i="2" s="1"/>
  <c r="AI28" i="2" s="1"/>
  <c r="AJ5" i="2" s="1"/>
  <c r="AJ27" i="2" s="1"/>
  <c r="AJ28" i="2" s="1"/>
  <c r="AK5" i="2" s="1"/>
  <c r="AK27" i="2" s="1"/>
  <c r="AK28" i="2" s="1"/>
  <c r="AL5" i="2" s="1"/>
  <c r="AL27" i="2" s="1"/>
  <c r="AL28" i="2" s="1"/>
  <c r="O37" i="1" l="1"/>
  <c r="O38" i="1" s="1"/>
  <c r="O57" i="1"/>
  <c r="P46" i="1"/>
  <c r="O46" i="1"/>
  <c r="O32" i="1"/>
  <c r="O12" i="2" s="1"/>
  <c r="O58" i="1"/>
  <c r="P58" i="1"/>
  <c r="O59" i="1"/>
  <c r="P33" i="1"/>
  <c r="O56" i="1"/>
  <c r="O34" i="1"/>
  <c r="O33" i="1" l="1"/>
  <c r="O47" i="1"/>
  <c r="B10" i="4"/>
  <c r="B9" i="4"/>
  <c r="O36" i="1"/>
  <c r="P35" i="1"/>
  <c r="O35" i="1"/>
</calcChain>
</file>

<file path=xl/sharedStrings.xml><?xml version="1.0" encoding="utf-8"?>
<sst xmlns="http://schemas.openxmlformats.org/spreadsheetml/2006/main" count="185" uniqueCount="93">
  <si>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</si>
  <si>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</si>
  <si>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</si>
  <si>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</si>
  <si>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</si>
  <si>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</si>
  <si>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</si>
  <si>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</si>
  <si>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</si>
  <si>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</si>
  <si>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</si>
  <si>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</si>
  <si>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Выручка от реализации (за минусом возвратов)</t>
  </si>
  <si>
    <t>Прирост выручки (% к прошлому месяцу)</t>
  </si>
  <si>
    <t>Расходы</t>
  </si>
  <si>
    <t>Прирост расходов (% к прошлому месяцу)</t>
  </si>
  <si>
    <t>Переменные расходы</t>
  </si>
  <si>
    <t>Прирост перем. расходов (% к прошлому месяцу)</t>
  </si>
  <si>
    <t>Доля переменных расходов в расходах (%)</t>
  </si>
  <si>
    <t>Маржинальная прибыль</t>
  </si>
  <si>
    <t>Рентабельность маржинальной прибыли (%)</t>
  </si>
  <si>
    <t>Постоянные расходы</t>
  </si>
  <si>
    <t>Аренда</t>
  </si>
  <si>
    <t>Прирост пост. расходов (% к прошлому месяцу)</t>
  </si>
  <si>
    <t>Доля постоянных расходов в расходах (%)</t>
  </si>
  <si>
    <t>Рентабельность EBITDA (% от общей выручки)</t>
  </si>
  <si>
    <t>Прочие расходы</t>
  </si>
  <si>
    <t>Чистая прибыль</t>
  </si>
  <si>
    <t>Прибыль нарастающим итогом</t>
  </si>
  <si>
    <t>Рентабельность чистой прибыли (%)</t>
  </si>
  <si>
    <t>ОДДС 2025</t>
  </si>
  <si>
    <t>Деньги на начало</t>
  </si>
  <si>
    <t>Операционный денежный поток, итого</t>
  </si>
  <si>
    <t>Итого движение денег</t>
  </si>
  <si>
    <t>Базовый тариф</t>
  </si>
  <si>
    <t>Воронка продаж</t>
  </si>
  <si>
    <t xml:space="preserve">Конверсия в демонстрацию работы </t>
  </si>
  <si>
    <t xml:space="preserve">Конверсия в покупку после демонстрации </t>
  </si>
  <si>
    <t>Цена перехода на сайт</t>
  </si>
  <si>
    <t>Бюджет на маркетинг</t>
  </si>
  <si>
    <t>Лиды</t>
  </si>
  <si>
    <t>Отток</t>
  </si>
  <si>
    <t>ФОТ менеджеров поддержки</t>
  </si>
  <si>
    <t>Комиссии</t>
  </si>
  <si>
    <t>ФОТ разработка</t>
  </si>
  <si>
    <t>ФОТ административный персонал</t>
  </si>
  <si>
    <t>ФОТ отдел продаж</t>
  </si>
  <si>
    <t>Хостинг, лицензии, ИТ, связь</t>
  </si>
  <si>
    <t>Прочие операционные расходы</t>
  </si>
  <si>
    <t>Налоговая нагрузка</t>
  </si>
  <si>
    <t>ИТ-инфраструктура</t>
  </si>
  <si>
    <t>Приток по основной деятельности</t>
  </si>
  <si>
    <t>Ответы на вопросы</t>
  </si>
  <si>
    <t>1. Достаточно ли инвестиций в 80 млн для выхода сервиса на операционную прибыль и доработку?</t>
  </si>
  <si>
    <t>2. Как быстро с заложенными темпами роста компания сможет выйти на 3000 пользователей?</t>
  </si>
  <si>
    <t>3. Какой будет среднемесячная прибыль компании через 2 года?</t>
  </si>
  <si>
    <t>ОПИУ</t>
  </si>
  <si>
    <t>Статья</t>
  </si>
  <si>
    <t>Операционная прибыль</t>
  </si>
  <si>
    <t>Операционная прибыль нарастающим итогом</t>
  </si>
  <si>
    <t>Премиум-тариф</t>
  </si>
  <si>
    <t>Расширенный пакет</t>
  </si>
  <si>
    <t>Сопр. финансового эксперта</t>
  </si>
  <si>
    <t>Сопр. фин. эксперта</t>
  </si>
  <si>
    <t>Ежегодная индексация</t>
  </si>
  <si>
    <t>+100к ежемесячно</t>
  </si>
  <si>
    <t>Цена лида с рекламы</t>
  </si>
  <si>
    <t>ВХОДНЫЕ ДАННЫЕ для формул</t>
  </si>
  <si>
    <t>ФОТ продажи</t>
  </si>
  <si>
    <t>+3% от выручки</t>
  </si>
  <si>
    <t>ФОТ поддержка</t>
  </si>
  <si>
    <t>Налоги</t>
  </si>
  <si>
    <t>Хостинг</t>
  </si>
  <si>
    <t>+3%</t>
  </si>
  <si>
    <t>Демо в покупку</t>
  </si>
  <si>
    <t>Лиды в демо</t>
  </si>
  <si>
    <t>Активная база на минимальном тарифе</t>
  </si>
  <si>
    <t>Активная база на премиум тарифе</t>
  </si>
  <si>
    <t>Общая активная клиентская база</t>
  </si>
  <si>
    <t>РАСХОДЫ</t>
  </si>
  <si>
    <t>ПРОДАЖИ</t>
  </si>
  <si>
    <t>Инвестиции</t>
  </si>
  <si>
    <t>Среднемесячная прибыль компании за 1 и 2 год равна</t>
  </si>
  <si>
    <t>Среднемесячная прибыль компании за 2 год равна</t>
  </si>
  <si>
    <t>Нет. В начале второго года бизнес уходит в минус (конкретный месяц плавает из-за случайной величины, которую я добавила для симуляции реальных показателей. Можно потыкать на ширину какого-нибудь столбца и в реальном времени увидеть, какой примерно прогноз ждет сервис, если не опираться на конкретные значения). Сервис выходит на операционную прибыль только ближе к середине-концу третьего года работы.</t>
  </si>
  <si>
    <t>*можно было бы добавить больше случайности или регулируемый показатель дисперсии, но я поленилась</t>
  </si>
  <si>
    <t>За три года, которые смоделированы в этом документе, сервис не выходит на 3000 пользователей. Мы закладываем бюджет маркетинга до 3 млн рублей и примерный отток в 5-7%, и со временем прирост и отток начинают выравниваться, из-за чего активная база начинает выходить на "плато". Нужно масштабировать расходы на удержание клиентов и привлечение новых клиентов, поскольку сейчас клиенты приходят и не остаются.</t>
  </si>
  <si>
    <t>там справа графики
- - - - - &gt;</t>
  </si>
  <si>
    <t>1 год</t>
  </si>
  <si>
    <t>2 год</t>
  </si>
  <si>
    <t>3 год</t>
  </si>
  <si>
    <t>Деньги на конец месяца</t>
  </si>
  <si>
    <t>Потрачено с Р/с по основной деятельности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</si>
</sst>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\ _₽_-;\-* #,##0\ _₽_-;_-* &quot;-&quot;??\ _₽_-;_-@"/>
    <numFmt numFmtId="165" formatCode="#,##0;\ \-#,##0;\ \-"/>
    <numFmt numFmtId="166" formatCode="_-* #,##0\ [$₽-419]_-;\-* #,##0\ [$₽-419]_-;_-* &quot;-&quot;\ [$₽-419]_-;_-@_-"/>
    <numFmt numFmtId="167" formatCode="0%;\ \-0%;\ \-;\ \-"/>
    <numFmt numFmtId="168" formatCode="#,##0\ &quot;₽&quot;"/>
  </numFmts>
  <fonts count="11" x14ac:knownFonts="1">
    <font>
      <sz val="11"/>
      <color theme="1"/>
      <name val="Calibri"/>
      <scheme val="minor"/>
    </font>
    <font>
      <b/>
      <sz val="12"/>
      <color rgb="FF000000"/>
      <name val="Arial"/>
      <family val="2"/>
      <charset val="204"/>
    </font>
    <font>
      <sz val="11"/>
      <color theme="1"/>
      <name val="Calibri"/>
      <scheme val="minor"/>
    </font>
    <font>
      <sz val="12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sz val="11"/>
      <name val="Arial"/>
      <family val="2"/>
      <charset val="204"/>
    </font>
    <font>
      <b/>
      <sz val="16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i/>
      <sz val="12"/>
      <name val="Arial"/>
      <family val="2"/>
      <charset val="204"/>
    </font>
    <font>
      <b/>
      <sz val="16"/>
      <color theme="1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2" tint="-0.14999847407452621"/>
        <bgColor indexed="64"/>
      </patternFill>
    </fill>
    <fill>
      <patternFill patternType="solid">
        <fgColor theme="2" tint="-0.14999847407452621"/>
        <bgColor rgb="FF44A1A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C4E5E6"/>
      </patternFill>
    </fill>
    <fill>
      <patternFill patternType="solid">
        <fgColor theme="0" tint="-0.14999847407452621"/>
        <bgColor rgb="FF44A1A4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50">
    <xf numFmtId="0" fontId="0" fillId="0" borderId="0" xfId="0" applyFont="1" applyAlignment="1"/>
    <xf numFmtId="0" fontId="3" fillId="0" borderId="0" xfId="0" applyFont="1" applyAlignment="1"/>
    <xf numFmtId="0" fontId="3" fillId="0" borderId="0" xfId="0" applyFont="1" applyAlignment="1">
      <alignment wrapText="1"/>
    </xf>
    <xf numFmtId="0" fontId="5" fillId="0" borderId="0" xfId="0" applyFont="1"/>
    <xf numFmtId="0" fontId="5" fillId="0" borderId="0" xfId="0" applyFont="1" applyAlignment="1"/>
    <xf numFmtId="0" fontId="8" fillId="0" borderId="2" xfId="0" applyFont="1" applyBorder="1" applyAlignment="1">
      <alignment wrapText="1"/>
    </xf>
    <xf numFmtId="0" fontId="5" fillId="0" borderId="0" xfId="0" applyFont="1" applyFill="1"/>
    <xf numFmtId="0" fontId="8" fillId="0" borderId="2" xfId="0" applyFont="1" applyFill="1" applyBorder="1" applyAlignment="1">
      <alignment wrapText="1"/>
    </xf>
    <xf numFmtId="0" fontId="5" fillId="0" borderId="0" xfId="0" applyFont="1" applyFill="1" applyAlignment="1"/>
    <xf numFmtId="0" fontId="5" fillId="0" borderId="1" xfId="0" applyFont="1" applyBorder="1"/>
    <xf numFmtId="0" fontId="7" fillId="0" borderId="2" xfId="0" applyFont="1" applyFill="1" applyBorder="1" applyAlignment="1">
      <alignment wrapText="1"/>
    </xf>
    <xf numFmtId="0" fontId="8" fillId="0" borderId="2" xfId="0" applyFont="1" applyBorder="1"/>
    <xf numFmtId="0" fontId="5" fillId="0" borderId="1" xfId="0" applyFont="1" applyBorder="1" applyAlignment="1"/>
    <xf numFmtId="165" fontId="8" fillId="0" borderId="1" xfId="0" applyNumberFormat="1" applyFont="1" applyFill="1" applyBorder="1" applyAlignment="1">
      <alignment horizontal="right"/>
    </xf>
    <xf numFmtId="164" fontId="7" fillId="0" borderId="1" xfId="0" applyNumberFormat="1" applyFont="1" applyFill="1" applyBorder="1" applyAlignment="1">
      <alignment horizontal="center"/>
    </xf>
    <xf numFmtId="165" fontId="7" fillId="0" borderId="1" xfId="0" applyNumberFormat="1" applyFont="1" applyFill="1" applyBorder="1" applyAlignment="1">
      <alignment horizontal="right"/>
    </xf>
    <xf numFmtId="9" fontId="8" fillId="0" borderId="1" xfId="1" applyFont="1" applyFill="1" applyBorder="1" applyAlignment="1">
      <alignment horizontal="right"/>
    </xf>
    <xf numFmtId="0" fontId="7" fillId="3" borderId="2" xfId="0" applyFont="1" applyFill="1" applyBorder="1" applyAlignment="1">
      <alignment horizontal="center" wrapText="1"/>
    </xf>
    <xf numFmtId="164" fontId="7" fillId="3" borderId="1" xfId="0" applyNumberFormat="1" applyFont="1" applyFill="1" applyBorder="1" applyAlignment="1">
      <alignment horizontal="center"/>
    </xf>
    <xf numFmtId="164" fontId="7" fillId="3" borderId="2" xfId="0" applyNumberFormat="1" applyFont="1" applyFill="1" applyBorder="1" applyAlignment="1">
      <alignment horizontal="center"/>
    </xf>
    <xf numFmtId="165" fontId="8" fillId="0" borderId="2" xfId="0" applyNumberFormat="1" applyFont="1" applyFill="1" applyBorder="1" applyAlignment="1">
      <alignment horizontal="right"/>
    </xf>
    <xf numFmtId="164" fontId="7" fillId="3" borderId="3" xfId="0" applyNumberFormat="1" applyFont="1" applyFill="1" applyBorder="1" applyAlignment="1">
      <alignment horizontal="center"/>
    </xf>
    <xf numFmtId="165" fontId="8" fillId="0" borderId="3" xfId="0" applyNumberFormat="1" applyFont="1" applyFill="1" applyBorder="1" applyAlignment="1">
      <alignment horizontal="right"/>
    </xf>
    <xf numFmtId="0" fontId="8" fillId="0" borderId="5" xfId="0" applyFont="1" applyFill="1" applyBorder="1" applyAlignment="1">
      <alignment wrapText="1"/>
    </xf>
    <xf numFmtId="0" fontId="8" fillId="0" borderId="0" xfId="0" applyFont="1"/>
    <xf numFmtId="0" fontId="7" fillId="0" borderId="0" xfId="0" applyFont="1"/>
    <xf numFmtId="0" fontId="8" fillId="0" borderId="0" xfId="0" applyFont="1" applyAlignment="1"/>
    <xf numFmtId="0" fontId="8" fillId="2" borderId="0" xfId="0" applyFont="1" applyFill="1" applyAlignment="1"/>
    <xf numFmtId="49" fontId="8" fillId="0" borderId="2" xfId="0" applyNumberFormat="1" applyFont="1" applyBorder="1"/>
    <xf numFmtId="164" fontId="8" fillId="0" borderId="1" xfId="0" applyNumberFormat="1" applyFont="1" applyBorder="1"/>
    <xf numFmtId="164" fontId="8" fillId="0" borderId="2" xfId="0" applyNumberFormat="1" applyFont="1" applyBorder="1"/>
    <xf numFmtId="164" fontId="8" fillId="0" borderId="3" xfId="0" applyNumberFormat="1" applyFont="1" applyBorder="1"/>
    <xf numFmtId="9" fontId="8" fillId="0" borderId="4" xfId="0" applyNumberFormat="1" applyFont="1" applyFill="1" applyBorder="1"/>
    <xf numFmtId="9" fontId="8" fillId="0" borderId="5" xfId="0" applyNumberFormat="1" applyFont="1" applyFill="1" applyBorder="1"/>
    <xf numFmtId="9" fontId="9" fillId="0" borderId="4" xfId="0" applyNumberFormat="1" applyFont="1" applyFill="1" applyBorder="1"/>
    <xf numFmtId="9" fontId="9" fillId="0" borderId="5" xfId="0" applyNumberFormat="1" applyFont="1" applyFill="1" applyBorder="1"/>
    <xf numFmtId="9" fontId="9" fillId="0" borderId="6" xfId="0" applyNumberFormat="1" applyFont="1" applyFill="1" applyBorder="1"/>
    <xf numFmtId="166" fontId="8" fillId="0" borderId="0" xfId="0" applyNumberFormat="1" applyFont="1" applyAlignment="1"/>
    <xf numFmtId="0" fontId="8" fillId="0" borderId="1" xfId="0" applyFont="1" applyBorder="1"/>
    <xf numFmtId="0" fontId="8" fillId="0" borderId="2" xfId="0" applyFont="1" applyBorder="1" applyAlignment="1"/>
    <xf numFmtId="0" fontId="8" fillId="0" borderId="1" xfId="0" applyFont="1" applyBorder="1" applyAlignment="1"/>
    <xf numFmtId="9" fontId="9" fillId="0" borderId="1" xfId="0" applyNumberFormat="1" applyFont="1" applyFill="1" applyBorder="1"/>
    <xf numFmtId="9" fontId="9" fillId="0" borderId="2" xfId="0" applyNumberFormat="1" applyFont="1" applyFill="1" applyBorder="1"/>
    <xf numFmtId="9" fontId="9" fillId="0" borderId="3" xfId="0" applyNumberFormat="1" applyFont="1" applyFill="1" applyBorder="1"/>
    <xf numFmtId="0" fontId="8" fillId="0" borderId="1" xfId="0" applyFont="1" applyFill="1" applyBorder="1" applyAlignment="1"/>
    <xf numFmtId="165" fontId="7" fillId="0" borderId="2" xfId="0" applyNumberFormat="1" applyFont="1" applyFill="1" applyBorder="1" applyAlignment="1">
      <alignment horizontal="right"/>
    </xf>
    <xf numFmtId="165" fontId="7" fillId="0" borderId="3" xfId="0" applyNumberFormat="1" applyFont="1" applyFill="1" applyBorder="1" applyAlignment="1">
      <alignment horizontal="right"/>
    </xf>
    <xf numFmtId="9" fontId="8" fillId="0" borderId="2" xfId="1" applyFont="1" applyFill="1" applyBorder="1" applyAlignment="1">
      <alignment horizontal="right"/>
    </xf>
    <xf numFmtId="9" fontId="8" fillId="0" borderId="0" xfId="1" applyFont="1" applyFill="1"/>
    <xf numFmtId="0" fontId="8" fillId="0" borderId="1" xfId="0" applyFont="1" applyFill="1" applyBorder="1"/>
    <xf numFmtId="9" fontId="8" fillId="0" borderId="1" xfId="1" applyFont="1" applyFill="1" applyBorder="1"/>
    <xf numFmtId="168" fontId="3" fillId="0" borderId="1" xfId="0" applyNumberFormat="1" applyFont="1" applyBorder="1"/>
    <xf numFmtId="0" fontId="7" fillId="5" borderId="2" xfId="0" applyFont="1" applyFill="1" applyBorder="1" applyAlignment="1">
      <alignment wrapText="1"/>
    </xf>
    <xf numFmtId="165" fontId="7" fillId="5" borderId="1" xfId="0" applyNumberFormat="1" applyFont="1" applyFill="1" applyBorder="1" applyAlignment="1">
      <alignment horizontal="right"/>
    </xf>
    <xf numFmtId="165" fontId="7" fillId="5" borderId="2" xfId="0" applyNumberFormat="1" applyFont="1" applyFill="1" applyBorder="1" applyAlignment="1">
      <alignment horizontal="right"/>
    </xf>
    <xf numFmtId="165" fontId="7" fillId="5" borderId="3" xfId="0" applyNumberFormat="1" applyFont="1" applyFill="1" applyBorder="1" applyAlignment="1">
      <alignment horizontal="right"/>
    </xf>
    <xf numFmtId="0" fontId="8" fillId="4" borderId="0" xfId="0" applyFont="1" applyFill="1" applyAlignment="1"/>
    <xf numFmtId="0" fontId="6" fillId="0" borderId="5" xfId="0" applyFont="1" applyBorder="1" applyAlignment="1">
      <alignment vertical="center"/>
    </xf>
    <xf numFmtId="0" fontId="8" fillId="0" borderId="4" xfId="0" applyFont="1" applyBorder="1" applyAlignment="1"/>
    <xf numFmtId="0" fontId="8" fillId="0" borderId="4" xfId="0" applyFont="1" applyFill="1" applyBorder="1" applyAlignment="1"/>
    <xf numFmtId="9" fontId="8" fillId="0" borderId="4" xfId="1" applyFont="1" applyFill="1" applyBorder="1"/>
    <xf numFmtId="0" fontId="7" fillId="0" borderId="5" xfId="0" applyFont="1" applyFill="1" applyBorder="1" applyAlignment="1">
      <alignment wrapText="1"/>
    </xf>
    <xf numFmtId="0" fontId="8" fillId="0" borderId="5" xfId="0" applyFont="1" applyBorder="1"/>
    <xf numFmtId="0" fontId="8" fillId="0" borderId="0" xfId="0" quotePrefix="1" applyFont="1" applyAlignment="1"/>
    <xf numFmtId="0" fontId="8" fillId="0" borderId="1" xfId="0" applyFont="1" applyBorder="1" applyAlignment="1">
      <alignment wrapText="1"/>
    </xf>
    <xf numFmtId="0" fontId="8" fillId="0" borderId="1" xfId="0" applyFont="1" applyFill="1" applyBorder="1" applyAlignment="1">
      <alignment vertical="center" wrapText="1"/>
    </xf>
    <xf numFmtId="166" fontId="8" fillId="0" borderId="1" xfId="0" applyNumberFormat="1" applyFont="1" applyFill="1" applyBorder="1" applyAlignment="1"/>
    <xf numFmtId="168" fontId="3" fillId="0" borderId="1" xfId="0" applyNumberFormat="1" applyFont="1" applyFill="1" applyBorder="1"/>
    <xf numFmtId="9" fontId="8" fillId="0" borderId="0" xfId="0" quotePrefix="1" applyNumberFormat="1" applyFont="1" applyAlignment="1">
      <alignment horizontal="right"/>
    </xf>
    <xf numFmtId="167" fontId="9" fillId="0" borderId="1" xfId="0" applyNumberFormat="1" applyFont="1" applyFill="1" applyBorder="1"/>
    <xf numFmtId="0" fontId="8" fillId="0" borderId="1" xfId="0" applyFont="1" applyFill="1" applyBorder="1" applyAlignment="1">
      <alignment wrapText="1"/>
    </xf>
    <xf numFmtId="1" fontId="8" fillId="0" borderId="1" xfId="0" applyNumberFormat="1" applyFont="1" applyFill="1" applyBorder="1" applyAlignment="1">
      <alignment horizontal="right"/>
    </xf>
    <xf numFmtId="168" fontId="8" fillId="0" borderId="1" xfId="0" applyNumberFormat="1" applyFont="1" applyFill="1" applyBorder="1" applyAlignment="1">
      <alignment horizontal="right"/>
    </xf>
    <xf numFmtId="168" fontId="8" fillId="0" borderId="2" xfId="0" applyNumberFormat="1" applyFont="1" applyFill="1" applyBorder="1" applyAlignment="1">
      <alignment horizontal="right"/>
    </xf>
    <xf numFmtId="168" fontId="8" fillId="0" borderId="3" xfId="0" applyNumberFormat="1" applyFont="1" applyFill="1" applyBorder="1" applyAlignment="1">
      <alignment horizontal="right"/>
    </xf>
    <xf numFmtId="168" fontId="8" fillId="0" borderId="1" xfId="0" applyNumberFormat="1" applyFont="1" applyBorder="1" applyAlignment="1">
      <alignment horizontal="right"/>
    </xf>
    <xf numFmtId="168" fontId="8" fillId="0" borderId="2" xfId="0" applyNumberFormat="1" applyFont="1" applyBorder="1" applyAlignment="1">
      <alignment horizontal="right"/>
    </xf>
    <xf numFmtId="168" fontId="8" fillId="0" borderId="3" xfId="0" applyNumberFormat="1" applyFont="1" applyBorder="1" applyAlignment="1">
      <alignment horizontal="right"/>
    </xf>
    <xf numFmtId="168" fontId="7" fillId="5" borderId="1" xfId="0" applyNumberFormat="1" applyFont="1" applyFill="1" applyBorder="1" applyAlignment="1">
      <alignment horizontal="right"/>
    </xf>
    <xf numFmtId="168" fontId="7" fillId="5" borderId="2" xfId="0" applyNumberFormat="1" applyFont="1" applyFill="1" applyBorder="1" applyAlignment="1">
      <alignment horizontal="right"/>
    </xf>
    <xf numFmtId="168" fontId="7" fillId="5" borderId="3" xfId="0" applyNumberFormat="1" applyFont="1" applyFill="1" applyBorder="1" applyAlignment="1">
      <alignment horizontal="right"/>
    </xf>
    <xf numFmtId="168" fontId="8" fillId="0" borderId="4" xfId="0" applyNumberFormat="1" applyFont="1" applyBorder="1" applyAlignment="1">
      <alignment horizontal="right"/>
    </xf>
    <xf numFmtId="168" fontId="8" fillId="0" borderId="5" xfId="0" applyNumberFormat="1" applyFont="1" applyBorder="1" applyAlignment="1">
      <alignment horizontal="right"/>
    </xf>
    <xf numFmtId="168" fontId="7" fillId="0" borderId="1" xfId="0" applyNumberFormat="1" applyFont="1" applyFill="1" applyBorder="1" applyAlignment="1">
      <alignment horizontal="right"/>
    </xf>
    <xf numFmtId="168" fontId="7" fillId="0" borderId="2" xfId="0" applyNumberFormat="1" applyFont="1" applyFill="1" applyBorder="1" applyAlignment="1">
      <alignment horizontal="right"/>
    </xf>
    <xf numFmtId="9" fontId="7" fillId="0" borderId="1" xfId="1" applyFont="1" applyFill="1" applyBorder="1"/>
    <xf numFmtId="0" fontId="7" fillId="5" borderId="8" xfId="0" applyFont="1" applyFill="1" applyBorder="1" applyAlignment="1">
      <alignment wrapText="1"/>
    </xf>
    <xf numFmtId="165" fontId="7" fillId="5" borderId="7" xfId="0" applyNumberFormat="1" applyFont="1" applyFill="1" applyBorder="1" applyAlignment="1">
      <alignment horizontal="right"/>
    </xf>
    <xf numFmtId="165" fontId="7" fillId="5" borderId="8" xfId="0" applyNumberFormat="1" applyFont="1" applyFill="1" applyBorder="1" applyAlignment="1">
      <alignment horizontal="right"/>
    </xf>
    <xf numFmtId="165" fontId="7" fillId="5" borderId="9" xfId="0" applyNumberFormat="1" applyFont="1" applyFill="1" applyBorder="1" applyAlignment="1">
      <alignment horizontal="right"/>
    </xf>
    <xf numFmtId="0" fontId="8" fillId="4" borderId="7" xfId="0" applyFont="1" applyFill="1" applyBorder="1" applyAlignment="1"/>
    <xf numFmtId="168" fontId="7" fillId="5" borderId="7" xfId="0" applyNumberFormat="1" applyFont="1" applyFill="1" applyBorder="1" applyAlignment="1">
      <alignment horizontal="right"/>
    </xf>
    <xf numFmtId="168" fontId="7" fillId="5" borderId="8" xfId="0" applyNumberFormat="1" applyFont="1" applyFill="1" applyBorder="1" applyAlignment="1">
      <alignment horizontal="right"/>
    </xf>
    <xf numFmtId="168" fontId="7" fillId="5" borderId="9" xfId="0" applyNumberFormat="1" applyFont="1" applyFill="1" applyBorder="1" applyAlignment="1">
      <alignment horizontal="right"/>
    </xf>
    <xf numFmtId="0" fontId="7" fillId="0" borderId="1" xfId="0" applyFont="1" applyBorder="1" applyAlignment="1"/>
    <xf numFmtId="0" fontId="7" fillId="0" borderId="5" xfId="0" applyFont="1" applyBorder="1" applyAlignment="1">
      <alignment vertical="center"/>
    </xf>
    <xf numFmtId="0" fontId="7" fillId="0" borderId="2" xfId="0" applyFont="1" applyFill="1" applyBorder="1" applyAlignment="1"/>
    <xf numFmtId="0" fontId="5" fillId="0" borderId="4" xfId="0" applyFont="1" applyBorder="1"/>
    <xf numFmtId="0" fontId="5" fillId="0" borderId="4" xfId="0" applyFont="1" applyBorder="1" applyAlignment="1"/>
    <xf numFmtId="0" fontId="7" fillId="0" borderId="2" xfId="0" applyFont="1" applyFill="1" applyBorder="1" applyAlignment="1">
      <alignment horizontal="center"/>
    </xf>
    <xf numFmtId="0" fontId="5" fillId="4" borderId="0" xfId="0" applyFont="1" applyFill="1"/>
    <xf numFmtId="0" fontId="5" fillId="4" borderId="0" xfId="0" applyFont="1" applyFill="1" applyAlignment="1"/>
    <xf numFmtId="0" fontId="7" fillId="5" borderId="2" xfId="0" applyFont="1" applyFill="1" applyBorder="1"/>
    <xf numFmtId="0" fontId="7" fillId="0" borderId="2" xfId="0" applyFont="1" applyFill="1" applyBorder="1"/>
    <xf numFmtId="164" fontId="7" fillId="0" borderId="3" xfId="0" applyNumberFormat="1" applyFont="1" applyFill="1" applyBorder="1" applyAlignment="1">
      <alignment horizontal="center"/>
    </xf>
    <xf numFmtId="164" fontId="7" fillId="0" borderId="2" xfId="0" applyNumberFormat="1" applyFont="1" applyFill="1" applyBorder="1" applyAlignment="1">
      <alignment horizontal="center"/>
    </xf>
    <xf numFmtId="0" fontId="5" fillId="4" borderId="10" xfId="0" applyFont="1" applyFill="1" applyBorder="1"/>
    <xf numFmtId="0" fontId="7" fillId="6" borderId="11" xfId="0" applyFont="1" applyFill="1" applyBorder="1" applyAlignment="1">
      <alignment horizontal="center"/>
    </xf>
    <xf numFmtId="164" fontId="7" fillId="6" borderId="12" xfId="0" applyNumberFormat="1" applyFont="1" applyFill="1" applyBorder="1" applyAlignment="1">
      <alignment horizontal="center"/>
    </xf>
    <xf numFmtId="164" fontId="7" fillId="6" borderId="10" xfId="0" applyNumberFormat="1" applyFont="1" applyFill="1" applyBorder="1" applyAlignment="1">
      <alignment horizontal="center"/>
    </xf>
    <xf numFmtId="164" fontId="7" fillId="6" borderId="11" xfId="0" applyNumberFormat="1" applyFont="1" applyFill="1" applyBorder="1" applyAlignment="1">
      <alignment horizontal="center"/>
    </xf>
    <xf numFmtId="0" fontId="5" fillId="4" borderId="10" xfId="0" applyFont="1" applyFill="1" applyBorder="1" applyAlignment="1"/>
    <xf numFmtId="164" fontId="7" fillId="6" borderId="4" xfId="0" applyNumberFormat="1" applyFont="1" applyFill="1" applyBorder="1" applyAlignment="1">
      <alignment horizontal="center"/>
    </xf>
    <xf numFmtId="168" fontId="7" fillId="0" borderId="3" xfId="0" applyNumberFormat="1" applyFont="1" applyFill="1" applyBorder="1" applyAlignment="1">
      <alignment horizontal="right"/>
    </xf>
    <xf numFmtId="168" fontId="5" fillId="0" borderId="1" xfId="0" applyNumberFormat="1" applyFont="1" applyBorder="1" applyAlignment="1"/>
    <xf numFmtId="168" fontId="5" fillId="0" borderId="2" xfId="0" applyNumberFormat="1" applyFont="1" applyBorder="1" applyAlignment="1"/>
    <xf numFmtId="168" fontId="5" fillId="0" borderId="0" xfId="0" applyNumberFormat="1" applyFont="1" applyAlignment="1"/>
    <xf numFmtId="9" fontId="8" fillId="0" borderId="1" xfId="1" applyNumberFormat="1" applyFont="1" applyFill="1" applyBorder="1" applyAlignment="1">
      <alignment horizontal="right"/>
    </xf>
    <xf numFmtId="9" fontId="8" fillId="0" borderId="2" xfId="1" applyNumberFormat="1" applyFont="1" applyFill="1" applyBorder="1" applyAlignment="1">
      <alignment horizontal="right"/>
    </xf>
    <xf numFmtId="168" fontId="5" fillId="0" borderId="1" xfId="0" applyNumberFormat="1" applyFont="1" applyBorder="1"/>
    <xf numFmtId="0" fontId="5" fillId="4" borderId="4" xfId="0" applyFont="1" applyFill="1" applyBorder="1"/>
    <xf numFmtId="0" fontId="7" fillId="6" borderId="5" xfId="0" applyFont="1" applyFill="1" applyBorder="1" applyAlignment="1"/>
    <xf numFmtId="168" fontId="7" fillId="6" borderId="6" xfId="0" applyNumberFormat="1" applyFont="1" applyFill="1" applyBorder="1" applyAlignment="1">
      <alignment horizontal="right"/>
    </xf>
    <xf numFmtId="168" fontId="7" fillId="6" borderId="4" xfId="0" applyNumberFormat="1" applyFont="1" applyFill="1" applyBorder="1" applyAlignment="1">
      <alignment horizontal="right"/>
    </xf>
    <xf numFmtId="168" fontId="7" fillId="6" borderId="5" xfId="0" applyNumberFormat="1" applyFont="1" applyFill="1" applyBorder="1" applyAlignment="1">
      <alignment horizontal="right"/>
    </xf>
    <xf numFmtId="0" fontId="5" fillId="4" borderId="4" xfId="0" applyFont="1" applyFill="1" applyBorder="1" applyAlignment="1"/>
    <xf numFmtId="168" fontId="8" fillId="0" borderId="4" xfId="0" applyNumberFormat="1" applyFont="1" applyFill="1" applyBorder="1" applyAlignment="1">
      <alignment horizontal="right"/>
    </xf>
    <xf numFmtId="168" fontId="8" fillId="0" borderId="5" xfId="0" applyNumberFormat="1" applyFont="1" applyFill="1" applyBorder="1" applyAlignment="1">
      <alignment horizontal="right"/>
    </xf>
    <xf numFmtId="0" fontId="7" fillId="5" borderId="5" xfId="0" applyFont="1" applyFill="1" applyBorder="1"/>
    <xf numFmtId="168" fontId="7" fillId="5" borderId="4" xfId="0" applyNumberFormat="1" applyFont="1" applyFill="1" applyBorder="1" applyAlignment="1">
      <alignment horizontal="right"/>
    </xf>
    <xf numFmtId="168" fontId="7" fillId="5" borderId="5" xfId="0" applyNumberFormat="1" applyFont="1" applyFill="1" applyBorder="1" applyAlignment="1">
      <alignment horizontal="right"/>
    </xf>
    <xf numFmtId="0" fontId="7" fillId="6" borderId="11" xfId="0" applyFont="1" applyFill="1" applyBorder="1" applyAlignment="1"/>
    <xf numFmtId="168" fontId="7" fillId="6" borderId="10" xfId="0" applyNumberFormat="1" applyFont="1" applyFill="1" applyBorder="1" applyAlignment="1">
      <alignment horizontal="right"/>
    </xf>
    <xf numFmtId="168" fontId="7" fillId="4" borderId="10" xfId="0" applyNumberFormat="1" applyFont="1" applyFill="1" applyBorder="1" applyAlignment="1">
      <alignment horizontal="right"/>
    </xf>
    <xf numFmtId="168" fontId="7" fillId="4" borderId="11" xfId="0" applyNumberFormat="1" applyFont="1" applyFill="1" applyBorder="1" applyAlignment="1">
      <alignment horizontal="right"/>
    </xf>
    <xf numFmtId="168" fontId="5" fillId="4" borderId="10" xfId="0" applyNumberFormat="1" applyFont="1" applyFill="1" applyBorder="1"/>
    <xf numFmtId="168" fontId="5" fillId="4" borderId="10" xfId="0" applyNumberFormat="1" applyFont="1" applyFill="1" applyBorder="1" applyAlignment="1"/>
    <xf numFmtId="168" fontId="5" fillId="4" borderId="11" xfId="0" applyNumberFormat="1" applyFont="1" applyFill="1" applyBorder="1" applyAlignment="1"/>
    <xf numFmtId="0" fontId="5" fillId="4" borderId="7" xfId="0" applyFont="1" applyFill="1" applyBorder="1"/>
    <xf numFmtId="0" fontId="7" fillId="6" borderId="8" xfId="0" applyFont="1" applyFill="1" applyBorder="1"/>
    <xf numFmtId="168" fontId="7" fillId="6" borderId="7" xfId="0" applyNumberFormat="1" applyFont="1" applyFill="1" applyBorder="1" applyAlignment="1">
      <alignment horizontal="right"/>
    </xf>
    <xf numFmtId="168" fontId="7" fillId="6" borderId="8" xfId="0" applyNumberFormat="1" applyFont="1" applyFill="1" applyBorder="1" applyAlignment="1">
      <alignment horizontal="right"/>
    </xf>
    <xf numFmtId="0" fontId="5" fillId="4" borderId="7" xfId="0" applyFont="1" applyFill="1" applyBorder="1" applyAlignment="1"/>
    <xf numFmtId="0" fontId="1" fillId="0" borderId="0" xfId="0" applyFont="1" applyAlignment="1">
      <alignment horizontal="left" vertical="center" wrapText="1"/>
    </xf>
    <xf numFmtId="0" fontId="10" fillId="0" borderId="0" xfId="0" applyFont="1" applyAlignment="1">
      <alignment wrapText="1"/>
    </xf>
    <xf numFmtId="168" fontId="4" fillId="0" borderId="1" xfId="0" applyNumberFormat="1" applyFont="1" applyFill="1" applyBorder="1" applyAlignment="1">
      <alignment horizontal="right"/>
    </xf>
    <xf numFmtId="0" fontId="6" fillId="0" borderId="4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8" fillId="0" borderId="5" xfId="0" applyFont="1" applyBorder="1" applyAlignment="1">
      <alignment wrapText="1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Расходы переменные + постоянные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'ОПИУ (расчеты)'!$B$41</c:f>
              <c:strCache>
                <c:ptCount val="1"/>
                <c:pt idx="0">
                  <c:v>Переменные расходы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'ОПИУ (расчеты)'!$C$24:$AL$24</c:f>
              <c:strCache>
                <c:ptCount val="36"/>
                <c:pt idx="0">
                  <c:v> Январь</c:v>
                </c:pt>
                <c:pt idx="1">
                  <c:v> Февраль</c:v>
                </c:pt>
                <c:pt idx="2">
                  <c:v> Март</c:v>
                </c:pt>
                <c:pt idx="3">
                  <c:v> Апрель</c:v>
                </c:pt>
                <c:pt idx="4">
                  <c:v> Май</c:v>
                </c:pt>
                <c:pt idx="5">
                  <c:v> Июнь</c:v>
                </c:pt>
                <c:pt idx="6">
                  <c:v> Июль</c:v>
                </c:pt>
                <c:pt idx="7">
                  <c:v> Август</c:v>
                </c:pt>
                <c:pt idx="8">
                  <c:v> Сентябрь</c:v>
                </c:pt>
                <c:pt idx="9">
                  <c:v> Октябрь</c:v>
                </c:pt>
                <c:pt idx="10">
                  <c:v> Ноябрь</c:v>
                </c:pt>
                <c:pt idx="11">
                  <c:v> Декабрь</c:v>
                </c:pt>
                <c:pt idx="12">
                  <c:v> Январь</c:v>
                </c:pt>
                <c:pt idx="13">
                  <c:v> Февраль</c:v>
                </c:pt>
                <c:pt idx="14">
                  <c:v> Март</c:v>
                </c:pt>
                <c:pt idx="15">
                  <c:v> Апрель</c:v>
                </c:pt>
                <c:pt idx="16">
                  <c:v> Май</c:v>
                </c:pt>
                <c:pt idx="17">
                  <c:v> Июнь</c:v>
                </c:pt>
                <c:pt idx="18">
                  <c:v> Июль</c:v>
                </c:pt>
                <c:pt idx="19">
                  <c:v> Август</c:v>
                </c:pt>
                <c:pt idx="20">
                  <c:v> Сентябрь</c:v>
                </c:pt>
                <c:pt idx="21">
                  <c:v> Октябрь</c:v>
                </c:pt>
                <c:pt idx="22">
                  <c:v> Ноябрь</c:v>
                </c:pt>
                <c:pt idx="23">
                  <c:v> Декабрь</c:v>
                </c:pt>
                <c:pt idx="24">
                  <c:v> Январь</c:v>
                </c:pt>
                <c:pt idx="25">
                  <c:v> Февраль</c:v>
                </c:pt>
                <c:pt idx="26">
                  <c:v> Март</c:v>
                </c:pt>
                <c:pt idx="27">
                  <c:v> Апрель</c:v>
                </c:pt>
                <c:pt idx="28">
                  <c:v> Май</c:v>
                </c:pt>
                <c:pt idx="29">
                  <c:v> Июнь</c:v>
                </c:pt>
                <c:pt idx="30">
                  <c:v> Июль</c:v>
                </c:pt>
                <c:pt idx="31">
                  <c:v> Август</c:v>
                </c:pt>
                <c:pt idx="32">
                  <c:v> Сентябрь</c:v>
                </c:pt>
                <c:pt idx="33">
                  <c:v> Октябрь</c:v>
                </c:pt>
                <c:pt idx="34">
                  <c:v> Ноябрь</c:v>
                </c:pt>
                <c:pt idx="35">
                  <c:v> Декабрь</c:v>
                </c:pt>
              </c:strCache>
            </c:strRef>
          </c:cat>
          <c:val>
            <c:numRef>
              <c:f>'ОПИУ (расчеты)'!$C$41:$AL$41</c:f>
              <c:numCache>
                <c:formatCode>#\ ##0;\ \-#\ ##0;\ \-</c:formatCode>
                <c:ptCount val="36"/>
                <c:pt idx="0">
                  <c:v>1767635</c:v>
                </c:pt>
                <c:pt idx="1">
                  <c:v>1781477.5682397932</c:v>
                </c:pt>
                <c:pt idx="2">
                  <c:v>1853862.7534228028</c:v>
                </c:pt>
                <c:pt idx="3">
                  <c:v>1867628.9910110307</c:v>
                </c:pt>
                <c:pt idx="4">
                  <c:v>2043119.1038611671</c:v>
                </c:pt>
                <c:pt idx="5">
                  <c:v>2059377.9745977139</c:v>
                </c:pt>
                <c:pt idx="6">
                  <c:v>2136354.8602046026</c:v>
                </c:pt>
                <c:pt idx="7">
                  <c:v>2152392.7685620277</c:v>
                </c:pt>
                <c:pt idx="8">
                  <c:v>2327583.0153968902</c:v>
                </c:pt>
                <c:pt idx="9">
                  <c:v>2349806.850195413</c:v>
                </c:pt>
                <c:pt idx="10">
                  <c:v>2429646.3539671805</c:v>
                </c:pt>
                <c:pt idx="11">
                  <c:v>2612156.4227874009</c:v>
                </c:pt>
                <c:pt idx="12">
                  <c:v>2636295.7903655255</c:v>
                </c:pt>
                <c:pt idx="13">
                  <c:v>2719116.3151533594</c:v>
                </c:pt>
                <c:pt idx="14">
                  <c:v>2903029.6459943457</c:v>
                </c:pt>
                <c:pt idx="15">
                  <c:v>2924746.6115225768</c:v>
                </c:pt>
                <c:pt idx="16">
                  <c:v>3000988.2819302846</c:v>
                </c:pt>
                <c:pt idx="17">
                  <c:v>3189467.5709073842</c:v>
                </c:pt>
                <c:pt idx="18">
                  <c:v>3211235.8050644761</c:v>
                </c:pt>
                <c:pt idx="19">
                  <c:v>3292254.5436835801</c:v>
                </c:pt>
                <c:pt idx="20">
                  <c:v>3468784.2399075758</c:v>
                </c:pt>
                <c:pt idx="21">
                  <c:v>3488758.8194218162</c:v>
                </c:pt>
                <c:pt idx="22">
                  <c:v>3574168.4950880352</c:v>
                </c:pt>
                <c:pt idx="23">
                  <c:v>3586862.5375912837</c:v>
                </c:pt>
                <c:pt idx="24">
                  <c:v>3779918.3339766725</c:v>
                </c:pt>
                <c:pt idx="25">
                  <c:v>3854277.2514324142</c:v>
                </c:pt>
                <c:pt idx="26">
                  <c:v>3866644.4640842532</c:v>
                </c:pt>
                <c:pt idx="27">
                  <c:v>3883056.8412491875</c:v>
                </c:pt>
                <c:pt idx="28">
                  <c:v>4057282.2758757081</c:v>
                </c:pt>
                <c:pt idx="29">
                  <c:v>4078418.6915840395</c:v>
                </c:pt>
                <c:pt idx="30">
                  <c:v>4153468.3999798736</c:v>
                </c:pt>
                <c:pt idx="31">
                  <c:v>4162441.102227062</c:v>
                </c:pt>
                <c:pt idx="32">
                  <c:v>4168450.189911624</c:v>
                </c:pt>
                <c:pt idx="33">
                  <c:v>4338267.5057636565</c:v>
                </c:pt>
                <c:pt idx="34">
                  <c:v>4341487.1767081264</c:v>
                </c:pt>
                <c:pt idx="35">
                  <c:v>4348618.2552220132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6F-444B-A58E-A41F9D98B476}"/>
            </c:ext>
          </c:extLst>
        </c:ser>
        <c:ser>
          <c:idx val="1"/>
          <c:order val="1"/>
          <c:tx>
            <c:strRef>
              <c:f>'ОПИУ (расчеты)'!$B$48</c:f>
              <c:strCache>
                <c:ptCount val="1"/>
                <c:pt idx="0">
                  <c:v>Постоянные расходы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val>
            <c:numRef>
              <c:f>'ОПИУ (расчеты)'!$C$48:$AL$48</c:f>
              <c:numCache>
                <c:formatCode>#\ ##0;\ \-#\ ##0;\ \-</c:formatCode>
                <c:ptCount val="36"/>
                <c:pt idx="0">
                  <c:v>6283000</c:v>
                </c:pt>
                <c:pt idx="1">
                  <c:v>6383000</c:v>
                </c:pt>
                <c:pt idx="2">
                  <c:v>6483000</c:v>
                </c:pt>
                <c:pt idx="3">
                  <c:v>6583000</c:v>
                </c:pt>
                <c:pt idx="4">
                  <c:v>6683000</c:v>
                </c:pt>
                <c:pt idx="5">
                  <c:v>6783000</c:v>
                </c:pt>
                <c:pt idx="6">
                  <c:v>4883000</c:v>
                </c:pt>
                <c:pt idx="7">
                  <c:v>4983000</c:v>
                </c:pt>
                <c:pt idx="8">
                  <c:v>5083000</c:v>
                </c:pt>
                <c:pt idx="9">
                  <c:v>5183000</c:v>
                </c:pt>
                <c:pt idx="10">
                  <c:v>5283000</c:v>
                </c:pt>
                <c:pt idx="11">
                  <c:v>5383000</c:v>
                </c:pt>
                <c:pt idx="12">
                  <c:v>5483000</c:v>
                </c:pt>
                <c:pt idx="13">
                  <c:v>5583000</c:v>
                </c:pt>
                <c:pt idx="14">
                  <c:v>5683000</c:v>
                </c:pt>
                <c:pt idx="15">
                  <c:v>5783000</c:v>
                </c:pt>
                <c:pt idx="16">
                  <c:v>5883000</c:v>
                </c:pt>
                <c:pt idx="17">
                  <c:v>5983000</c:v>
                </c:pt>
                <c:pt idx="18">
                  <c:v>6083000</c:v>
                </c:pt>
                <c:pt idx="19">
                  <c:v>6183000</c:v>
                </c:pt>
                <c:pt idx="20">
                  <c:v>6283000</c:v>
                </c:pt>
                <c:pt idx="21">
                  <c:v>6283000</c:v>
                </c:pt>
                <c:pt idx="22">
                  <c:v>6283000</c:v>
                </c:pt>
                <c:pt idx="23">
                  <c:v>6283000</c:v>
                </c:pt>
                <c:pt idx="24">
                  <c:v>6283000</c:v>
                </c:pt>
                <c:pt idx="25">
                  <c:v>6283000</c:v>
                </c:pt>
                <c:pt idx="26">
                  <c:v>6283000</c:v>
                </c:pt>
                <c:pt idx="27">
                  <c:v>6283000</c:v>
                </c:pt>
                <c:pt idx="28">
                  <c:v>6283000</c:v>
                </c:pt>
                <c:pt idx="29">
                  <c:v>6283000</c:v>
                </c:pt>
                <c:pt idx="30">
                  <c:v>6283000</c:v>
                </c:pt>
                <c:pt idx="31">
                  <c:v>6283000</c:v>
                </c:pt>
                <c:pt idx="32">
                  <c:v>6283000</c:v>
                </c:pt>
                <c:pt idx="33">
                  <c:v>6283000</c:v>
                </c:pt>
                <c:pt idx="34">
                  <c:v>6283000</c:v>
                </c:pt>
                <c:pt idx="35">
                  <c:v>6283000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6F-444B-A58E-A41F9D98B4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8977919"/>
        <c:axId val="1898981247"/>
      </c:areaChart>
      <c:catAx>
        <c:axId val="189897791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98981247"/>
        <c:crosses val="autoZero"/>
        <c:auto val="1"/>
        <c:lblAlgn val="ctr"/>
        <c:lblOffset val="100"/>
        <c:noMultiLvlLbl val="0"/>
      </c:catAx>
      <c:valAx>
        <c:axId val="1898981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;\ \-#\ ##0;\ 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98977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Чистая прибыль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'ОПИУ (расчеты)'!$B$34</c:f>
              <c:strCache>
                <c:ptCount val="1"/>
                <c:pt idx="0">
                  <c:v>Чистая прибыль</c:v>
                </c:pt>
              </c:strCache>
            </c:strRef>
          </c:tx>
          <c:marker>
            <c:symbol val="none"/>
          </c:marker>
          <c:cat>
            <c:strRef>
              <c:f>'ОПИУ (расчеты)'!$C$24:$AL$24</c:f>
              <c:strCache>
                <c:ptCount val="36"/>
                <c:pt idx="0">
                  <c:v> Январь</c:v>
                </c:pt>
                <c:pt idx="1">
                  <c:v> Февраль</c:v>
                </c:pt>
                <c:pt idx="2">
                  <c:v> Март</c:v>
                </c:pt>
                <c:pt idx="3">
                  <c:v> Апрель</c:v>
                </c:pt>
                <c:pt idx="4">
                  <c:v> Май</c:v>
                </c:pt>
                <c:pt idx="5">
                  <c:v> Июнь</c:v>
                </c:pt>
                <c:pt idx="6">
                  <c:v> Июль</c:v>
                </c:pt>
                <c:pt idx="7">
                  <c:v> Август</c:v>
                </c:pt>
                <c:pt idx="8">
                  <c:v> Сентябрь</c:v>
                </c:pt>
                <c:pt idx="9">
                  <c:v> Октябрь</c:v>
                </c:pt>
                <c:pt idx="10">
                  <c:v> Ноябрь</c:v>
                </c:pt>
                <c:pt idx="11">
                  <c:v> Декабрь</c:v>
                </c:pt>
                <c:pt idx="12">
                  <c:v> Январь</c:v>
                </c:pt>
                <c:pt idx="13">
                  <c:v> Февраль</c:v>
                </c:pt>
                <c:pt idx="14">
                  <c:v> Март</c:v>
                </c:pt>
                <c:pt idx="15">
                  <c:v> Апрель</c:v>
                </c:pt>
                <c:pt idx="16">
                  <c:v> Май</c:v>
                </c:pt>
                <c:pt idx="17">
                  <c:v> Июнь</c:v>
                </c:pt>
                <c:pt idx="18">
                  <c:v> Июль</c:v>
                </c:pt>
                <c:pt idx="19">
                  <c:v> Август</c:v>
                </c:pt>
                <c:pt idx="20">
                  <c:v> Сентябрь</c:v>
                </c:pt>
                <c:pt idx="21">
                  <c:v> Октябрь</c:v>
                </c:pt>
                <c:pt idx="22">
                  <c:v> Ноябрь</c:v>
                </c:pt>
                <c:pt idx="23">
                  <c:v> Декабрь</c:v>
                </c:pt>
                <c:pt idx="24">
                  <c:v> Январь</c:v>
                </c:pt>
                <c:pt idx="25">
                  <c:v> Февраль</c:v>
                </c:pt>
                <c:pt idx="26">
                  <c:v> Март</c:v>
                </c:pt>
                <c:pt idx="27">
                  <c:v> Апрель</c:v>
                </c:pt>
                <c:pt idx="28">
                  <c:v> Май</c:v>
                </c:pt>
                <c:pt idx="29">
                  <c:v> Июнь</c:v>
                </c:pt>
                <c:pt idx="30">
                  <c:v> Июль</c:v>
                </c:pt>
                <c:pt idx="31">
                  <c:v> Август</c:v>
                </c:pt>
                <c:pt idx="32">
                  <c:v> Сентябрь</c:v>
                </c:pt>
                <c:pt idx="33">
                  <c:v> Октябрь</c:v>
                </c:pt>
                <c:pt idx="34">
                  <c:v> Ноябрь</c:v>
                </c:pt>
                <c:pt idx="35">
                  <c:v> Декабрь</c:v>
                </c:pt>
              </c:strCache>
            </c:strRef>
          </c:cat>
          <c:val>
            <c:numRef>
              <c:f>'ОПИУ (расчеты)'!$C$34:$AL$34</c:f>
              <c:numCache>
                <c:formatCode>#\ ##0\ "₽"</c:formatCode>
                <c:ptCount val="36"/>
                <c:pt idx="0">
                  <c:v>-7913205</c:v>
                </c:pt>
                <c:pt idx="1">
                  <c:v>-7777881.3399235141</c:v>
                </c:pt>
                <c:pt idx="2">
                  <c:v>-7727333.1918123523</c:v>
                </c:pt>
                <c:pt idx="3">
                  <c:v>-7593307.1528124781</c:v>
                </c:pt>
                <c:pt idx="4">
                  <c:v>-7589975.234360164</c:v>
                </c:pt>
                <c:pt idx="5">
                  <c:v>-7413574.4318388598</c:v>
                </c:pt>
                <c:pt idx="6">
                  <c:v>-5284967.3765217625</c:v>
                </c:pt>
                <c:pt idx="7">
                  <c:v>-5112322.9344455246</c:v>
                </c:pt>
                <c:pt idx="8">
                  <c:v>-5114088.7382528633</c:v>
                </c:pt>
                <c:pt idx="9">
                  <c:v>-4836283.5466779759</c:v>
                </c:pt>
                <c:pt idx="10">
                  <c:v>-4659011.9825579273</c:v>
                </c:pt>
                <c:pt idx="11">
                  <c:v>-4536340.8126141839</c:v>
                </c:pt>
                <c:pt idx="12">
                  <c:v>-4225971.5637860661</c:v>
                </c:pt>
                <c:pt idx="13">
                  <c:v>-3998022.6423928887</c:v>
                </c:pt>
                <c:pt idx="14">
                  <c:v>-3851496.0180961229</c:v>
                </c:pt>
                <c:pt idx="15">
                  <c:v>-3582307.6041161958</c:v>
                </c:pt>
                <c:pt idx="16">
                  <c:v>-3466199.2071851706</c:v>
                </c:pt>
                <c:pt idx="17">
                  <c:v>-3242051.2945744637</c:v>
                </c:pt>
                <c:pt idx="18">
                  <c:v>-2971991.3139039092</c:v>
                </c:pt>
                <c:pt idx="19">
                  <c:v>-2774672.7573791314</c:v>
                </c:pt>
                <c:pt idx="20">
                  <c:v>-2753667.9215712063</c:v>
                </c:pt>
                <c:pt idx="21">
                  <c:v>-2414100.0698291222</c:v>
                </c:pt>
                <c:pt idx="22">
                  <c:v>-2042135.5835033972</c:v>
                </c:pt>
                <c:pt idx="23">
                  <c:v>-1826336.8609481826</c:v>
                </c:pt>
                <c:pt idx="24">
                  <c:v>-1424388.3223965634</c:v>
                </c:pt>
                <c:pt idx="25">
                  <c:v>-1240286.7256489601</c:v>
                </c:pt>
                <c:pt idx="26">
                  <c:v>-1030044.1105677001</c:v>
                </c:pt>
                <c:pt idx="27">
                  <c:v>-751033.69876381196</c:v>
                </c:pt>
                <c:pt idx="28">
                  <c:v>-669201.3101129625</c:v>
                </c:pt>
                <c:pt idx="29">
                  <c:v>-309882.24307133816</c:v>
                </c:pt>
                <c:pt idx="30">
                  <c:v>-114037.20034214854</c:v>
                </c:pt>
                <c:pt idx="31">
                  <c:v>38498.73786004819</c:v>
                </c:pt>
                <c:pt idx="32">
                  <c:v>140653.22849761136</c:v>
                </c:pt>
                <c:pt idx="33">
                  <c:v>147547.59798216633</c:v>
                </c:pt>
                <c:pt idx="34">
                  <c:v>202282.00403815508</c:v>
                </c:pt>
                <c:pt idx="35">
                  <c:v>323510.33877423219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E41-4FA9-83E8-2BED7A2EEC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8977919"/>
        <c:axId val="1898981247"/>
      </c:lineChart>
      <c:catAx>
        <c:axId val="189897791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98981247"/>
        <c:crosses val="autoZero"/>
        <c:auto val="1"/>
        <c:lblAlgn val="ctr"/>
        <c:lblOffset val="100"/>
        <c:noMultiLvlLbl val="0"/>
      </c:catAx>
      <c:valAx>
        <c:axId val="1898981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\ &quot;₽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98977919"/>
        <c:crosses val="autoZero"/>
        <c:crossBetween val="between"/>
      </c:valAx>
    </c:plotArea>
    <c:plotVisOnly val="1"/>
    <c:dispBlanksAs val="zero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Приток и отток пользователей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'ОПИУ (расчеты)'!$B$71</c:f>
              <c:strCache>
                <c:ptCount val="1"/>
                <c:pt idx="0">
                  <c:v>Демо в покупку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'ОПИУ (расчеты)'!$C$24:$AL$24</c:f>
              <c:strCache>
                <c:ptCount val="36"/>
                <c:pt idx="0">
                  <c:v> Январь</c:v>
                </c:pt>
                <c:pt idx="1">
                  <c:v> Февраль</c:v>
                </c:pt>
                <c:pt idx="2">
                  <c:v> Март</c:v>
                </c:pt>
                <c:pt idx="3">
                  <c:v> Апрель</c:v>
                </c:pt>
                <c:pt idx="4">
                  <c:v> Май</c:v>
                </c:pt>
                <c:pt idx="5">
                  <c:v> Июнь</c:v>
                </c:pt>
                <c:pt idx="6">
                  <c:v> Июль</c:v>
                </c:pt>
                <c:pt idx="7">
                  <c:v> Август</c:v>
                </c:pt>
                <c:pt idx="8">
                  <c:v> Сентябрь</c:v>
                </c:pt>
                <c:pt idx="9">
                  <c:v> Октябрь</c:v>
                </c:pt>
                <c:pt idx="10">
                  <c:v> Ноябрь</c:v>
                </c:pt>
                <c:pt idx="11">
                  <c:v> Декабрь</c:v>
                </c:pt>
                <c:pt idx="12">
                  <c:v> Январь</c:v>
                </c:pt>
                <c:pt idx="13">
                  <c:v> Февраль</c:v>
                </c:pt>
                <c:pt idx="14">
                  <c:v> Март</c:v>
                </c:pt>
                <c:pt idx="15">
                  <c:v> Апрель</c:v>
                </c:pt>
                <c:pt idx="16">
                  <c:v> Май</c:v>
                </c:pt>
                <c:pt idx="17">
                  <c:v> Июнь</c:v>
                </c:pt>
                <c:pt idx="18">
                  <c:v> Июль</c:v>
                </c:pt>
                <c:pt idx="19">
                  <c:v> Август</c:v>
                </c:pt>
                <c:pt idx="20">
                  <c:v> Сентябрь</c:v>
                </c:pt>
                <c:pt idx="21">
                  <c:v> Октябрь</c:v>
                </c:pt>
                <c:pt idx="22">
                  <c:v> Ноябрь</c:v>
                </c:pt>
                <c:pt idx="23">
                  <c:v> Декабрь</c:v>
                </c:pt>
                <c:pt idx="24">
                  <c:v> Январь</c:v>
                </c:pt>
                <c:pt idx="25">
                  <c:v> Февраль</c:v>
                </c:pt>
                <c:pt idx="26">
                  <c:v> Март</c:v>
                </c:pt>
                <c:pt idx="27">
                  <c:v> Апрель</c:v>
                </c:pt>
                <c:pt idx="28">
                  <c:v> Май</c:v>
                </c:pt>
                <c:pt idx="29">
                  <c:v> Июнь</c:v>
                </c:pt>
                <c:pt idx="30">
                  <c:v> Июль</c:v>
                </c:pt>
                <c:pt idx="31">
                  <c:v> Август</c:v>
                </c:pt>
                <c:pt idx="32">
                  <c:v> Сентябрь</c:v>
                </c:pt>
                <c:pt idx="33">
                  <c:v> Октябрь</c:v>
                </c:pt>
                <c:pt idx="34">
                  <c:v> Ноябрь</c:v>
                </c:pt>
                <c:pt idx="35">
                  <c:v> Декабрь</c:v>
                </c:pt>
              </c:strCache>
            </c:strRef>
          </c:cat>
          <c:val>
            <c:numRef>
              <c:f>'ОПИУ (расчеты)'!$C$71:$AL$71</c:f>
              <c:numCache>
                <c:formatCode>#\ ##0;\ \-#\ ##0;\ \-</c:formatCode>
                <c:ptCount val="36"/>
                <c:pt idx="0">
                  <c:v>45.833333333333336</c:v>
                </c:pt>
                <c:pt idx="1">
                  <c:v>43.999999999999993</c:v>
                </c:pt>
                <c:pt idx="2">
                  <c:v>51.199999999999989</c:v>
                </c:pt>
                <c:pt idx="3">
                  <c:v>58.93333333333333</c:v>
                </c:pt>
                <c:pt idx="4">
                  <c:v>64.166666666666671</c:v>
                </c:pt>
                <c:pt idx="5">
                  <c:v>69.333333333333343</c:v>
                </c:pt>
                <c:pt idx="6">
                  <c:v>69.333333333333329</c:v>
                </c:pt>
                <c:pt idx="7">
                  <c:v>69.51111111111112</c:v>
                </c:pt>
                <c:pt idx="8">
                  <c:v>94.5</c:v>
                </c:pt>
                <c:pt idx="9">
                  <c:v>88.666666666666671</c:v>
                </c:pt>
                <c:pt idx="10">
                  <c:v>102.66666666666669</c:v>
                </c:pt>
                <c:pt idx="11">
                  <c:v>94.500000000000014</c:v>
                </c:pt>
                <c:pt idx="12">
                  <c:v>109.51111111111112</c:v>
                </c:pt>
                <c:pt idx="13">
                  <c:v>117.30000000000003</c:v>
                </c:pt>
                <c:pt idx="14">
                  <c:v>114.4</c:v>
                </c:pt>
                <c:pt idx="15">
                  <c:v>104.16666666666667</c:v>
                </c:pt>
                <c:pt idx="16">
                  <c:v>145.6</c:v>
                </c:pt>
                <c:pt idx="17">
                  <c:v>125.55</c:v>
                </c:pt>
                <c:pt idx="18">
                  <c:v>126.93333333333335</c:v>
                </c:pt>
                <c:pt idx="19">
                  <c:v>116.96666666666668</c:v>
                </c:pt>
                <c:pt idx="20">
                  <c:v>130.33333333333334</c:v>
                </c:pt>
                <c:pt idx="21">
                  <c:v>151.66666666666666</c:v>
                </c:pt>
                <c:pt idx="22">
                  <c:v>115.00000000000001</c:v>
                </c:pt>
                <c:pt idx="23">
                  <c:v>148.50000000000003</c:v>
                </c:pt>
                <c:pt idx="24">
                  <c:v>128</c:v>
                </c:pt>
                <c:pt idx="25">
                  <c:v>124.66666666666669</c:v>
                </c:pt>
                <c:pt idx="26">
                  <c:v>139.50000000000003</c:v>
                </c:pt>
                <c:pt idx="27">
                  <c:v>137.5</c:v>
                </c:pt>
                <c:pt idx="28">
                  <c:v>163.33333333333334</c:v>
                </c:pt>
                <c:pt idx="29">
                  <c:v>144.00000000000003</c:v>
                </c:pt>
                <c:pt idx="30">
                  <c:v>129.16666666666669</c:v>
                </c:pt>
                <c:pt idx="31">
                  <c:v>122.66666666666669</c:v>
                </c:pt>
                <c:pt idx="32">
                  <c:v>137.5</c:v>
                </c:pt>
                <c:pt idx="33">
                  <c:v>121.00000000000001</c:v>
                </c:pt>
                <c:pt idx="34">
                  <c:v>135</c:v>
                </c:pt>
                <c:pt idx="35">
                  <c:v>124.66666666666669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9D-4D8E-A266-D74485F8A02D}"/>
            </c:ext>
          </c:extLst>
        </c:ser>
        <c:ser>
          <c:idx val="1"/>
          <c:order val="1"/>
          <c:tx>
            <c:strRef>
              <c:f>'ОПИУ (расчеты)'!$B$72</c:f>
              <c:strCache>
                <c:ptCount val="1"/>
                <c:pt idx="0">
                  <c:v>Отток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val>
            <c:numRef>
              <c:f>'ОПИУ (расчеты)'!$C$72:$AL$72</c:f>
              <c:numCache>
                <c:formatCode>#\ ##0;\ \-#\ ##0;\ \-</c:formatCode>
                <c:ptCount val="36"/>
                <c:pt idx="0">
                  <c:v>1.8188079285851624</c:v>
                </c:pt>
                <c:pt idx="1">
                  <c:v>4.619442979301982</c:v>
                </c:pt>
                <c:pt idx="2">
                  <c:v>7.4281793697045515</c:v>
                </c:pt>
                <c:pt idx="3">
                  <c:v>9.6801923154123255</c:v>
                </c:pt>
                <c:pt idx="4">
                  <c:v>12.469144451890006</c:v>
                </c:pt>
                <c:pt idx="5">
                  <c:v>15.352774964849774</c:v>
                </c:pt>
                <c:pt idx="6">
                  <c:v>18.338394200024339</c:v>
                </c:pt>
                <c:pt idx="7">
                  <c:v>21.211439140165343</c:v>
                </c:pt>
                <c:pt idx="8">
                  <c:v>23.835978383075382</c:v>
                </c:pt>
                <c:pt idx="9">
                  <c:v>25.583983767564654</c:v>
                </c:pt>
                <c:pt idx="10">
                  <c:v>31.092520974392553</c:v>
                </c:pt>
                <c:pt idx="11">
                  <c:v>34.045216062523437</c:v>
                </c:pt>
                <c:pt idx="12">
                  <c:v>38.672915277387887</c:v>
                </c:pt>
                <c:pt idx="13">
                  <c:v>43.069576777941286</c:v>
                </c:pt>
                <c:pt idx="14">
                  <c:v>46.987411056243857</c:v>
                </c:pt>
                <c:pt idx="15">
                  <c:v>53.750182396272884</c:v>
                </c:pt>
                <c:pt idx="16">
                  <c:v>57.196185078068218</c:v>
                </c:pt>
                <c:pt idx="17">
                  <c:v>57.978265847923396</c:v>
                </c:pt>
                <c:pt idx="18">
                  <c:v>61.68814128272156</c:v>
                </c:pt>
                <c:pt idx="19">
                  <c:v>65.656108777498716</c:v>
                </c:pt>
                <c:pt idx="20">
                  <c:v>68.32936153684004</c:v>
                </c:pt>
                <c:pt idx="21">
                  <c:v>72.791373585123651</c:v>
                </c:pt>
                <c:pt idx="22">
                  <c:v>75.595863717994945</c:v>
                </c:pt>
                <c:pt idx="23">
                  <c:v>81.426564387586836</c:v>
                </c:pt>
                <c:pt idx="24">
                  <c:v>84.492018271877484</c:v>
                </c:pt>
                <c:pt idx="25">
                  <c:v>87.193614555147221</c:v>
                </c:pt>
                <c:pt idx="26">
                  <c:v>89.769969305972339</c:v>
                </c:pt>
                <c:pt idx="27">
                  <c:v>94.396475537730183</c:v>
                </c:pt>
                <c:pt idx="28">
                  <c:v>99.289313909824941</c:v>
                </c:pt>
                <c:pt idx="29">
                  <c:v>98.398899504938868</c:v>
                </c:pt>
                <c:pt idx="30">
                  <c:v>101.97909026156353</c:v>
                </c:pt>
                <c:pt idx="31">
                  <c:v>104.45893770739951</c:v>
                </c:pt>
                <c:pt idx="32">
                  <c:v>107.75321720624197</c:v>
                </c:pt>
                <c:pt idx="33">
                  <c:v>111.24429348143146</c:v>
                </c:pt>
                <c:pt idx="34">
                  <c:v>113.39260274040086</c:v>
                </c:pt>
                <c:pt idx="35">
                  <c:v>113.30409314609469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9D-4D8E-A266-D74485F8A0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8977919"/>
        <c:axId val="1898981247"/>
      </c:areaChart>
      <c:catAx>
        <c:axId val="189897791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98981247"/>
        <c:crosses val="autoZero"/>
        <c:auto val="1"/>
        <c:lblAlgn val="ctr"/>
        <c:lblOffset val="100"/>
        <c:noMultiLvlLbl val="0"/>
      </c:catAx>
      <c:valAx>
        <c:axId val="1898981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;\ \-#\ ##0;\ 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98977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Активная клиентская база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'ОПИУ (расчеты)'!$B$75</c:f>
              <c:strCache>
                <c:ptCount val="1"/>
                <c:pt idx="0">
                  <c:v>Общая активная клиентская база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'ОПИУ (расчеты)'!$C$24:$AL$24</c:f>
              <c:strCache>
                <c:ptCount val="36"/>
                <c:pt idx="0">
                  <c:v> Январь</c:v>
                </c:pt>
                <c:pt idx="1">
                  <c:v> Февраль</c:v>
                </c:pt>
                <c:pt idx="2">
                  <c:v> Март</c:v>
                </c:pt>
                <c:pt idx="3">
                  <c:v> Апрель</c:v>
                </c:pt>
                <c:pt idx="4">
                  <c:v> Май</c:v>
                </c:pt>
                <c:pt idx="5">
                  <c:v> Июнь</c:v>
                </c:pt>
                <c:pt idx="6">
                  <c:v> Июль</c:v>
                </c:pt>
                <c:pt idx="7">
                  <c:v> Август</c:v>
                </c:pt>
                <c:pt idx="8">
                  <c:v> Сентябрь</c:v>
                </c:pt>
                <c:pt idx="9">
                  <c:v> Октябрь</c:v>
                </c:pt>
                <c:pt idx="10">
                  <c:v> Ноябрь</c:v>
                </c:pt>
                <c:pt idx="11">
                  <c:v> Декабрь</c:v>
                </c:pt>
                <c:pt idx="12">
                  <c:v> Январь</c:v>
                </c:pt>
                <c:pt idx="13">
                  <c:v> Февраль</c:v>
                </c:pt>
                <c:pt idx="14">
                  <c:v> Март</c:v>
                </c:pt>
                <c:pt idx="15">
                  <c:v> Апрель</c:v>
                </c:pt>
                <c:pt idx="16">
                  <c:v> Май</c:v>
                </c:pt>
                <c:pt idx="17">
                  <c:v> Июнь</c:v>
                </c:pt>
                <c:pt idx="18">
                  <c:v> Июль</c:v>
                </c:pt>
                <c:pt idx="19">
                  <c:v> Август</c:v>
                </c:pt>
                <c:pt idx="20">
                  <c:v> Сентябрь</c:v>
                </c:pt>
                <c:pt idx="21">
                  <c:v> Октябрь</c:v>
                </c:pt>
                <c:pt idx="22">
                  <c:v> Ноябрь</c:v>
                </c:pt>
                <c:pt idx="23">
                  <c:v> Декабрь</c:v>
                </c:pt>
                <c:pt idx="24">
                  <c:v> Январь</c:v>
                </c:pt>
                <c:pt idx="25">
                  <c:v> Февраль</c:v>
                </c:pt>
                <c:pt idx="26">
                  <c:v> Март</c:v>
                </c:pt>
                <c:pt idx="27">
                  <c:v> Апрель</c:v>
                </c:pt>
                <c:pt idx="28">
                  <c:v> Май</c:v>
                </c:pt>
                <c:pt idx="29">
                  <c:v> Июнь</c:v>
                </c:pt>
                <c:pt idx="30">
                  <c:v> Июль</c:v>
                </c:pt>
                <c:pt idx="31">
                  <c:v> Август</c:v>
                </c:pt>
                <c:pt idx="32">
                  <c:v> Сентябрь</c:v>
                </c:pt>
                <c:pt idx="33">
                  <c:v> Октябрь</c:v>
                </c:pt>
                <c:pt idx="34">
                  <c:v> Ноябрь</c:v>
                </c:pt>
                <c:pt idx="35">
                  <c:v> Декабрь</c:v>
                </c:pt>
              </c:strCache>
            </c:strRef>
          </c:cat>
          <c:val>
            <c:numRef>
              <c:f>'ОПИУ (расчеты)'!$C$75:$AL$75</c:f>
              <c:numCache>
                <c:formatCode>#\ ##0;\ \-#\ ##0;\ \-</c:formatCode>
                <c:ptCount val="36"/>
                <c:pt idx="0">
                  <c:v>30</c:v>
                </c:pt>
                <c:pt idx="1">
                  <c:v>74.014525404748184</c:v>
                </c:pt>
                <c:pt idx="2">
                  <c:v>113.39508242544618</c:v>
                </c:pt>
                <c:pt idx="3">
                  <c:v>157.16690305574161</c:v>
                </c:pt>
                <c:pt idx="4">
                  <c:v>206.42004407366261</c:v>
                </c:pt>
                <c:pt idx="5">
                  <c:v>258.11756628843926</c:v>
                </c:pt>
                <c:pt idx="6">
                  <c:v>312.09812465692283</c:v>
                </c:pt>
                <c:pt idx="7">
                  <c:v>363.09306379023184</c:v>
                </c:pt>
                <c:pt idx="8">
                  <c:v>411.39273576117762</c:v>
                </c:pt>
                <c:pt idx="9">
                  <c:v>482.05675737810225</c:v>
                </c:pt>
                <c:pt idx="10">
                  <c:v>545.13944027720424</c:v>
                </c:pt>
                <c:pt idx="11">
                  <c:v>616.71358596947846</c:v>
                </c:pt>
                <c:pt idx="12">
                  <c:v>677.16836990695504</c:v>
                </c:pt>
                <c:pt idx="13">
                  <c:v>748.0065657406783</c:v>
                </c:pt>
                <c:pt idx="14">
                  <c:v>822.23698896273709</c:v>
                </c:pt>
                <c:pt idx="15">
                  <c:v>889.64957790649328</c:v>
                </c:pt>
                <c:pt idx="16">
                  <c:v>940.06606217688704</c:v>
                </c:pt>
                <c:pt idx="17">
                  <c:v>1028.4698770988186</c:v>
                </c:pt>
                <c:pt idx="18">
                  <c:v>1096.0416112508956</c:v>
                </c:pt>
                <c:pt idx="19">
                  <c:v>1161.2868033015072</c:v>
                </c:pt>
                <c:pt idx="20">
                  <c:v>1212.5973611906752</c:v>
                </c:pt>
                <c:pt idx="21">
                  <c:v>1274.6013329871687</c:v>
                </c:pt>
                <c:pt idx="22">
                  <c:v>1353.4766260687115</c:v>
                </c:pt>
                <c:pt idx="23">
                  <c:v>1392.8807623507166</c:v>
                </c:pt>
                <c:pt idx="24">
                  <c:v>1459.9541979631297</c:v>
                </c:pt>
                <c:pt idx="25">
                  <c:v>1503.4621796912525</c:v>
                </c:pt>
                <c:pt idx="26">
                  <c:v>1540.9352318027718</c:v>
                </c:pt>
                <c:pt idx="27">
                  <c:v>1590.6652624967996</c:v>
                </c:pt>
                <c:pt idx="28">
                  <c:v>1633.7687869590693</c:v>
                </c:pt>
                <c:pt idx="29">
                  <c:v>1697.8128063825779</c:v>
                </c:pt>
                <c:pt idx="30">
                  <c:v>1743.413906877639</c:v>
                </c:pt>
                <c:pt idx="31">
                  <c:v>1770.601483282742</c:v>
                </c:pt>
                <c:pt idx="32">
                  <c:v>1788.8092122420094</c:v>
                </c:pt>
                <c:pt idx="33">
                  <c:v>1818.5559950357674</c:v>
                </c:pt>
                <c:pt idx="34">
                  <c:v>1828.311701554336</c:v>
                </c:pt>
                <c:pt idx="35">
                  <c:v>1849.9190988139349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B8-49F8-BD1A-20A868885B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8977919"/>
        <c:axId val="1898981247"/>
      </c:lineChart>
      <c:catAx>
        <c:axId val="189897791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98981247"/>
        <c:crosses val="autoZero"/>
        <c:auto val="1"/>
        <c:lblAlgn val="ctr"/>
        <c:lblOffset val="100"/>
        <c:noMultiLvlLbl val="0"/>
      </c:catAx>
      <c:valAx>
        <c:axId val="1898981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;\ \-#\ ##0;\ 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98977919"/>
        <c:crosses val="autoZero"/>
        <c:crossBetween val="between"/>
      </c:valAx>
    </c:plotArea>
    <c:plotVisOnly val="1"/>
    <c:dispBlanksAs val="zero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Остаток на счетах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'ОДДС (хватит ли 80 млн)'!$B$28</c:f>
              <c:strCache>
                <c:ptCount val="1"/>
                <c:pt idx="0">
                  <c:v>Деньги на конец месяца</c:v>
                </c:pt>
              </c:strCache>
            </c:strRef>
          </c:tx>
          <c:marker>
            <c:symbol val="none"/>
          </c:marker>
          <c:cat>
            <c:strRef>
              <c:f>'ОПИУ (расчеты)'!$C$24:$AL$24</c:f>
              <c:strCache>
                <c:ptCount val="36"/>
                <c:pt idx="0">
                  <c:v> Январь</c:v>
                </c:pt>
                <c:pt idx="1">
                  <c:v> Февраль</c:v>
                </c:pt>
                <c:pt idx="2">
                  <c:v> Март</c:v>
                </c:pt>
                <c:pt idx="3">
                  <c:v> Апрель</c:v>
                </c:pt>
                <c:pt idx="4">
                  <c:v> Май</c:v>
                </c:pt>
                <c:pt idx="5">
                  <c:v> Июнь</c:v>
                </c:pt>
                <c:pt idx="6">
                  <c:v> Июль</c:v>
                </c:pt>
                <c:pt idx="7">
                  <c:v> Август</c:v>
                </c:pt>
                <c:pt idx="8">
                  <c:v> Сентябрь</c:v>
                </c:pt>
                <c:pt idx="9">
                  <c:v> Октябрь</c:v>
                </c:pt>
                <c:pt idx="10">
                  <c:v> Ноябрь</c:v>
                </c:pt>
                <c:pt idx="11">
                  <c:v> Декабрь</c:v>
                </c:pt>
                <c:pt idx="12">
                  <c:v> Январь</c:v>
                </c:pt>
                <c:pt idx="13">
                  <c:v> Февраль</c:v>
                </c:pt>
                <c:pt idx="14">
                  <c:v> Март</c:v>
                </c:pt>
                <c:pt idx="15">
                  <c:v> Апрель</c:v>
                </c:pt>
                <c:pt idx="16">
                  <c:v> Май</c:v>
                </c:pt>
                <c:pt idx="17">
                  <c:v> Июнь</c:v>
                </c:pt>
                <c:pt idx="18">
                  <c:v> Июль</c:v>
                </c:pt>
                <c:pt idx="19">
                  <c:v> Август</c:v>
                </c:pt>
                <c:pt idx="20">
                  <c:v> Сентябрь</c:v>
                </c:pt>
                <c:pt idx="21">
                  <c:v> Октябрь</c:v>
                </c:pt>
                <c:pt idx="22">
                  <c:v> Ноябрь</c:v>
                </c:pt>
                <c:pt idx="23">
                  <c:v> Декабрь</c:v>
                </c:pt>
                <c:pt idx="24">
                  <c:v> Январь</c:v>
                </c:pt>
                <c:pt idx="25">
                  <c:v> Февраль</c:v>
                </c:pt>
                <c:pt idx="26">
                  <c:v> Март</c:v>
                </c:pt>
                <c:pt idx="27">
                  <c:v> Апрель</c:v>
                </c:pt>
                <c:pt idx="28">
                  <c:v> Май</c:v>
                </c:pt>
                <c:pt idx="29">
                  <c:v> Июнь</c:v>
                </c:pt>
                <c:pt idx="30">
                  <c:v> Июль</c:v>
                </c:pt>
                <c:pt idx="31">
                  <c:v> Август</c:v>
                </c:pt>
                <c:pt idx="32">
                  <c:v> Сентябрь</c:v>
                </c:pt>
                <c:pt idx="33">
                  <c:v> Октябрь</c:v>
                </c:pt>
                <c:pt idx="34">
                  <c:v> Ноябрь</c:v>
                </c:pt>
                <c:pt idx="35">
                  <c:v> Декабрь</c:v>
                </c:pt>
              </c:strCache>
            </c:strRef>
          </c:cat>
          <c:val>
            <c:numRef>
              <c:f>'ОДДС (хватит ли 80 млн)'!$C$28:$AL$28</c:f>
              <c:numCache>
                <c:formatCode>#\ ##0\ "₽"</c:formatCode>
                <c:ptCount val="36"/>
                <c:pt idx="0">
                  <c:v>72102065</c:v>
                </c:pt>
                <c:pt idx="1">
                  <c:v>64367138.79655607</c:v>
                </c:pt>
                <c:pt idx="2">
                  <c:v>56707531.111589327</c:v>
                </c:pt>
                <c:pt idx="3">
                  <c:v>49209481.940798908</c:v>
                </c:pt>
                <c:pt idx="4">
                  <c:v>41745744.914161079</c:v>
                </c:pt>
                <c:pt idx="5">
                  <c:v>34490926.431517646</c:v>
                </c:pt>
                <c:pt idx="6">
                  <c:v>29398668.775405087</c:v>
                </c:pt>
                <c:pt idx="7">
                  <c:v>24511131.378083616</c:v>
                </c:pt>
                <c:pt idx="8">
                  <c:v>19652208.670624532</c:v>
                </c:pt>
                <c:pt idx="9">
                  <c:v>15115538.824337382</c:v>
                </c:pt>
                <c:pt idx="10">
                  <c:v>10795819.549713816</c:v>
                </c:pt>
                <c:pt idx="11">
                  <c:v>6643791.5826744344</c:v>
                </c:pt>
                <c:pt idx="12">
                  <c:v>2850411.5996194202</c:v>
                </c:pt>
                <c:pt idx="13">
                  <c:v>-669378.41246674862</c:v>
                </c:pt>
                <c:pt idx="14">
                  <c:v>-3994815.1385741793</c:v>
                </c:pt>
                <c:pt idx="15">
                  <c:v>-7007629.5196452206</c:v>
                </c:pt>
                <c:pt idx="16">
                  <c:v>-9871852.1629698221</c:v>
                </c:pt>
                <c:pt idx="17">
                  <c:v>-12454968.315729517</c:v>
                </c:pt>
                <c:pt idx="18">
                  <c:v>-14724488.019504473</c:v>
                </c:pt>
                <c:pt idx="19">
                  <c:v>-16754651.68951644</c:v>
                </c:pt>
                <c:pt idx="20">
                  <c:v>-18730751.131272495</c:v>
                </c:pt>
                <c:pt idx="21">
                  <c:v>-20327333.562257983</c:v>
                </c:pt>
                <c:pt idx="22">
                  <c:v>-21501132.155585311</c:v>
                </c:pt>
                <c:pt idx="23">
                  <c:v>-22433743.941350929</c:v>
                </c:pt>
                <c:pt idx="24">
                  <c:v>-22898295.595794149</c:v>
                </c:pt>
                <c:pt idx="25">
                  <c:v>-23150027.818578281</c:v>
                </c:pt>
                <c:pt idx="26">
                  <c:v>-23166783.000977475</c:v>
                </c:pt>
                <c:pt idx="27">
                  <c:v>-22871703.017242912</c:v>
                </c:pt>
                <c:pt idx="28">
                  <c:v>-22466339.775604457</c:v>
                </c:pt>
                <c:pt idx="29">
                  <c:v>-21659384.635507718</c:v>
                </c:pt>
                <c:pt idx="30">
                  <c:v>-20626485.035890117</c:v>
                </c:pt>
                <c:pt idx="31">
                  <c:v>-19423104.093575947</c:v>
                </c:pt>
                <c:pt idx="32">
                  <c:v>-18105550.485255085</c:v>
                </c:pt>
                <c:pt idx="33">
                  <c:v>-16761467.875745606</c:v>
                </c:pt>
                <c:pt idx="34">
                  <c:v>-15356211.518291198</c:v>
                </c:pt>
                <c:pt idx="35">
                  <c:v>-13815464.669072939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03-4B30-AE9B-146282FAF2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8977919"/>
        <c:axId val="1898981247"/>
      </c:lineChart>
      <c:catAx>
        <c:axId val="189897791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98981247"/>
        <c:crosses val="autoZero"/>
        <c:auto val="1"/>
        <c:lblAlgn val="ctr"/>
        <c:lblOffset val="100"/>
        <c:noMultiLvlLbl val="0"/>
      </c:catAx>
      <c:valAx>
        <c:axId val="1898981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\ &quot;₽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98977919"/>
        <c:crosses val="autoZero"/>
        <c:crossBetween val="between"/>
      </c:valAx>
    </c:plotArea>
    <c:plotVisOnly val="1"/>
    <c:dispBlanksAs val="zero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8</xdr:row>
      <xdr:rowOff>0</xdr:rowOff>
    </xdr:from>
    <xdr:to>
      <xdr:col>24</xdr:col>
      <xdr:colOff>285750</xdr:colOff>
      <xdr:row>42</xdr:row>
      <xdr:rowOff>0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2AFA5936-BF3C-44DB-AE53-09B99D4417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43</xdr:row>
      <xdr:rowOff>0</xdr:rowOff>
    </xdr:from>
    <xdr:to>
      <xdr:col>24</xdr:col>
      <xdr:colOff>285750</xdr:colOff>
      <xdr:row>77</xdr:row>
      <xdr:rowOff>0</xdr:rowOff>
    </xdr:to>
    <xdr:graphicFrame macro="">
      <xdr:nvGraphicFramePr>
        <xdr:cNvPr id="12" name="Диаграмма 11">
          <a:extLst>
            <a:ext uri="{FF2B5EF4-FFF2-40B4-BE49-F238E27FC236}">
              <a16:creationId xmlns:a16="http://schemas.microsoft.com/office/drawing/2014/main" id="{9C918DE0-CBA6-4DC7-B256-FC0E707B20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0</xdr:colOff>
      <xdr:row>8</xdr:row>
      <xdr:rowOff>0</xdr:rowOff>
    </xdr:from>
    <xdr:to>
      <xdr:col>46</xdr:col>
      <xdr:colOff>285750</xdr:colOff>
      <xdr:row>42</xdr:row>
      <xdr:rowOff>0</xdr:rowOff>
    </xdr:to>
    <xdr:graphicFrame macro="">
      <xdr:nvGraphicFramePr>
        <xdr:cNvPr id="13" name="Диаграмма 12">
          <a:extLst>
            <a:ext uri="{FF2B5EF4-FFF2-40B4-BE49-F238E27FC236}">
              <a16:creationId xmlns:a16="http://schemas.microsoft.com/office/drawing/2014/main" id="{CBCBC9B8-3748-41F7-8855-212ECB3FE9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0</xdr:colOff>
      <xdr:row>43</xdr:row>
      <xdr:rowOff>0</xdr:rowOff>
    </xdr:from>
    <xdr:to>
      <xdr:col>46</xdr:col>
      <xdr:colOff>285750</xdr:colOff>
      <xdr:row>77</xdr:row>
      <xdr:rowOff>0</xdr:rowOff>
    </xdr:to>
    <xdr:graphicFrame macro="">
      <xdr:nvGraphicFramePr>
        <xdr:cNvPr id="14" name="Диаграмма 13">
          <a:extLst>
            <a:ext uri="{FF2B5EF4-FFF2-40B4-BE49-F238E27FC236}">
              <a16:creationId xmlns:a16="http://schemas.microsoft.com/office/drawing/2014/main" id="{84D57C8A-4D69-4932-88F5-752515F3E1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0</xdr:colOff>
      <xdr:row>78</xdr:row>
      <xdr:rowOff>0</xdr:rowOff>
    </xdr:from>
    <xdr:to>
      <xdr:col>24</xdr:col>
      <xdr:colOff>285750</xdr:colOff>
      <xdr:row>112</xdr:row>
      <xdr:rowOff>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856D199E-626B-4EA1-8669-1E9227BE0A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0CA20-9D64-4AAC-AAE4-8AC271FE6E83}">
  <dimension ref="A1:C20"/>
  <sheetViews>
    <sheetView tabSelected="1" topLeftCell="A28" zoomScale="40" zoomScaleNormal="40" workbookViewId="0">
      <selection activeCell="AE104" sqref="AE104"/>
    </sheetView>
  </sheetViews>
  <sheetFormatPr defaultRowHeight="15" x14ac:dyDescent="0.2"/>
  <cols>
    <col min="1" max="1" width="121.7109375" style="1" customWidth="1"/>
    <col min="2" max="2" width="15.42578125" style="1" customWidth="1"/>
    <col min="3" max="3" width="128.42578125" style="1" bestFit="1" customWidth="1"/>
    <col min="4" max="4" width="9.140625" style="1" customWidth="1"/>
    <col min="5" max="18" width="9.140625" style="1"/>
    <col min="19" max="19" width="9.140625" style="1" customWidth="1"/>
    <col min="20" max="29" width="9.140625" style="1"/>
    <col min="30" max="30" width="9.140625" style="1" customWidth="1"/>
    <col min="31" max="16384" width="9.140625" style="1"/>
  </cols>
  <sheetData>
    <row r="1" spans="1:3" ht="20.25" x14ac:dyDescent="0.3">
      <c r="A1" s="144" t="s">
        <v>52</v>
      </c>
    </row>
    <row r="2" spans="1:3" ht="31.5" x14ac:dyDescent="0.2">
      <c r="A2" s="143" t="s">
        <v>53</v>
      </c>
    </row>
    <row r="3" spans="1:3" ht="60" x14ac:dyDescent="0.2">
      <c r="A3" s="2" t="s">
        <v>84</v>
      </c>
      <c r="C3" s="1" t="s">
        <v>85</v>
      </c>
    </row>
    <row r="4" spans="1:3" x14ac:dyDescent="0.2">
      <c r="A4" s="2"/>
    </row>
    <row r="5" spans="1:3" ht="15.75" x14ac:dyDescent="0.2">
      <c r="A5" s="143" t="s">
        <v>54</v>
      </c>
    </row>
    <row r="6" spans="1:3" ht="75" x14ac:dyDescent="0.2">
      <c r="A6" s="2" t="s">
        <v>86</v>
      </c>
      <c r="C6" s="2"/>
    </row>
    <row r="7" spans="1:3" x14ac:dyDescent="0.2">
      <c r="A7" s="2"/>
      <c r="C7" s="2"/>
    </row>
    <row r="8" spans="1:3" ht="15.75" x14ac:dyDescent="0.2">
      <c r="A8" s="143" t="s">
        <v>55</v>
      </c>
    </row>
    <row r="9" spans="1:3" ht="15.75" x14ac:dyDescent="0.25">
      <c r="A9" s="2" t="s">
        <v>82</v>
      </c>
      <c r="B9" s="145">
        <f ca="1">SUM('ОПИУ (расчеты)'!C34:Z34)/24</f>
        <v>-4696135.1907959776</v>
      </c>
    </row>
    <row r="10" spans="1:3" ht="15.75" x14ac:dyDescent="0.25">
      <c r="A10" s="1" t="s">
        <v>83</v>
      </c>
      <c r="B10" s="145">
        <f ca="1">SUM('ОПИУ (расчеты)'!O34:Z34)/12</f>
        <v>-3095746.0697738216</v>
      </c>
    </row>
    <row r="20" spans="1:1" ht="30" x14ac:dyDescent="0.2">
      <c r="A20" s="2" t="s">
        <v>87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010"/>
  <sheetViews>
    <sheetView topLeftCell="C1" zoomScale="40" zoomScaleNormal="40" workbookViewId="0">
      <selection activeCell="B49" sqref="B49:B53"/>
    </sheetView>
  </sheetViews>
  <sheetFormatPr defaultColWidth="14.42578125" defaultRowHeight="15" customHeight="1" x14ac:dyDescent="0.2"/>
  <cols>
    <col min="1" max="1" width="9" style="26" customWidth="1"/>
    <col min="2" max="2" width="64.85546875" style="26" customWidth="1"/>
    <col min="3" max="3" width="19.85546875" style="26" bestFit="1" customWidth="1"/>
    <col min="4" max="12" width="21.140625" style="26" bestFit="1" customWidth="1"/>
    <col min="13" max="32" width="19.85546875" style="26" bestFit="1" customWidth="1"/>
    <col min="33" max="37" width="18.42578125" style="26" bestFit="1" customWidth="1"/>
    <col min="38" max="38" width="19.85546875" style="26" bestFit="1" customWidth="1"/>
    <col min="39" max="16384" width="14.42578125" style="26"/>
  </cols>
  <sheetData>
    <row r="1" spans="2:4" ht="15" customHeight="1" x14ac:dyDescent="0.2">
      <c r="B1" s="26" t="s">
        <v>67</v>
      </c>
    </row>
    <row r="3" spans="2:4" ht="15" customHeight="1" x14ac:dyDescent="0.2">
      <c r="B3" s="26" t="s">
        <v>34</v>
      </c>
      <c r="C3" s="51">
        <v>3900</v>
      </c>
      <c r="D3" s="48">
        <v>0.8</v>
      </c>
    </row>
    <row r="4" spans="2:4" ht="15" customHeight="1" x14ac:dyDescent="0.2">
      <c r="B4" s="26" t="s">
        <v>60</v>
      </c>
      <c r="C4" s="51">
        <v>9900</v>
      </c>
      <c r="D4" s="48">
        <v>0.2</v>
      </c>
    </row>
    <row r="5" spans="2:4" ht="15" customHeight="1" x14ac:dyDescent="0.2">
      <c r="B5" s="26" t="s">
        <v>61</v>
      </c>
      <c r="C5" s="51">
        <v>1900</v>
      </c>
    </row>
    <row r="6" spans="2:4" ht="15" customHeight="1" x14ac:dyDescent="0.2">
      <c r="B6" s="26" t="s">
        <v>63</v>
      </c>
      <c r="C6" s="51">
        <v>30000</v>
      </c>
    </row>
    <row r="7" spans="2:4" ht="15" customHeight="1" x14ac:dyDescent="0.2">
      <c r="B7" s="26" t="s">
        <v>64</v>
      </c>
      <c r="C7" s="68" t="s">
        <v>73</v>
      </c>
      <c r="D7" s="48">
        <v>1.03</v>
      </c>
    </row>
    <row r="8" spans="2:4" ht="15" customHeight="1" x14ac:dyDescent="0.2">
      <c r="B8" s="26" t="s">
        <v>39</v>
      </c>
      <c r="C8" s="51">
        <v>1000000</v>
      </c>
      <c r="D8" s="63" t="s">
        <v>65</v>
      </c>
    </row>
    <row r="9" spans="2:4" ht="15" customHeight="1" x14ac:dyDescent="0.2">
      <c r="B9" s="64" t="s">
        <v>36</v>
      </c>
      <c r="C9" s="50">
        <v>0.25</v>
      </c>
    </row>
    <row r="10" spans="2:4" ht="15" customHeight="1" x14ac:dyDescent="0.2">
      <c r="B10" s="64" t="s">
        <v>37</v>
      </c>
      <c r="C10" s="50">
        <v>0.33</v>
      </c>
    </row>
    <row r="11" spans="2:4" ht="15" customHeight="1" x14ac:dyDescent="0.2">
      <c r="B11" s="40" t="s">
        <v>66</v>
      </c>
      <c r="C11" s="51">
        <v>1800</v>
      </c>
    </row>
    <row r="12" spans="2:4" ht="15" customHeight="1" x14ac:dyDescent="0.2">
      <c r="B12" s="40" t="s">
        <v>22</v>
      </c>
      <c r="C12" s="51">
        <v>350000</v>
      </c>
    </row>
    <row r="13" spans="2:4" ht="15" customHeight="1" x14ac:dyDescent="0.2">
      <c r="B13" s="40" t="s">
        <v>43</v>
      </c>
      <c r="C13" s="50">
        <v>0.02</v>
      </c>
    </row>
    <row r="14" spans="2:4" ht="15" customHeight="1" x14ac:dyDescent="0.2">
      <c r="B14" s="38" t="s">
        <v>45</v>
      </c>
      <c r="C14" s="51">
        <v>1350000</v>
      </c>
    </row>
    <row r="15" spans="2:4" ht="15" customHeight="1" x14ac:dyDescent="0.2">
      <c r="B15" s="38" t="s">
        <v>68</v>
      </c>
      <c r="C15" s="51">
        <v>600000</v>
      </c>
      <c r="D15" s="63" t="s">
        <v>69</v>
      </c>
    </row>
    <row r="16" spans="2:4" ht="15" customHeight="1" x14ac:dyDescent="0.2">
      <c r="B16" s="38" t="s">
        <v>70</v>
      </c>
      <c r="C16" s="51">
        <v>60000</v>
      </c>
    </row>
    <row r="17" spans="1:38" ht="15" customHeight="1" x14ac:dyDescent="0.2">
      <c r="B17" s="38" t="s">
        <v>71</v>
      </c>
      <c r="C17" s="50">
        <v>0.1</v>
      </c>
    </row>
    <row r="18" spans="1:38" ht="15" customHeight="1" x14ac:dyDescent="0.2">
      <c r="B18" s="38" t="s">
        <v>72</v>
      </c>
      <c r="C18" s="51">
        <v>333000</v>
      </c>
    </row>
    <row r="19" spans="1:38" ht="15" customHeight="1" x14ac:dyDescent="0.2">
      <c r="B19" s="38" t="s">
        <v>48</v>
      </c>
      <c r="C19" s="51">
        <v>250000</v>
      </c>
    </row>
    <row r="20" spans="1:38" ht="15" customHeight="1" x14ac:dyDescent="0.2">
      <c r="B20" s="38" t="s">
        <v>50</v>
      </c>
      <c r="C20" s="51">
        <v>1000000</v>
      </c>
    </row>
    <row r="21" spans="1:38" ht="15" customHeight="1" x14ac:dyDescent="0.2">
      <c r="B21" s="38"/>
      <c r="C21" s="51"/>
    </row>
    <row r="22" spans="1:38" ht="15.75" x14ac:dyDescent="0.25">
      <c r="A22" s="24"/>
      <c r="B22" s="25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</row>
    <row r="23" spans="1:38" s="58" customFormat="1" ht="31.5" customHeight="1" x14ac:dyDescent="0.2">
      <c r="A23" s="65"/>
      <c r="B23" s="57" t="s">
        <v>56</v>
      </c>
      <c r="C23" s="146" t="s">
        <v>88</v>
      </c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48" t="s">
        <v>89</v>
      </c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7"/>
      <c r="AA23" s="146" t="s">
        <v>90</v>
      </c>
      <c r="AB23" s="146"/>
      <c r="AC23" s="146"/>
      <c r="AD23" s="146"/>
      <c r="AE23" s="146"/>
      <c r="AF23" s="146"/>
      <c r="AG23" s="146"/>
      <c r="AH23" s="146"/>
      <c r="AI23" s="146"/>
      <c r="AJ23" s="146"/>
      <c r="AK23" s="146"/>
      <c r="AL23" s="146"/>
    </row>
    <row r="24" spans="1:38" s="27" customFormat="1" ht="15.75" x14ac:dyDescent="0.25">
      <c r="A24" s="49"/>
      <c r="B24" s="17" t="s">
        <v>57</v>
      </c>
      <c r="C24" s="18" t="s">
        <v>0</v>
      </c>
      <c r="D24" s="18" t="s">
        <v>1</v>
      </c>
      <c r="E24" s="18" t="s">
        <v>2</v>
      </c>
      <c r="F24" s="18" t="s">
        <v>3</v>
      </c>
      <c r="G24" s="18" t="s">
        <v>4</v>
      </c>
      <c r="H24" s="18" t="s">
        <v>5</v>
      </c>
      <c r="I24" s="18" t="s">
        <v>6</v>
      </c>
      <c r="J24" s="18" t="s">
        <v>7</v>
      </c>
      <c r="K24" s="18" t="s">
        <v>8</v>
      </c>
      <c r="L24" s="18" t="s">
        <v>9</v>
      </c>
      <c r="M24" s="18" t="s">
        <v>10</v>
      </c>
      <c r="N24" s="19" t="s">
        <v>11</v>
      </c>
      <c r="O24" s="21" t="s">
        <v>0</v>
      </c>
      <c r="P24" s="18" t="s">
        <v>1</v>
      </c>
      <c r="Q24" s="18" t="s">
        <v>2</v>
      </c>
      <c r="R24" s="18" t="s">
        <v>3</v>
      </c>
      <c r="S24" s="18" t="s">
        <v>4</v>
      </c>
      <c r="T24" s="18" t="s">
        <v>5</v>
      </c>
      <c r="U24" s="18" t="s">
        <v>6</v>
      </c>
      <c r="V24" s="18" t="s">
        <v>7</v>
      </c>
      <c r="W24" s="18" t="s">
        <v>8</v>
      </c>
      <c r="X24" s="18" t="s">
        <v>9</v>
      </c>
      <c r="Y24" s="18" t="s">
        <v>10</v>
      </c>
      <c r="Z24" s="19" t="s">
        <v>11</v>
      </c>
      <c r="AA24" s="18" t="s">
        <v>0</v>
      </c>
      <c r="AB24" s="18" t="s">
        <v>1</v>
      </c>
      <c r="AC24" s="18" t="s">
        <v>2</v>
      </c>
      <c r="AD24" s="18" t="s">
        <v>3</v>
      </c>
      <c r="AE24" s="18" t="s">
        <v>4</v>
      </c>
      <c r="AF24" s="18" t="s">
        <v>5</v>
      </c>
      <c r="AG24" s="18" t="s">
        <v>6</v>
      </c>
      <c r="AH24" s="18" t="s">
        <v>7</v>
      </c>
      <c r="AI24" s="18" t="s">
        <v>8</v>
      </c>
      <c r="AJ24" s="18" t="s">
        <v>9</v>
      </c>
      <c r="AK24" s="18" t="s">
        <v>10</v>
      </c>
      <c r="AL24" s="18" t="s">
        <v>11</v>
      </c>
    </row>
    <row r="25" spans="1:38" ht="15.75" customHeight="1" x14ac:dyDescent="0.2">
      <c r="A25" s="49"/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30"/>
      <c r="O25" s="31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30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</row>
    <row r="26" spans="1:38" s="56" customFormat="1" ht="15.75" x14ac:dyDescent="0.25">
      <c r="A26" s="44"/>
      <c r="B26" s="52" t="s">
        <v>12</v>
      </c>
      <c r="C26" s="78">
        <f>SUM(C27:C30)</f>
        <v>152700</v>
      </c>
      <c r="D26" s="78">
        <f t="shared" ref="D26:AL26" si="0">SUM(D27:D30)</f>
        <v>429551.36479586596</v>
      </c>
      <c r="E26" s="78">
        <f t="shared" ca="1" si="0"/>
        <v>677255.06845605641</v>
      </c>
      <c r="F26" s="78">
        <f t="shared" ca="1" si="0"/>
        <v>952579.82022061478</v>
      </c>
      <c r="G26" s="78">
        <f t="shared" ca="1" si="0"/>
        <v>1262382.0772233377</v>
      </c>
      <c r="H26" s="78">
        <f t="shared" ca="1" si="0"/>
        <v>1587559.4919542831</v>
      </c>
      <c r="I26" s="78">
        <f t="shared" ca="1" si="0"/>
        <v>1927097.2040920448</v>
      </c>
      <c r="J26" s="78">
        <f t="shared" ca="1" si="0"/>
        <v>2247855.3712405586</v>
      </c>
      <c r="K26" s="78">
        <f t="shared" ca="1" si="0"/>
        <v>2551660.3079378074</v>
      </c>
      <c r="L26" s="78">
        <f t="shared" ca="1" si="0"/>
        <v>2996137.0039082635</v>
      </c>
      <c r="M26" s="78">
        <f t="shared" ca="1" si="0"/>
        <v>3392927.0793436151</v>
      </c>
      <c r="N26" s="79">
        <f t="shared" ca="1" si="0"/>
        <v>3843128.4557480193</v>
      </c>
      <c r="O26" s="80">
        <f t="shared" ca="1" si="0"/>
        <v>4325915.8073105114</v>
      </c>
      <c r="P26" s="78">
        <f t="shared" ca="1" si="0"/>
        <v>4782326.3030671906</v>
      </c>
      <c r="Q26" s="78">
        <f t="shared" ca="1" si="0"/>
        <v>5260592.919886915</v>
      </c>
      <c r="R26" s="78">
        <f t="shared" ca="1" si="0"/>
        <v>5694932.2304515354</v>
      </c>
      <c r="S26" s="78">
        <f t="shared" ca="1" si="0"/>
        <v>6019765.6386056831</v>
      </c>
      <c r="T26" s="78">
        <f t="shared" ca="1" si="0"/>
        <v>6589351.4181476887</v>
      </c>
      <c r="U26" s="78">
        <f t="shared" ca="1" si="0"/>
        <v>7024716.10128952</v>
      </c>
      <c r="V26" s="78">
        <f t="shared" ca="1" si="0"/>
        <v>7445090.8736716118</v>
      </c>
      <c r="W26" s="78">
        <f t="shared" ca="1" si="0"/>
        <v>7775684.798151521</v>
      </c>
      <c r="X26" s="78">
        <f t="shared" ca="1" si="0"/>
        <v>8175176.3884363277</v>
      </c>
      <c r="Y26" s="78">
        <f t="shared" ca="1" si="0"/>
        <v>8683369.9017607085</v>
      </c>
      <c r="Z26" s="79">
        <f t="shared" ca="1" si="0"/>
        <v>8937250.7518256679</v>
      </c>
      <c r="AA26" s="78">
        <f t="shared" ca="1" si="0"/>
        <v>9598366.6795334555</v>
      </c>
      <c r="AB26" s="78">
        <f t="shared" ca="1" si="0"/>
        <v>9885545.0286482833</v>
      </c>
      <c r="AC26" s="78">
        <f t="shared" ca="1" si="0"/>
        <v>10132889.281685058</v>
      </c>
      <c r="AD26" s="78">
        <f t="shared" ca="1" si="0"/>
        <v>10461136.82498375</v>
      </c>
      <c r="AE26" s="78">
        <f t="shared" ca="1" si="0"/>
        <v>10745645.517514162</v>
      </c>
      <c r="AF26" s="78">
        <f t="shared" ca="1" si="0"/>
        <v>11168373.83168078</v>
      </c>
      <c r="AG26" s="78">
        <f t="shared" ca="1" si="0"/>
        <v>11469367.999597473</v>
      </c>
      <c r="AH26" s="78">
        <f t="shared" ca="1" si="0"/>
        <v>11648822.044541234</v>
      </c>
      <c r="AI26" s="78">
        <f t="shared" ca="1" si="0"/>
        <v>11769003.798232485</v>
      </c>
      <c r="AJ26" s="78">
        <f t="shared" ca="1" si="0"/>
        <v>11965350.115273137</v>
      </c>
      <c r="AK26" s="78">
        <f t="shared" ca="1" si="0"/>
        <v>12029743.534162534</v>
      </c>
      <c r="AL26" s="78">
        <f t="shared" ca="1" si="0"/>
        <v>12172365.104440272</v>
      </c>
    </row>
    <row r="27" spans="1:38" x14ac:dyDescent="0.2">
      <c r="A27" s="44"/>
      <c r="B27" s="5" t="s">
        <v>34</v>
      </c>
      <c r="C27" s="72">
        <f t="shared" ref="C27:N27" si="1">$C$3*C73</f>
        <v>117000</v>
      </c>
      <c r="D27" s="72">
        <f t="shared" si="1"/>
        <v>254325.3192628143</v>
      </c>
      <c r="E27" s="72">
        <f t="shared" ca="1" si="1"/>
        <v>377192.65716739208</v>
      </c>
      <c r="F27" s="72">
        <f t="shared" ca="1" si="1"/>
        <v>513760.73753391381</v>
      </c>
      <c r="G27" s="72">
        <f t="shared" ca="1" si="1"/>
        <v>667430.53750982741</v>
      </c>
      <c r="H27" s="72">
        <f t="shared" ca="1" si="1"/>
        <v>828726.80681993056</v>
      </c>
      <c r="I27" s="72">
        <f t="shared" ca="1" si="1"/>
        <v>997146.14892959932</v>
      </c>
      <c r="J27" s="72">
        <f t="shared" ca="1" si="1"/>
        <v>1156250.3590255233</v>
      </c>
      <c r="K27" s="72">
        <f t="shared" ca="1" si="1"/>
        <v>1306945.3355748742</v>
      </c>
      <c r="L27" s="72">
        <f t="shared" ca="1" si="1"/>
        <v>1527417.0830196789</v>
      </c>
      <c r="M27" s="72">
        <f t="shared" ca="1" si="1"/>
        <v>1724235.0536648773</v>
      </c>
      <c r="N27" s="73">
        <f t="shared" ca="1" si="1"/>
        <v>1947546.3882247726</v>
      </c>
      <c r="O27" s="72">
        <f t="shared" ref="O27:Z27" ca="1" si="2">$C$3*$D$7*O73</f>
        <v>2200250.2735329904</v>
      </c>
      <c r="P27" s="72">
        <f t="shared" ca="1" si="2"/>
        <v>2427895.8996642437</v>
      </c>
      <c r="Q27" s="72">
        <f t="shared" ca="1" si="2"/>
        <v>2666442.7877306519</v>
      </c>
      <c r="R27" s="72">
        <f t="shared" ca="1" si="2"/>
        <v>2883079.8835603064</v>
      </c>
      <c r="S27" s="72">
        <f t="shared" ca="1" si="2"/>
        <v>3045098.2974116439</v>
      </c>
      <c r="T27" s="72">
        <f t="shared" ca="1" si="2"/>
        <v>3329192.7970447638</v>
      </c>
      <c r="U27" s="72">
        <f t="shared" ca="1" si="2"/>
        <v>3546341.3219158775</v>
      </c>
      <c r="V27" s="72">
        <f t="shared" ca="1" si="2"/>
        <v>3756013.2710897238</v>
      </c>
      <c r="W27" s="72">
        <f t="shared" ca="1" si="2"/>
        <v>3920904.8799223541</v>
      </c>
      <c r="X27" s="72">
        <f t="shared" ca="1" si="2"/>
        <v>4120160.8436875655</v>
      </c>
      <c r="Y27" s="72">
        <f t="shared" ca="1" si="2"/>
        <v>4373634.4855344119</v>
      </c>
      <c r="Z27" s="73">
        <f t="shared" ca="1" si="2"/>
        <v>4500263.617890263</v>
      </c>
      <c r="AA27" s="72">
        <f t="shared" ref="AA27:AL27" ca="1" si="3">$C$3*$D$7*$D$7*AA73</f>
        <v>4857285.1348915435</v>
      </c>
      <c r="AB27" s="72">
        <f t="shared" ca="1" si="3"/>
        <v>5001296.9024754828</v>
      </c>
      <c r="AC27" s="72">
        <f t="shared" ca="1" si="3"/>
        <v>5125333.0047490289</v>
      </c>
      <c r="AD27" s="72">
        <f t="shared" ca="1" si="3"/>
        <v>5289939.8041865071</v>
      </c>
      <c r="AE27" s="72">
        <f t="shared" ca="1" si="3"/>
        <v>5432612.8149848152</v>
      </c>
      <c r="AF27" s="72">
        <f t="shared" ca="1" si="3"/>
        <v>5644599.0316287838</v>
      </c>
      <c r="AG27" s="72">
        <f t="shared" ca="1" si="3"/>
        <v>5795539.0390762398</v>
      </c>
      <c r="AH27" s="72">
        <f t="shared" ca="1" si="3"/>
        <v>5885530.1344777429</v>
      </c>
      <c r="AI27" s="72">
        <f t="shared" ca="1" si="3"/>
        <v>5945797.8629947491</v>
      </c>
      <c r="AJ27" s="72">
        <f t="shared" ca="1" si="3"/>
        <v>6044259.9520163508</v>
      </c>
      <c r="AK27" s="72">
        <f t="shared" ca="1" si="3"/>
        <v>6076551.418638465</v>
      </c>
      <c r="AL27" s="72">
        <f t="shared" ca="1" si="3"/>
        <v>6148072.0764269158</v>
      </c>
    </row>
    <row r="28" spans="1:38" x14ac:dyDescent="0.2">
      <c r="A28" s="44"/>
      <c r="B28" s="5" t="s">
        <v>60</v>
      </c>
      <c r="C28" s="72">
        <f t="shared" ref="C28:N28" si="4">$C$4*C74</f>
        <v>0</v>
      </c>
      <c r="D28" s="72">
        <f t="shared" si="4"/>
        <v>87148.760301401388</v>
      </c>
      <c r="E28" s="72">
        <f t="shared" ca="1" si="4"/>
        <v>165122.26320238347</v>
      </c>
      <c r="F28" s="72">
        <f t="shared" ca="1" si="4"/>
        <v>251790.46805036842</v>
      </c>
      <c r="G28" s="72">
        <f t="shared" ca="1" si="4"/>
        <v>349311.68726585206</v>
      </c>
      <c r="H28" s="72">
        <f t="shared" ca="1" si="4"/>
        <v>451672.7812511099</v>
      </c>
      <c r="I28" s="72">
        <f t="shared" ca="1" si="4"/>
        <v>558554.28682070738</v>
      </c>
      <c r="J28" s="72">
        <f t="shared" ca="1" si="4"/>
        <v>659524.26630465919</v>
      </c>
      <c r="K28" s="72">
        <f t="shared" ca="1" si="4"/>
        <v>755157.6168071318</v>
      </c>
      <c r="L28" s="72">
        <f t="shared" ca="1" si="4"/>
        <v>895072.37960864254</v>
      </c>
      <c r="M28" s="72">
        <f t="shared" ca="1" si="4"/>
        <v>1019976.0917488646</v>
      </c>
      <c r="N28" s="73">
        <f t="shared" ca="1" si="4"/>
        <v>1161692.9002195676</v>
      </c>
      <c r="O28" s="72">
        <f t="shared" ref="O28:Z28" ca="1" si="5">$C$4*$D$7*O74</f>
        <v>1319835.1735882442</v>
      </c>
      <c r="P28" s="72">
        <f t="shared" ca="1" si="5"/>
        <v>1464302.5901715397</v>
      </c>
      <c r="Q28" s="72">
        <f t="shared" ca="1" si="5"/>
        <v>1615688.1152906062</v>
      </c>
      <c r="R28" s="72">
        <f t="shared" ca="1" si="5"/>
        <v>1753169.3491825024</v>
      </c>
      <c r="S28" s="72">
        <f t="shared" ca="1" si="5"/>
        <v>1855988.7272035433</v>
      </c>
      <c r="T28" s="72">
        <f t="shared" ca="1" si="5"/>
        <v>2036279.4673553309</v>
      </c>
      <c r="U28" s="72">
        <f t="shared" ca="1" si="5"/>
        <v>2174085.2619850761</v>
      </c>
      <c r="V28" s="72">
        <f t="shared" ca="1" si="5"/>
        <v>2307146.306653094</v>
      </c>
      <c r="W28" s="72">
        <f t="shared" ca="1" si="5"/>
        <v>2411789.0584122632</v>
      </c>
      <c r="X28" s="72">
        <f t="shared" ca="1" si="5"/>
        <v>2538239.9584940313</v>
      </c>
      <c r="Y28" s="72">
        <f t="shared" ca="1" si="5"/>
        <v>2699098.2312045302</v>
      </c>
      <c r="Z28" s="73">
        <f t="shared" ca="1" si="5"/>
        <v>2779459.0267380513</v>
      </c>
      <c r="AA28" s="72">
        <f t="shared" ref="AA28:AL28" ca="1" si="6">$C$4*$D$7*$D$7*AA74</f>
        <v>3003736.0490657869</v>
      </c>
      <c r="AB28" s="72">
        <f t="shared" ca="1" si="6"/>
        <v>3095128.13234021</v>
      </c>
      <c r="AC28" s="72">
        <f t="shared" ca="1" si="6"/>
        <v>3173843.3510907297</v>
      </c>
      <c r="AD28" s="72">
        <f t="shared" ca="1" si="6"/>
        <v>3278305.3584260521</v>
      </c>
      <c r="AE28" s="72">
        <f t="shared" ca="1" si="6"/>
        <v>3368847.8460480557</v>
      </c>
      <c r="AF28" s="72">
        <f t="shared" ca="1" si="6"/>
        <v>3503377.5604567281</v>
      </c>
      <c r="AG28" s="72">
        <f t="shared" ca="1" si="6"/>
        <v>3599166.4113368443</v>
      </c>
      <c r="AH28" s="72">
        <f t="shared" ca="1" si="6"/>
        <v>3656276.1449570288</v>
      </c>
      <c r="AI28" s="72">
        <f t="shared" ca="1" si="6"/>
        <v>3694522.9726697444</v>
      </c>
      <c r="AJ28" s="72">
        <f t="shared" ca="1" si="6"/>
        <v>3757008.5291642225</v>
      </c>
      <c r="AK28" s="72">
        <f t="shared" ca="1" si="6"/>
        <v>3777501.1906744102</v>
      </c>
      <c r="AL28" s="72">
        <f t="shared" ca="1" si="6"/>
        <v>3822889.3004247732</v>
      </c>
    </row>
    <row r="29" spans="1:38" x14ac:dyDescent="0.2">
      <c r="A29" s="44"/>
      <c r="B29" s="5" t="s">
        <v>61</v>
      </c>
      <c r="C29" s="72">
        <f t="shared" ref="C29:AL29" si="7">$C$5*(C75/10)</f>
        <v>5700</v>
      </c>
      <c r="D29" s="72">
        <f t="shared" si="7"/>
        <v>14062.759826902155</v>
      </c>
      <c r="E29" s="72">
        <f t="shared" ca="1" si="7"/>
        <v>21545.065660834774</v>
      </c>
      <c r="F29" s="72">
        <f t="shared" ca="1" si="7"/>
        <v>29861.711580590905</v>
      </c>
      <c r="G29" s="72">
        <f t="shared" ca="1" si="7"/>
        <v>39219.808373995897</v>
      </c>
      <c r="H29" s="72">
        <f t="shared" ca="1" si="7"/>
        <v>49042.337594803459</v>
      </c>
      <c r="I29" s="72">
        <f t="shared" ca="1" si="7"/>
        <v>59298.643684815339</v>
      </c>
      <c r="J29" s="72">
        <f t="shared" ca="1" si="7"/>
        <v>68987.682120144047</v>
      </c>
      <c r="K29" s="72">
        <f t="shared" ca="1" si="7"/>
        <v>78164.619794623737</v>
      </c>
      <c r="L29" s="72">
        <f t="shared" ca="1" si="7"/>
        <v>91590.78390183943</v>
      </c>
      <c r="M29" s="72">
        <f t="shared" ca="1" si="7"/>
        <v>103576.49365266881</v>
      </c>
      <c r="N29" s="73">
        <f t="shared" ca="1" si="7"/>
        <v>117175.58133420091</v>
      </c>
      <c r="O29" s="74">
        <f t="shared" ca="1" si="7"/>
        <v>128661.99028232145</v>
      </c>
      <c r="P29" s="72">
        <f t="shared" ca="1" si="7"/>
        <v>142121.24749072889</v>
      </c>
      <c r="Q29" s="72">
        <f t="shared" ca="1" si="7"/>
        <v>156225.02790292003</v>
      </c>
      <c r="R29" s="72">
        <f t="shared" ca="1" si="7"/>
        <v>169033.41980223372</v>
      </c>
      <c r="S29" s="72">
        <f t="shared" ca="1" si="7"/>
        <v>178612.55181360853</v>
      </c>
      <c r="T29" s="72">
        <f t="shared" ca="1" si="7"/>
        <v>195409.27664877553</v>
      </c>
      <c r="U29" s="72">
        <f t="shared" ca="1" si="7"/>
        <v>208247.90613767016</v>
      </c>
      <c r="V29" s="72">
        <f t="shared" ca="1" si="7"/>
        <v>220644.49262728638</v>
      </c>
      <c r="W29" s="72">
        <f t="shared" ca="1" si="7"/>
        <v>230393.49862622831</v>
      </c>
      <c r="X29" s="72">
        <f t="shared" ca="1" si="7"/>
        <v>242174.25326756205</v>
      </c>
      <c r="Y29" s="72">
        <f t="shared" ca="1" si="7"/>
        <v>257160.55895305518</v>
      </c>
      <c r="Z29" s="73">
        <f t="shared" ca="1" si="7"/>
        <v>264647.34484663617</v>
      </c>
      <c r="AA29" s="72">
        <f t="shared" ca="1" si="7"/>
        <v>277391.29761299468</v>
      </c>
      <c r="AB29" s="72">
        <f t="shared" ca="1" si="7"/>
        <v>285657.81414133793</v>
      </c>
      <c r="AC29" s="72">
        <f t="shared" ca="1" si="7"/>
        <v>292777.69404252665</v>
      </c>
      <c r="AD29" s="72">
        <f t="shared" ca="1" si="7"/>
        <v>302226.39987439191</v>
      </c>
      <c r="AE29" s="72">
        <f t="shared" ca="1" si="7"/>
        <v>310416.06952222314</v>
      </c>
      <c r="AF29" s="72">
        <f t="shared" ca="1" si="7"/>
        <v>322584.43321268976</v>
      </c>
      <c r="AG29" s="72">
        <f t="shared" ca="1" si="7"/>
        <v>331248.6423067514</v>
      </c>
      <c r="AH29" s="72">
        <f t="shared" ca="1" si="7"/>
        <v>336414.28182372102</v>
      </c>
      <c r="AI29" s="72">
        <f t="shared" ca="1" si="7"/>
        <v>339873.75032598176</v>
      </c>
      <c r="AJ29" s="72">
        <f t="shared" ca="1" si="7"/>
        <v>345525.6390567958</v>
      </c>
      <c r="AK29" s="72">
        <f t="shared" ca="1" si="7"/>
        <v>347379.22329532384</v>
      </c>
      <c r="AL29" s="72">
        <f t="shared" ca="1" si="7"/>
        <v>351484.62877464766</v>
      </c>
    </row>
    <row r="30" spans="1:38" x14ac:dyDescent="0.2">
      <c r="A30" s="44"/>
      <c r="B30" s="5" t="s">
        <v>62</v>
      </c>
      <c r="C30" s="72">
        <f t="shared" ref="C30:AL30" si="8">$C$6*(C75/30)</f>
        <v>30000</v>
      </c>
      <c r="D30" s="72">
        <f t="shared" si="8"/>
        <v>74014.525404748187</v>
      </c>
      <c r="E30" s="72">
        <f t="shared" ca="1" si="8"/>
        <v>113395.08242544618</v>
      </c>
      <c r="F30" s="72">
        <f t="shared" ca="1" si="8"/>
        <v>157166.90305574163</v>
      </c>
      <c r="G30" s="72">
        <f t="shared" ca="1" si="8"/>
        <v>206420.0440736626</v>
      </c>
      <c r="H30" s="72">
        <f t="shared" ca="1" si="8"/>
        <v>258117.56628843927</v>
      </c>
      <c r="I30" s="72">
        <f t="shared" ca="1" si="8"/>
        <v>312098.12465692282</v>
      </c>
      <c r="J30" s="72">
        <f t="shared" ca="1" si="8"/>
        <v>363093.06379023188</v>
      </c>
      <c r="K30" s="72">
        <f t="shared" ca="1" si="8"/>
        <v>411392.73576117761</v>
      </c>
      <c r="L30" s="72">
        <f t="shared" ca="1" si="8"/>
        <v>482056.75737810222</v>
      </c>
      <c r="M30" s="72">
        <f t="shared" ca="1" si="8"/>
        <v>545139.44027720415</v>
      </c>
      <c r="N30" s="73">
        <f t="shared" ca="1" si="8"/>
        <v>616713.58596947847</v>
      </c>
      <c r="O30" s="74">
        <f t="shared" ca="1" si="8"/>
        <v>677168.36990695505</v>
      </c>
      <c r="P30" s="72">
        <f t="shared" ca="1" si="8"/>
        <v>748006.56574067834</v>
      </c>
      <c r="Q30" s="72">
        <f t="shared" ca="1" si="8"/>
        <v>822236.98896273714</v>
      </c>
      <c r="R30" s="72">
        <f t="shared" ca="1" si="8"/>
        <v>889649.57790649333</v>
      </c>
      <c r="S30" s="72">
        <f t="shared" ca="1" si="8"/>
        <v>940066.06217688706</v>
      </c>
      <c r="T30" s="72">
        <f t="shared" ca="1" si="8"/>
        <v>1028469.8770988188</v>
      </c>
      <c r="U30" s="72">
        <f t="shared" ca="1" si="8"/>
        <v>1096041.6112508958</v>
      </c>
      <c r="V30" s="72">
        <f t="shared" ca="1" si="8"/>
        <v>1161286.8033015071</v>
      </c>
      <c r="W30" s="72">
        <f t="shared" ca="1" si="8"/>
        <v>1212597.3611906753</v>
      </c>
      <c r="X30" s="72">
        <f t="shared" ca="1" si="8"/>
        <v>1274601.3329871688</v>
      </c>
      <c r="Y30" s="72">
        <f t="shared" ca="1" si="8"/>
        <v>1353476.6260687115</v>
      </c>
      <c r="Z30" s="73">
        <f t="shared" ca="1" si="8"/>
        <v>1392880.7623507166</v>
      </c>
      <c r="AA30" s="72">
        <f t="shared" ca="1" si="8"/>
        <v>1459954.1979631297</v>
      </c>
      <c r="AB30" s="72">
        <f t="shared" ca="1" si="8"/>
        <v>1503462.1796912525</v>
      </c>
      <c r="AC30" s="72">
        <f t="shared" ca="1" si="8"/>
        <v>1540935.2318027718</v>
      </c>
      <c r="AD30" s="72">
        <f t="shared" ca="1" si="8"/>
        <v>1590665.2624967997</v>
      </c>
      <c r="AE30" s="72">
        <f t="shared" ca="1" si="8"/>
        <v>1633768.7869590693</v>
      </c>
      <c r="AF30" s="72">
        <f t="shared" ca="1" si="8"/>
        <v>1697812.8063825779</v>
      </c>
      <c r="AG30" s="72">
        <f t="shared" ca="1" si="8"/>
        <v>1743413.906877639</v>
      </c>
      <c r="AH30" s="72">
        <f t="shared" ca="1" si="8"/>
        <v>1770601.4832827419</v>
      </c>
      <c r="AI30" s="72">
        <f t="shared" ca="1" si="8"/>
        <v>1788809.2122420094</v>
      </c>
      <c r="AJ30" s="72">
        <f t="shared" ca="1" si="8"/>
        <v>1818555.9950357673</v>
      </c>
      <c r="AK30" s="72">
        <f t="shared" ca="1" si="8"/>
        <v>1828311.7015543359</v>
      </c>
      <c r="AL30" s="72">
        <f t="shared" ca="1" si="8"/>
        <v>1849919.0988139347</v>
      </c>
    </row>
    <row r="31" spans="1:38" s="59" customFormat="1" x14ac:dyDescent="0.2">
      <c r="A31" s="49"/>
      <c r="B31" s="23" t="s">
        <v>13</v>
      </c>
      <c r="C31" s="60">
        <v>0</v>
      </c>
      <c r="D31" s="32">
        <f>(D26/C26)-1</f>
        <v>1.81304102682296</v>
      </c>
      <c r="E31" s="32">
        <f t="shared" ref="E31:AL31" ca="1" si="9">(E26/D26)-1</f>
        <v>0.57665677253267655</v>
      </c>
      <c r="F31" s="32">
        <f t="shared" ca="1" si="9"/>
        <v>0.40653036734330872</v>
      </c>
      <c r="G31" s="32">
        <f t="shared" ca="1" si="9"/>
        <v>0.32522445933294453</v>
      </c>
      <c r="H31" s="32">
        <f t="shared" ca="1" si="9"/>
        <v>0.2575903291071644</v>
      </c>
      <c r="I31" s="32">
        <f t="shared" ca="1" si="9"/>
        <v>0.21387400841261783</v>
      </c>
      <c r="J31" s="32">
        <f t="shared" ca="1" si="9"/>
        <v>0.16644628328421018</v>
      </c>
      <c r="K31" s="32">
        <f t="shared" ca="1" si="9"/>
        <v>0.13515324009906537</v>
      </c>
      <c r="L31" s="32">
        <f t="shared" ca="1" si="9"/>
        <v>0.17419117058323175</v>
      </c>
      <c r="M31" s="32">
        <f t="shared" ca="1" si="9"/>
        <v>0.13243388901033737</v>
      </c>
      <c r="N31" s="33">
        <f t="shared" ca="1" si="9"/>
        <v>0.13268819690976041</v>
      </c>
      <c r="O31" s="32">
        <f t="shared" ca="1" si="9"/>
        <v>0.12562352706176272</v>
      </c>
      <c r="P31" s="32">
        <f t="shared" ca="1" si="9"/>
        <v>0.10550609768811858</v>
      </c>
      <c r="Q31" s="32">
        <f t="shared" ca="1" si="9"/>
        <v>0.10000710669052082</v>
      </c>
      <c r="R31" s="32">
        <f t="shared" ca="1" si="9"/>
        <v>8.2564706522465059E-2</v>
      </c>
      <c r="S31" s="32">
        <f t="shared" ca="1" si="9"/>
        <v>5.7039029616054338E-2</v>
      </c>
      <c r="T31" s="32">
        <f t="shared" ca="1" si="9"/>
        <v>9.4619261568783308E-2</v>
      </c>
      <c r="U31" s="32">
        <f t="shared" ca="1" si="9"/>
        <v>6.6070946215252224E-2</v>
      </c>
      <c r="V31" s="32">
        <f t="shared" ca="1" si="9"/>
        <v>5.9842243632439951E-2</v>
      </c>
      <c r="W31" s="32">
        <f t="shared" ca="1" si="9"/>
        <v>4.44042833176157E-2</v>
      </c>
      <c r="X31" s="32">
        <f t="shared" ca="1" si="9"/>
        <v>5.1377029889351444E-2</v>
      </c>
      <c r="Y31" s="32">
        <f t="shared" ca="1" si="9"/>
        <v>6.2163002873334205E-2</v>
      </c>
      <c r="Z31" s="33">
        <f t="shared" ca="1" si="9"/>
        <v>2.9237594728456884E-2</v>
      </c>
      <c r="AA31" s="32">
        <f t="shared" ca="1" si="9"/>
        <v>7.3973075844687264E-2</v>
      </c>
      <c r="AB31" s="32">
        <f t="shared" ca="1" si="9"/>
        <v>2.9919501796818793E-2</v>
      </c>
      <c r="AC31" s="32">
        <f t="shared" ca="1" si="9"/>
        <v>2.502080080764113E-2</v>
      </c>
      <c r="AD31" s="32">
        <f t="shared" ca="1" si="9"/>
        <v>3.2394269213223303E-2</v>
      </c>
      <c r="AE31" s="32">
        <f t="shared" ca="1" si="9"/>
        <v>2.7196727974242441E-2</v>
      </c>
      <c r="AF31" s="32">
        <f t="shared" ca="1" si="9"/>
        <v>3.9339499286257018E-2</v>
      </c>
      <c r="AG31" s="32">
        <f t="shared" ca="1" si="9"/>
        <v>2.6950581387495953E-2</v>
      </c>
      <c r="AH31" s="32">
        <f t="shared" ca="1" si="9"/>
        <v>1.5646376064492706E-2</v>
      </c>
      <c r="AI31" s="32">
        <f t="shared" ca="1" si="9"/>
        <v>1.0317073540287103E-2</v>
      </c>
      <c r="AJ31" s="32">
        <f t="shared" ca="1" si="9"/>
        <v>1.6683342142360447E-2</v>
      </c>
      <c r="AK31" s="32">
        <f t="shared" ca="1" si="9"/>
        <v>5.3816577257694842E-3</v>
      </c>
      <c r="AL31" s="32">
        <f t="shared" ca="1" si="9"/>
        <v>1.185574487708041E-2</v>
      </c>
    </row>
    <row r="32" spans="1:38" s="56" customFormat="1" ht="15.75" x14ac:dyDescent="0.25">
      <c r="A32" s="49"/>
      <c r="B32" s="52" t="s">
        <v>14</v>
      </c>
      <c r="C32" s="78">
        <f t="shared" ref="C32:AL32" si="10">C41+C48+C61</f>
        <v>8065905</v>
      </c>
      <c r="D32" s="78">
        <f t="shared" si="10"/>
        <v>8207432.7047193795</v>
      </c>
      <c r="E32" s="78">
        <f t="shared" ca="1" si="10"/>
        <v>8404588.2602684088</v>
      </c>
      <c r="F32" s="78">
        <f t="shared" ca="1" si="10"/>
        <v>8545886.9730330929</v>
      </c>
      <c r="G32" s="78">
        <f t="shared" ca="1" si="10"/>
        <v>8852357.3115835022</v>
      </c>
      <c r="H32" s="78">
        <f t="shared" ca="1" si="10"/>
        <v>9001133.9237931427</v>
      </c>
      <c r="I32" s="78">
        <f t="shared" ca="1" si="10"/>
        <v>7212064.5806138068</v>
      </c>
      <c r="J32" s="78">
        <f t="shared" ca="1" si="10"/>
        <v>7360178.3056860836</v>
      </c>
      <c r="K32" s="78">
        <f t="shared" ca="1" si="10"/>
        <v>7665749.0461906707</v>
      </c>
      <c r="L32" s="78">
        <f t="shared" ca="1" si="10"/>
        <v>7832420.5505862394</v>
      </c>
      <c r="M32" s="78">
        <f t="shared" ca="1" si="10"/>
        <v>8051939.0619015424</v>
      </c>
      <c r="N32" s="79">
        <f t="shared" ca="1" si="10"/>
        <v>8379469.2683622027</v>
      </c>
      <c r="O32" s="80">
        <f t="shared" ca="1" si="10"/>
        <v>8551887.3710965775</v>
      </c>
      <c r="P32" s="78">
        <f t="shared" ca="1" si="10"/>
        <v>8780348.9454600792</v>
      </c>
      <c r="Q32" s="78">
        <f t="shared" ca="1" si="10"/>
        <v>9112088.9379830379</v>
      </c>
      <c r="R32" s="78">
        <f t="shared" ca="1" si="10"/>
        <v>9277239.8345677312</v>
      </c>
      <c r="S32" s="78">
        <f t="shared" ca="1" si="10"/>
        <v>9485964.8457908537</v>
      </c>
      <c r="T32" s="78">
        <f t="shared" ca="1" si="10"/>
        <v>9831402.7127221525</v>
      </c>
      <c r="U32" s="78">
        <f t="shared" ca="1" si="10"/>
        <v>9996707.4151934292</v>
      </c>
      <c r="V32" s="78">
        <f t="shared" ca="1" si="10"/>
        <v>10219763.631050743</v>
      </c>
      <c r="W32" s="78">
        <f t="shared" ca="1" si="10"/>
        <v>10529352.719722727</v>
      </c>
      <c r="X32" s="78">
        <f t="shared" ca="1" si="10"/>
        <v>10589276.45826545</v>
      </c>
      <c r="Y32" s="78">
        <f t="shared" ca="1" si="10"/>
        <v>10725505.485264106</v>
      </c>
      <c r="Z32" s="79">
        <f t="shared" ca="1" si="10"/>
        <v>10763587.612773851</v>
      </c>
      <c r="AA32" s="78">
        <f t="shared" ca="1" si="10"/>
        <v>11022755.001930019</v>
      </c>
      <c r="AB32" s="78">
        <f t="shared" ca="1" si="10"/>
        <v>11125831.754297243</v>
      </c>
      <c r="AC32" s="78">
        <f t="shared" ca="1" si="10"/>
        <v>11162933.392252758</v>
      </c>
      <c r="AD32" s="78">
        <f t="shared" ca="1" si="10"/>
        <v>11212170.523747561</v>
      </c>
      <c r="AE32" s="78">
        <f t="shared" ca="1" si="10"/>
        <v>11414846.827627124</v>
      </c>
      <c r="AF32" s="78">
        <f t="shared" ca="1" si="10"/>
        <v>11478256.074752118</v>
      </c>
      <c r="AG32" s="78">
        <f t="shared" ca="1" si="10"/>
        <v>11583405.199939622</v>
      </c>
      <c r="AH32" s="78">
        <f t="shared" ca="1" si="10"/>
        <v>11610323.306681186</v>
      </c>
      <c r="AI32" s="78">
        <f t="shared" ca="1" si="10"/>
        <v>11628350.569734873</v>
      </c>
      <c r="AJ32" s="78">
        <f t="shared" ca="1" si="10"/>
        <v>11817802.51729097</v>
      </c>
      <c r="AK32" s="78">
        <f t="shared" ca="1" si="10"/>
        <v>11827461.530124379</v>
      </c>
      <c r="AL32" s="78">
        <f t="shared" ca="1" si="10"/>
        <v>11848854.76566604</v>
      </c>
    </row>
    <row r="33" spans="1:38" s="44" customFormat="1" x14ac:dyDescent="0.2">
      <c r="A33" s="49"/>
      <c r="B33" s="7" t="s">
        <v>15</v>
      </c>
      <c r="C33" s="69">
        <v>1</v>
      </c>
      <c r="D33" s="41">
        <f t="shared" ref="D33:AL33" si="11">D32/C32</f>
        <v>1.0175464135418628</v>
      </c>
      <c r="E33" s="41">
        <f t="shared" ca="1" si="11"/>
        <v>1.0240215866083997</v>
      </c>
      <c r="F33" s="41">
        <f t="shared" ca="1" si="11"/>
        <v>1.016812092203571</v>
      </c>
      <c r="G33" s="41">
        <f t="shared" ca="1" si="11"/>
        <v>1.0358617355363451</v>
      </c>
      <c r="H33" s="41">
        <f t="shared" ca="1" si="11"/>
        <v>1.0168064400219095</v>
      </c>
      <c r="I33" s="41">
        <f t="shared" ca="1" si="11"/>
        <v>0.80123955955702419</v>
      </c>
      <c r="J33" s="41">
        <f t="shared" ca="1" si="11"/>
        <v>1.0205369382673597</v>
      </c>
      <c r="K33" s="41">
        <f t="shared" ca="1" si="11"/>
        <v>1.0415167578574176</v>
      </c>
      <c r="L33" s="41">
        <f t="shared" ca="1" si="11"/>
        <v>1.0217423637783176</v>
      </c>
      <c r="M33" s="41">
        <f t="shared" ca="1" si="11"/>
        <v>1.0280269055903635</v>
      </c>
      <c r="N33" s="42">
        <f t="shared" ca="1" si="11"/>
        <v>1.0406771839606186</v>
      </c>
      <c r="O33" s="43">
        <f t="shared" ca="1" si="11"/>
        <v>1.0205762557523019</v>
      </c>
      <c r="P33" s="41">
        <f t="shared" ca="1" si="11"/>
        <v>1.0267147548195794</v>
      </c>
      <c r="Q33" s="41">
        <f t="shared" ca="1" si="11"/>
        <v>1.0377820966551092</v>
      </c>
      <c r="R33" s="41">
        <f t="shared" ca="1" si="11"/>
        <v>1.0181243727655329</v>
      </c>
      <c r="S33" s="41">
        <f t="shared" ca="1" si="11"/>
        <v>1.0224986111111838</v>
      </c>
      <c r="T33" s="41">
        <f t="shared" ca="1" si="11"/>
        <v>1.036415680697423</v>
      </c>
      <c r="U33" s="41">
        <f t="shared" ca="1" si="11"/>
        <v>1.0168139488638144</v>
      </c>
      <c r="V33" s="41">
        <f t="shared" ca="1" si="11"/>
        <v>1.0223129683197794</v>
      </c>
      <c r="W33" s="41">
        <f t="shared" ca="1" si="11"/>
        <v>1.0302931750526361</v>
      </c>
      <c r="X33" s="41">
        <f t="shared" ca="1" si="11"/>
        <v>1.0056911132277371</v>
      </c>
      <c r="Y33" s="41">
        <f t="shared" ca="1" si="11"/>
        <v>1.0128648097474424</v>
      </c>
      <c r="Z33" s="42">
        <f t="shared" ca="1" si="11"/>
        <v>1.0035506137740609</v>
      </c>
      <c r="AA33" s="41">
        <f t="shared" ca="1" si="11"/>
        <v>1.0240781604126674</v>
      </c>
      <c r="AB33" s="41">
        <f t="shared" ca="1" si="11"/>
        <v>1.0093512694738453</v>
      </c>
      <c r="AC33" s="41">
        <f t="shared" ca="1" si="11"/>
        <v>1.0033347293734858</v>
      </c>
      <c r="AD33" s="41">
        <f t="shared" ca="1" si="11"/>
        <v>1.0044107699799565</v>
      </c>
      <c r="AE33" s="41">
        <f t="shared" ca="1" si="11"/>
        <v>1.0180764557094713</v>
      </c>
      <c r="AF33" s="41">
        <f t="shared" ca="1" si="11"/>
        <v>1.0055549801134016</v>
      </c>
      <c r="AG33" s="41">
        <f t="shared" ca="1" si="11"/>
        <v>1.0091607230665285</v>
      </c>
      <c r="AH33" s="41">
        <f t="shared" ca="1" si="11"/>
        <v>1.0023238509123125</v>
      </c>
      <c r="AI33" s="41">
        <f t="shared" ca="1" si="11"/>
        <v>1.0015526925975708</v>
      </c>
      <c r="AJ33" s="41">
        <f t="shared" ca="1" si="11"/>
        <v>1.016292245956979</v>
      </c>
      <c r="AK33" s="41">
        <f t="shared" ca="1" si="11"/>
        <v>1.0008173273177714</v>
      </c>
      <c r="AL33" s="41">
        <f t="shared" ca="1" si="11"/>
        <v>1.0018087765905788</v>
      </c>
    </row>
    <row r="34" spans="1:38" s="90" customFormat="1" ht="15.75" customHeight="1" x14ac:dyDescent="0.25">
      <c r="A34" s="49"/>
      <c r="B34" s="86" t="s">
        <v>27</v>
      </c>
      <c r="C34" s="91">
        <f t="shared" ref="C34:AL34" si="12">C26-C32</f>
        <v>-7913205</v>
      </c>
      <c r="D34" s="91">
        <f t="shared" si="12"/>
        <v>-7777881.3399235141</v>
      </c>
      <c r="E34" s="91">
        <f t="shared" ca="1" si="12"/>
        <v>-7727333.1918123523</v>
      </c>
      <c r="F34" s="91">
        <f t="shared" ca="1" si="12"/>
        <v>-7593307.1528124781</v>
      </c>
      <c r="G34" s="91">
        <f t="shared" ca="1" si="12"/>
        <v>-7589975.234360164</v>
      </c>
      <c r="H34" s="91">
        <f t="shared" ca="1" si="12"/>
        <v>-7413574.4318388598</v>
      </c>
      <c r="I34" s="91">
        <f t="shared" ca="1" si="12"/>
        <v>-5284967.3765217625</v>
      </c>
      <c r="J34" s="91">
        <f t="shared" ca="1" si="12"/>
        <v>-5112322.9344455246</v>
      </c>
      <c r="K34" s="91">
        <f t="shared" ca="1" si="12"/>
        <v>-5114088.7382528633</v>
      </c>
      <c r="L34" s="91">
        <f t="shared" ca="1" si="12"/>
        <v>-4836283.5466779759</v>
      </c>
      <c r="M34" s="91">
        <f t="shared" ca="1" si="12"/>
        <v>-4659011.9825579273</v>
      </c>
      <c r="N34" s="92">
        <f t="shared" ca="1" si="12"/>
        <v>-4536340.8126141839</v>
      </c>
      <c r="O34" s="93">
        <f t="shared" ca="1" si="12"/>
        <v>-4225971.5637860661</v>
      </c>
      <c r="P34" s="91">
        <f t="shared" ca="1" si="12"/>
        <v>-3998022.6423928887</v>
      </c>
      <c r="Q34" s="91">
        <f t="shared" ca="1" si="12"/>
        <v>-3851496.0180961229</v>
      </c>
      <c r="R34" s="91">
        <f t="shared" ca="1" si="12"/>
        <v>-3582307.6041161958</v>
      </c>
      <c r="S34" s="91">
        <f t="shared" ca="1" si="12"/>
        <v>-3466199.2071851706</v>
      </c>
      <c r="T34" s="91">
        <f t="shared" ca="1" si="12"/>
        <v>-3242051.2945744637</v>
      </c>
      <c r="U34" s="91">
        <f t="shared" ca="1" si="12"/>
        <v>-2971991.3139039092</v>
      </c>
      <c r="V34" s="91">
        <f t="shared" ca="1" si="12"/>
        <v>-2774672.7573791314</v>
      </c>
      <c r="W34" s="91">
        <f t="shared" ca="1" si="12"/>
        <v>-2753667.9215712063</v>
      </c>
      <c r="X34" s="91">
        <f t="shared" ca="1" si="12"/>
        <v>-2414100.0698291222</v>
      </c>
      <c r="Y34" s="91">
        <f t="shared" ca="1" si="12"/>
        <v>-2042135.5835033972</v>
      </c>
      <c r="Z34" s="92">
        <f t="shared" ca="1" si="12"/>
        <v>-1826336.8609481826</v>
      </c>
      <c r="AA34" s="91">
        <f t="shared" ca="1" si="12"/>
        <v>-1424388.3223965634</v>
      </c>
      <c r="AB34" s="91">
        <f t="shared" ca="1" si="12"/>
        <v>-1240286.7256489601</v>
      </c>
      <c r="AC34" s="91">
        <f t="shared" ca="1" si="12"/>
        <v>-1030044.1105677001</v>
      </c>
      <c r="AD34" s="91">
        <f t="shared" ca="1" si="12"/>
        <v>-751033.69876381196</v>
      </c>
      <c r="AE34" s="91">
        <f t="shared" ca="1" si="12"/>
        <v>-669201.3101129625</v>
      </c>
      <c r="AF34" s="91">
        <f t="shared" ca="1" si="12"/>
        <v>-309882.24307133816</v>
      </c>
      <c r="AG34" s="91">
        <f t="shared" ca="1" si="12"/>
        <v>-114037.20034214854</v>
      </c>
      <c r="AH34" s="91">
        <f t="shared" ca="1" si="12"/>
        <v>38498.73786004819</v>
      </c>
      <c r="AI34" s="91">
        <f t="shared" ca="1" si="12"/>
        <v>140653.22849761136</v>
      </c>
      <c r="AJ34" s="91">
        <f t="shared" ca="1" si="12"/>
        <v>147547.59798216633</v>
      </c>
      <c r="AK34" s="91">
        <f t="shared" ca="1" si="12"/>
        <v>202282.00403815508</v>
      </c>
      <c r="AL34" s="91">
        <f t="shared" ca="1" si="12"/>
        <v>323510.33877423219</v>
      </c>
    </row>
    <row r="35" spans="1:38" ht="15.75" customHeight="1" x14ac:dyDescent="0.2">
      <c r="A35" s="49"/>
      <c r="B35" s="5" t="s">
        <v>28</v>
      </c>
      <c r="C35" s="75">
        <f>C34</f>
        <v>-7913205</v>
      </c>
      <c r="D35" s="75">
        <f>D34+C34</f>
        <v>-15691086.339923514</v>
      </c>
      <c r="E35" s="75">
        <f t="shared" ref="E35:AL35" ca="1" si="13">E34+D34</f>
        <v>-15505214.531735867</v>
      </c>
      <c r="F35" s="75">
        <f t="shared" ca="1" si="13"/>
        <v>-15320640.34462483</v>
      </c>
      <c r="G35" s="75">
        <f t="shared" ca="1" si="13"/>
        <v>-15183282.387172643</v>
      </c>
      <c r="H35" s="75">
        <f t="shared" ca="1" si="13"/>
        <v>-15003549.666199025</v>
      </c>
      <c r="I35" s="75">
        <f t="shared" ca="1" si="13"/>
        <v>-12698541.808360621</v>
      </c>
      <c r="J35" s="75">
        <f t="shared" ca="1" si="13"/>
        <v>-10397290.310967287</v>
      </c>
      <c r="K35" s="75">
        <f t="shared" ca="1" si="13"/>
        <v>-10226411.672698388</v>
      </c>
      <c r="L35" s="75">
        <f t="shared" ca="1" si="13"/>
        <v>-9950372.2849308401</v>
      </c>
      <c r="M35" s="75">
        <f t="shared" ca="1" si="13"/>
        <v>-9495295.5292359032</v>
      </c>
      <c r="N35" s="76">
        <f t="shared" ca="1" si="13"/>
        <v>-9195352.7951721102</v>
      </c>
      <c r="O35" s="77">
        <f t="shared" ca="1" si="13"/>
        <v>-8762312.3764002509</v>
      </c>
      <c r="P35" s="75">
        <f t="shared" ca="1" si="13"/>
        <v>-8223994.2061789548</v>
      </c>
      <c r="Q35" s="75">
        <f t="shared" ca="1" si="13"/>
        <v>-7849518.6604890116</v>
      </c>
      <c r="R35" s="75">
        <f t="shared" ca="1" si="13"/>
        <v>-7433803.6222123187</v>
      </c>
      <c r="S35" s="75">
        <f t="shared" ca="1" si="13"/>
        <v>-7048506.8113013664</v>
      </c>
      <c r="T35" s="75">
        <f t="shared" ca="1" si="13"/>
        <v>-6708250.5017596344</v>
      </c>
      <c r="U35" s="75">
        <f t="shared" ca="1" si="13"/>
        <v>-6214042.6084783729</v>
      </c>
      <c r="V35" s="75">
        <f t="shared" ca="1" si="13"/>
        <v>-5746664.0712830406</v>
      </c>
      <c r="W35" s="75">
        <f t="shared" ca="1" si="13"/>
        <v>-5528340.6789503377</v>
      </c>
      <c r="X35" s="75">
        <f t="shared" ca="1" si="13"/>
        <v>-5167767.9914003285</v>
      </c>
      <c r="Y35" s="75">
        <f t="shared" ca="1" si="13"/>
        <v>-4456235.6533325193</v>
      </c>
      <c r="Z35" s="76">
        <f t="shared" ca="1" si="13"/>
        <v>-3868472.4444515798</v>
      </c>
      <c r="AA35" s="75">
        <f t="shared" ca="1" si="13"/>
        <v>-3250725.183344746</v>
      </c>
      <c r="AB35" s="75">
        <f t="shared" ca="1" si="13"/>
        <v>-2664675.0480455235</v>
      </c>
      <c r="AC35" s="75">
        <f t="shared" ca="1" si="13"/>
        <v>-2270330.8362166602</v>
      </c>
      <c r="AD35" s="75">
        <f t="shared" ca="1" si="13"/>
        <v>-1781077.8093315121</v>
      </c>
      <c r="AE35" s="75">
        <f t="shared" ca="1" si="13"/>
        <v>-1420235.0088767745</v>
      </c>
      <c r="AF35" s="75">
        <f t="shared" ca="1" si="13"/>
        <v>-979083.55318430066</v>
      </c>
      <c r="AG35" s="75">
        <f t="shared" ca="1" si="13"/>
        <v>-423919.4434134867</v>
      </c>
      <c r="AH35" s="75">
        <f t="shared" ca="1" si="13"/>
        <v>-75538.462482100353</v>
      </c>
      <c r="AI35" s="75">
        <f t="shared" ca="1" si="13"/>
        <v>179151.96635765955</v>
      </c>
      <c r="AJ35" s="75">
        <f t="shared" ca="1" si="13"/>
        <v>288200.82647977769</v>
      </c>
      <c r="AK35" s="75">
        <f t="shared" ca="1" si="13"/>
        <v>349829.60202032141</v>
      </c>
      <c r="AL35" s="75">
        <f t="shared" ca="1" si="13"/>
        <v>525792.34281238727</v>
      </c>
    </row>
    <row r="36" spans="1:38" ht="15.75" customHeight="1" x14ac:dyDescent="0.2">
      <c r="A36" s="49"/>
      <c r="B36" s="7" t="s">
        <v>29</v>
      </c>
      <c r="C36" s="41">
        <f t="shared" ref="C36:AL36" si="14">C34/C26</f>
        <v>-51.82190569744597</v>
      </c>
      <c r="D36" s="41">
        <f t="shared" si="14"/>
        <v>-18.106987842117011</v>
      </c>
      <c r="E36" s="41">
        <f t="shared" ca="1" si="14"/>
        <v>-11.409782741720063</v>
      </c>
      <c r="F36" s="41">
        <f t="shared" ca="1" si="14"/>
        <v>-7.97130801180933</v>
      </c>
      <c r="G36" s="41">
        <f t="shared" ca="1" si="14"/>
        <v>-6.0124231572224414</v>
      </c>
      <c r="H36" s="41">
        <f t="shared" ca="1" si="14"/>
        <v>-4.6697931443896703</v>
      </c>
      <c r="I36" s="41">
        <f t="shared" ca="1" si="14"/>
        <v>-2.7424498179435552</v>
      </c>
      <c r="J36" s="41">
        <f t="shared" ca="1" si="14"/>
        <v>-2.2743113279677369</v>
      </c>
      <c r="K36" s="41">
        <f t="shared" ca="1" si="14"/>
        <v>-2.0042200454126871</v>
      </c>
      <c r="L36" s="41">
        <f t="shared" ca="1" si="14"/>
        <v>-1.6141730302617545</v>
      </c>
      <c r="M36" s="41">
        <f t="shared" ca="1" si="14"/>
        <v>-1.3731541744360876</v>
      </c>
      <c r="N36" s="42">
        <f t="shared" ca="1" si="14"/>
        <v>-1.1803770976817998</v>
      </c>
      <c r="O36" s="43">
        <f t="shared" ca="1" si="14"/>
        <v>-0.97689639651434135</v>
      </c>
      <c r="P36" s="41">
        <f t="shared" ca="1" si="14"/>
        <v>-0.83599955106131485</v>
      </c>
      <c r="Q36" s="41">
        <f t="shared" ca="1" si="14"/>
        <v>-0.73214104887988884</v>
      </c>
      <c r="R36" s="41">
        <f t="shared" ca="1" si="14"/>
        <v>-0.62903428156021524</v>
      </c>
      <c r="S36" s="41">
        <f t="shared" ca="1" si="14"/>
        <v>-0.57580301547885882</v>
      </c>
      <c r="T36" s="41">
        <f t="shared" ca="1" si="14"/>
        <v>-0.49201371862571358</v>
      </c>
      <c r="U36" s="41">
        <f t="shared" ca="1" si="14"/>
        <v>-0.42307635939313532</v>
      </c>
      <c r="V36" s="41">
        <f t="shared" ca="1" si="14"/>
        <v>-0.37268487443065651</v>
      </c>
      <c r="W36" s="41">
        <f t="shared" ca="1" si="14"/>
        <v>-0.35413831618095215</v>
      </c>
      <c r="X36" s="41">
        <f t="shared" ca="1" si="14"/>
        <v>-0.29529638935299707</v>
      </c>
      <c r="Y36" s="41">
        <f t="shared" ca="1" si="14"/>
        <v>-0.23517777160331702</v>
      </c>
      <c r="Z36" s="42">
        <f t="shared" ca="1" si="14"/>
        <v>-0.20435108196724874</v>
      </c>
      <c r="AA36" s="41">
        <f t="shared" ca="1" si="14"/>
        <v>-0.14839903183046535</v>
      </c>
      <c r="AB36" s="41">
        <f t="shared" ca="1" si="14"/>
        <v>-0.12546467817956547</v>
      </c>
      <c r="AC36" s="41">
        <f t="shared" ca="1" si="14"/>
        <v>-0.10165354440707043</v>
      </c>
      <c r="AD36" s="41">
        <f t="shared" ca="1" si="14"/>
        <v>-7.1792742158783368E-2</v>
      </c>
      <c r="AE36" s="41">
        <f t="shared" ca="1" si="14"/>
        <v>-6.2276510891992633E-2</v>
      </c>
      <c r="AF36" s="41">
        <f t="shared" ca="1" si="14"/>
        <v>-2.7746406750131371E-2</v>
      </c>
      <c r="AG36" s="41">
        <f t="shared" ca="1" si="14"/>
        <v>-9.9427623515219651E-3</v>
      </c>
      <c r="AH36" s="41">
        <f t="shared" ca="1" si="14"/>
        <v>3.3049468618236055E-3</v>
      </c>
      <c r="AI36" s="41">
        <f t="shared" ca="1" si="14"/>
        <v>1.1951158391055598E-2</v>
      </c>
      <c r="AJ36" s="41">
        <f t="shared" ca="1" si="14"/>
        <v>1.2331239500783986E-2</v>
      </c>
      <c r="AK36" s="41">
        <f t="shared" ca="1" si="14"/>
        <v>1.681515515802201E-2</v>
      </c>
      <c r="AL36" s="41">
        <f t="shared" ca="1" si="14"/>
        <v>2.6577442920786291E-2</v>
      </c>
    </row>
    <row r="37" spans="1:38" s="90" customFormat="1" ht="15.75" customHeight="1" x14ac:dyDescent="0.25">
      <c r="A37" s="49"/>
      <c r="B37" s="86" t="s">
        <v>19</v>
      </c>
      <c r="C37" s="87">
        <f t="shared" ref="C37:AL37" si="15">C26-C41</f>
        <v>-1614935</v>
      </c>
      <c r="D37" s="87">
        <f t="shared" si="15"/>
        <v>-1351926.2034439272</v>
      </c>
      <c r="E37" s="87">
        <f t="shared" ca="1" si="15"/>
        <v>-1176607.6849667463</v>
      </c>
      <c r="F37" s="87">
        <f t="shared" ca="1" si="15"/>
        <v>-915049.17079041596</v>
      </c>
      <c r="G37" s="87">
        <f t="shared" ca="1" si="15"/>
        <v>-780737.02663782937</v>
      </c>
      <c r="H37" s="87">
        <f t="shared" ca="1" si="15"/>
        <v>-471818.48264343082</v>
      </c>
      <c r="I37" s="87">
        <f t="shared" ca="1" si="15"/>
        <v>-209257.65611255774</v>
      </c>
      <c r="J37" s="87">
        <f t="shared" ca="1" si="15"/>
        <v>95462.60267853085</v>
      </c>
      <c r="K37" s="87">
        <f t="shared" ca="1" si="15"/>
        <v>224077.29254091717</v>
      </c>
      <c r="L37" s="87">
        <f t="shared" ca="1" si="15"/>
        <v>646330.15371285053</v>
      </c>
      <c r="M37" s="87">
        <f t="shared" ca="1" si="15"/>
        <v>963280.72537643462</v>
      </c>
      <c r="N37" s="88">
        <f t="shared" ca="1" si="15"/>
        <v>1230972.0329606184</v>
      </c>
      <c r="O37" s="89">
        <f t="shared" ca="1" si="15"/>
        <v>1689620.0169449858</v>
      </c>
      <c r="P37" s="87">
        <f t="shared" ca="1" si="15"/>
        <v>2063209.9879138311</v>
      </c>
      <c r="Q37" s="87">
        <f t="shared" ca="1" si="15"/>
        <v>2357563.2738925694</v>
      </c>
      <c r="R37" s="87">
        <f t="shared" ca="1" si="15"/>
        <v>2770185.6189289587</v>
      </c>
      <c r="S37" s="87">
        <f t="shared" ca="1" si="15"/>
        <v>3018777.3566753985</v>
      </c>
      <c r="T37" s="87">
        <f t="shared" ca="1" si="15"/>
        <v>3399883.8472403046</v>
      </c>
      <c r="U37" s="87">
        <f t="shared" ca="1" si="15"/>
        <v>3813480.2962250439</v>
      </c>
      <c r="V37" s="87">
        <f t="shared" ca="1" si="15"/>
        <v>4152836.3299880316</v>
      </c>
      <c r="W37" s="87">
        <f t="shared" ca="1" si="15"/>
        <v>4306900.5582439452</v>
      </c>
      <c r="X37" s="87">
        <f t="shared" ca="1" si="15"/>
        <v>4686417.569014512</v>
      </c>
      <c r="Y37" s="87">
        <f t="shared" ca="1" si="15"/>
        <v>5109201.4066726733</v>
      </c>
      <c r="Z37" s="88">
        <f t="shared" ca="1" si="15"/>
        <v>5350388.2142343838</v>
      </c>
      <c r="AA37" s="87">
        <f t="shared" ca="1" si="15"/>
        <v>5818448.3455567826</v>
      </c>
      <c r="AB37" s="87">
        <f t="shared" ca="1" si="15"/>
        <v>6031267.7772158692</v>
      </c>
      <c r="AC37" s="87">
        <f t="shared" ca="1" si="15"/>
        <v>6266244.8176008053</v>
      </c>
      <c r="AD37" s="87">
        <f t="shared" ca="1" si="15"/>
        <v>6578079.9837345621</v>
      </c>
      <c r="AE37" s="87">
        <f t="shared" ca="1" si="15"/>
        <v>6688363.2416384537</v>
      </c>
      <c r="AF37" s="87">
        <f t="shared" ca="1" si="15"/>
        <v>7089955.1400967408</v>
      </c>
      <c r="AG37" s="87">
        <f t="shared" ca="1" si="15"/>
        <v>7315899.5996175995</v>
      </c>
      <c r="AH37" s="87">
        <f t="shared" ca="1" si="15"/>
        <v>7486380.9423141722</v>
      </c>
      <c r="AI37" s="87">
        <f t="shared" ca="1" si="15"/>
        <v>7600553.6083208602</v>
      </c>
      <c r="AJ37" s="87">
        <f t="shared" ca="1" si="15"/>
        <v>7627082.6095094802</v>
      </c>
      <c r="AK37" s="87">
        <f t="shared" ca="1" si="15"/>
        <v>7688256.357454408</v>
      </c>
      <c r="AL37" s="87">
        <f t="shared" ca="1" si="15"/>
        <v>7823746.8492182586</v>
      </c>
    </row>
    <row r="38" spans="1:38" s="40" customFormat="1" ht="15.75" customHeight="1" x14ac:dyDescent="0.2">
      <c r="A38" s="49"/>
      <c r="B38" s="7" t="s">
        <v>20</v>
      </c>
      <c r="C38" s="41">
        <f t="shared" ref="C38:AL38" si="16">C37/C26</f>
        <v>-10.575867714472823</v>
      </c>
      <c r="D38" s="41">
        <f t="shared" si="16"/>
        <v>-3.1472981213466702</v>
      </c>
      <c r="E38" s="41">
        <f t="shared" ca="1" si="16"/>
        <v>-1.7373183897302797</v>
      </c>
      <c r="F38" s="41">
        <f t="shared" ca="1" si="16"/>
        <v>-0.96060104504260146</v>
      </c>
      <c r="G38" s="41">
        <f t="shared" ca="1" si="16"/>
        <v>-0.61846333271389053</v>
      </c>
      <c r="H38" s="41">
        <f t="shared" ca="1" si="16"/>
        <v>-0.29719735545949405</v>
      </c>
      <c r="I38" s="41">
        <f t="shared" ca="1" si="16"/>
        <v>-0.10858697509820209</v>
      </c>
      <c r="J38" s="41">
        <f t="shared" ca="1" si="16"/>
        <v>4.246830285430972E-2</v>
      </c>
      <c r="K38" s="41">
        <f t="shared" ca="1" si="16"/>
        <v>8.7816270780185168E-2</v>
      </c>
      <c r="L38" s="41">
        <f t="shared" ca="1" si="16"/>
        <v>0.21572116123853996</v>
      </c>
      <c r="M38" s="41">
        <f t="shared" ca="1" si="16"/>
        <v>0.28390846689307214</v>
      </c>
      <c r="N38" s="42">
        <f t="shared" ca="1" si="16"/>
        <v>0.32030468071383378</v>
      </c>
      <c r="O38" s="43">
        <f t="shared" ca="1" si="16"/>
        <v>0.39058088326398765</v>
      </c>
      <c r="P38" s="41">
        <f t="shared" ca="1" si="16"/>
        <v>0.43142392575566657</v>
      </c>
      <c r="Q38" s="41">
        <f t="shared" ca="1" si="16"/>
        <v>0.44815542844612449</v>
      </c>
      <c r="R38" s="41">
        <f t="shared" ca="1" si="16"/>
        <v>0.48642995330417099</v>
      </c>
      <c r="S38" s="41">
        <f t="shared" ca="1" si="16"/>
        <v>0.50147755542433659</v>
      </c>
      <c r="T38" s="41">
        <f t="shared" ca="1" si="16"/>
        <v>0.51596638750768509</v>
      </c>
      <c r="U38" s="41">
        <f t="shared" ca="1" si="16"/>
        <v>0.54286610892716469</v>
      </c>
      <c r="V38" s="41">
        <f t="shared" ca="1" si="16"/>
        <v>0.55779525064950941</v>
      </c>
      <c r="W38" s="41">
        <f t="shared" ca="1" si="16"/>
        <v>0.55389340875388948</v>
      </c>
      <c r="X38" s="41">
        <f t="shared" ca="1" si="16"/>
        <v>0.57324971919179435</v>
      </c>
      <c r="Y38" s="41">
        <f t="shared" ca="1" si="16"/>
        <v>0.5883892387950318</v>
      </c>
      <c r="Z38" s="42">
        <f t="shared" ca="1" si="16"/>
        <v>0.5986615305765508</v>
      </c>
      <c r="AA38" s="41">
        <f t="shared" ca="1" si="16"/>
        <v>0.60619150526551857</v>
      </c>
      <c r="AB38" s="41">
        <f t="shared" ca="1" si="16"/>
        <v>0.61010978754709744</v>
      </c>
      <c r="AC38" s="41">
        <f t="shared" ca="1" si="16"/>
        <v>0.61840652191146361</v>
      </c>
      <c r="AD38" s="41">
        <f t="shared" ca="1" si="16"/>
        <v>0.62881119841817767</v>
      </c>
      <c r="AE38" s="41">
        <f t="shared" ca="1" si="16"/>
        <v>0.62242544952159395</v>
      </c>
      <c r="AF38" s="41">
        <f t="shared" ca="1" si="16"/>
        <v>0.63482430360497166</v>
      </c>
      <c r="AG38" s="41">
        <f t="shared" ca="1" si="16"/>
        <v>0.63786423104345047</v>
      </c>
      <c r="AH38" s="41">
        <f t="shared" ca="1" si="16"/>
        <v>0.64267278817452378</v>
      </c>
      <c r="AI38" s="41">
        <f t="shared" ca="1" si="16"/>
        <v>0.64581112714589672</v>
      </c>
      <c r="AJ38" s="41">
        <f t="shared" ca="1" si="16"/>
        <v>0.63743079274996828</v>
      </c>
      <c r="AK38" s="41">
        <f t="shared" ca="1" si="16"/>
        <v>0.63910392899241764</v>
      </c>
      <c r="AL38" s="41">
        <f t="shared" ca="1" si="16"/>
        <v>0.64274664636573287</v>
      </c>
    </row>
    <row r="39" spans="1:38" s="44" customFormat="1" x14ac:dyDescent="0.2">
      <c r="A39" s="49"/>
      <c r="B39" s="70"/>
      <c r="C39" s="69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</row>
    <row r="40" spans="1:38" s="58" customFormat="1" ht="24" customHeight="1" x14ac:dyDescent="0.2">
      <c r="A40" s="40"/>
      <c r="B40" s="95" t="s">
        <v>79</v>
      </c>
    </row>
    <row r="41" spans="1:38" s="56" customFormat="1" ht="15.75" x14ac:dyDescent="0.25">
      <c r="A41" s="49"/>
      <c r="B41" s="52" t="s">
        <v>16</v>
      </c>
      <c r="C41" s="53">
        <f>SUM(C42:C45)</f>
        <v>1767635</v>
      </c>
      <c r="D41" s="53">
        <f t="shared" ref="D41:AL41" si="17">SUM(D42:D45)</f>
        <v>1781477.5682397932</v>
      </c>
      <c r="E41" s="53">
        <f t="shared" ca="1" si="17"/>
        <v>1853862.7534228028</v>
      </c>
      <c r="F41" s="53">
        <f t="shared" ca="1" si="17"/>
        <v>1867628.9910110307</v>
      </c>
      <c r="G41" s="53">
        <f t="shared" ca="1" si="17"/>
        <v>2043119.1038611671</v>
      </c>
      <c r="H41" s="53">
        <f t="shared" ca="1" si="17"/>
        <v>2059377.9745977139</v>
      </c>
      <c r="I41" s="53">
        <f t="shared" ca="1" si="17"/>
        <v>2136354.8602046026</v>
      </c>
      <c r="J41" s="53">
        <f t="shared" ca="1" si="17"/>
        <v>2152392.7685620277</v>
      </c>
      <c r="K41" s="53">
        <f t="shared" ca="1" si="17"/>
        <v>2327583.0153968902</v>
      </c>
      <c r="L41" s="53">
        <f t="shared" ca="1" si="17"/>
        <v>2349806.850195413</v>
      </c>
      <c r="M41" s="53">
        <f t="shared" ca="1" si="17"/>
        <v>2429646.3539671805</v>
      </c>
      <c r="N41" s="54">
        <f t="shared" ca="1" si="17"/>
        <v>2612156.4227874009</v>
      </c>
      <c r="O41" s="55">
        <f t="shared" ca="1" si="17"/>
        <v>2636295.7903655255</v>
      </c>
      <c r="P41" s="53">
        <f t="shared" ca="1" si="17"/>
        <v>2719116.3151533594</v>
      </c>
      <c r="Q41" s="53">
        <f t="shared" ca="1" si="17"/>
        <v>2903029.6459943457</v>
      </c>
      <c r="R41" s="53">
        <f t="shared" ca="1" si="17"/>
        <v>2924746.6115225768</v>
      </c>
      <c r="S41" s="53">
        <f t="shared" ca="1" si="17"/>
        <v>3000988.2819302846</v>
      </c>
      <c r="T41" s="53">
        <f t="shared" ca="1" si="17"/>
        <v>3189467.5709073842</v>
      </c>
      <c r="U41" s="53">
        <f t="shared" ca="1" si="17"/>
        <v>3211235.8050644761</v>
      </c>
      <c r="V41" s="53">
        <f t="shared" ca="1" si="17"/>
        <v>3292254.5436835801</v>
      </c>
      <c r="W41" s="53">
        <f t="shared" ca="1" si="17"/>
        <v>3468784.2399075758</v>
      </c>
      <c r="X41" s="53">
        <f t="shared" ca="1" si="17"/>
        <v>3488758.8194218162</v>
      </c>
      <c r="Y41" s="53">
        <f t="shared" ca="1" si="17"/>
        <v>3574168.4950880352</v>
      </c>
      <c r="Z41" s="54">
        <f t="shared" ca="1" si="17"/>
        <v>3586862.5375912837</v>
      </c>
      <c r="AA41" s="53">
        <f t="shared" ca="1" si="17"/>
        <v>3779918.3339766725</v>
      </c>
      <c r="AB41" s="53">
        <f t="shared" ca="1" si="17"/>
        <v>3854277.2514324142</v>
      </c>
      <c r="AC41" s="53">
        <f t="shared" ca="1" si="17"/>
        <v>3866644.4640842532</v>
      </c>
      <c r="AD41" s="53">
        <f t="shared" ca="1" si="17"/>
        <v>3883056.8412491875</v>
      </c>
      <c r="AE41" s="53">
        <f t="shared" ca="1" si="17"/>
        <v>4057282.2758757081</v>
      </c>
      <c r="AF41" s="53">
        <f t="shared" ca="1" si="17"/>
        <v>4078418.6915840395</v>
      </c>
      <c r="AG41" s="53">
        <f t="shared" ca="1" si="17"/>
        <v>4153468.3999798736</v>
      </c>
      <c r="AH41" s="53">
        <f t="shared" ca="1" si="17"/>
        <v>4162441.102227062</v>
      </c>
      <c r="AI41" s="53">
        <f t="shared" ca="1" si="17"/>
        <v>4168450.189911624</v>
      </c>
      <c r="AJ41" s="53">
        <f t="shared" ca="1" si="17"/>
        <v>4338267.5057636565</v>
      </c>
      <c r="AK41" s="53">
        <f t="shared" ca="1" si="17"/>
        <v>4341487.1767081264</v>
      </c>
      <c r="AL41" s="53">
        <f t="shared" ca="1" si="17"/>
        <v>4348618.2552220132</v>
      </c>
    </row>
    <row r="42" spans="1:38" x14ac:dyDescent="0.2">
      <c r="A42" s="44"/>
      <c r="B42" s="5" t="s">
        <v>42</v>
      </c>
      <c r="C42" s="72">
        <f t="shared" ref="C42:AL42" si="18">ROUNDUP(C75 / 100, 0)*$C$16</f>
        <v>60000</v>
      </c>
      <c r="D42" s="72">
        <f t="shared" si="18"/>
        <v>60000</v>
      </c>
      <c r="E42" s="72">
        <f t="shared" ca="1" si="18"/>
        <v>120000</v>
      </c>
      <c r="F42" s="72">
        <f t="shared" ca="1" si="18"/>
        <v>120000</v>
      </c>
      <c r="G42" s="72">
        <f t="shared" ca="1" si="18"/>
        <v>180000</v>
      </c>
      <c r="H42" s="72">
        <f t="shared" ca="1" si="18"/>
        <v>180000</v>
      </c>
      <c r="I42" s="72">
        <f t="shared" ca="1" si="18"/>
        <v>240000</v>
      </c>
      <c r="J42" s="72">
        <f t="shared" ca="1" si="18"/>
        <v>240000</v>
      </c>
      <c r="K42" s="72">
        <f t="shared" ca="1" si="18"/>
        <v>300000</v>
      </c>
      <c r="L42" s="72">
        <f t="shared" ca="1" si="18"/>
        <v>300000</v>
      </c>
      <c r="M42" s="72">
        <f t="shared" ca="1" si="18"/>
        <v>360000</v>
      </c>
      <c r="N42" s="73">
        <f t="shared" ca="1" si="18"/>
        <v>420000</v>
      </c>
      <c r="O42" s="74">
        <f t="shared" ca="1" si="18"/>
        <v>420000</v>
      </c>
      <c r="P42" s="72">
        <f t="shared" ca="1" si="18"/>
        <v>480000</v>
      </c>
      <c r="Q42" s="72">
        <f t="shared" ca="1" si="18"/>
        <v>540000</v>
      </c>
      <c r="R42" s="72">
        <f t="shared" ca="1" si="18"/>
        <v>540000</v>
      </c>
      <c r="S42" s="72">
        <f t="shared" ca="1" si="18"/>
        <v>600000</v>
      </c>
      <c r="T42" s="72">
        <f t="shared" ca="1" si="18"/>
        <v>660000</v>
      </c>
      <c r="U42" s="72">
        <f t="shared" ca="1" si="18"/>
        <v>660000</v>
      </c>
      <c r="V42" s="72">
        <f t="shared" ca="1" si="18"/>
        <v>720000</v>
      </c>
      <c r="W42" s="72">
        <f t="shared" ca="1" si="18"/>
        <v>780000</v>
      </c>
      <c r="X42" s="72">
        <f t="shared" ca="1" si="18"/>
        <v>780000</v>
      </c>
      <c r="Y42" s="72">
        <f t="shared" ca="1" si="18"/>
        <v>840000</v>
      </c>
      <c r="Z42" s="73">
        <f t="shared" ca="1" si="18"/>
        <v>840000</v>
      </c>
      <c r="AA42" s="72">
        <f t="shared" ca="1" si="18"/>
        <v>900000</v>
      </c>
      <c r="AB42" s="72">
        <f t="shared" ca="1" si="18"/>
        <v>960000</v>
      </c>
      <c r="AC42" s="72">
        <f t="shared" ca="1" si="18"/>
        <v>960000</v>
      </c>
      <c r="AD42" s="72">
        <f t="shared" ca="1" si="18"/>
        <v>960000</v>
      </c>
      <c r="AE42" s="72">
        <f t="shared" ca="1" si="18"/>
        <v>1020000</v>
      </c>
      <c r="AF42" s="72">
        <f t="shared" ca="1" si="18"/>
        <v>1020000</v>
      </c>
      <c r="AG42" s="72">
        <f t="shared" ca="1" si="18"/>
        <v>1080000</v>
      </c>
      <c r="AH42" s="72">
        <f t="shared" ca="1" si="18"/>
        <v>1080000</v>
      </c>
      <c r="AI42" s="72">
        <f t="shared" ca="1" si="18"/>
        <v>1080000</v>
      </c>
      <c r="AJ42" s="72">
        <f t="shared" ca="1" si="18"/>
        <v>1140000</v>
      </c>
      <c r="AK42" s="72">
        <f t="shared" ca="1" si="18"/>
        <v>1140000</v>
      </c>
      <c r="AL42" s="72">
        <f t="shared" ca="1" si="18"/>
        <v>1140000</v>
      </c>
    </row>
    <row r="43" spans="1:38" x14ac:dyDescent="0.2">
      <c r="A43" s="44"/>
      <c r="B43" s="7" t="s">
        <v>46</v>
      </c>
      <c r="C43" s="72">
        <f t="shared" ref="C43:AL43" si="19">$C$15+(C26*3%)</f>
        <v>604581</v>
      </c>
      <c r="D43" s="72">
        <f t="shared" si="19"/>
        <v>612886.54094387603</v>
      </c>
      <c r="E43" s="72">
        <f t="shared" ca="1" si="19"/>
        <v>620317.65205368167</v>
      </c>
      <c r="F43" s="72">
        <f t="shared" ca="1" si="19"/>
        <v>628577.39460661844</v>
      </c>
      <c r="G43" s="72">
        <f t="shared" ca="1" si="19"/>
        <v>637871.46231670014</v>
      </c>
      <c r="H43" s="72">
        <f t="shared" ca="1" si="19"/>
        <v>647626.78475862846</v>
      </c>
      <c r="I43" s="72">
        <f t="shared" ca="1" si="19"/>
        <v>657812.91612276132</v>
      </c>
      <c r="J43" s="72">
        <f t="shared" ca="1" si="19"/>
        <v>667435.66113721672</v>
      </c>
      <c r="K43" s="72">
        <f t="shared" ca="1" si="19"/>
        <v>676549.80923813418</v>
      </c>
      <c r="L43" s="72">
        <f t="shared" ca="1" si="19"/>
        <v>689884.11011724791</v>
      </c>
      <c r="M43" s="72">
        <f t="shared" ca="1" si="19"/>
        <v>701787.8123803084</v>
      </c>
      <c r="N43" s="73">
        <f t="shared" ca="1" si="19"/>
        <v>715293.85367244063</v>
      </c>
      <c r="O43" s="74">
        <f t="shared" ca="1" si="19"/>
        <v>729777.47421931534</v>
      </c>
      <c r="P43" s="72">
        <f t="shared" ca="1" si="19"/>
        <v>743469.78909201571</v>
      </c>
      <c r="Q43" s="72">
        <f t="shared" ca="1" si="19"/>
        <v>757817.78759660746</v>
      </c>
      <c r="R43" s="72">
        <f t="shared" ca="1" si="19"/>
        <v>770847.96691354609</v>
      </c>
      <c r="S43" s="72">
        <f t="shared" ca="1" si="19"/>
        <v>780592.96915817051</v>
      </c>
      <c r="T43" s="72">
        <f t="shared" ca="1" si="19"/>
        <v>797680.54254443059</v>
      </c>
      <c r="U43" s="72">
        <f t="shared" ca="1" si="19"/>
        <v>810741.48303868563</v>
      </c>
      <c r="V43" s="72">
        <f t="shared" ca="1" si="19"/>
        <v>823352.72621014831</v>
      </c>
      <c r="W43" s="72">
        <f t="shared" ca="1" si="19"/>
        <v>833270.54394454556</v>
      </c>
      <c r="X43" s="72">
        <f t="shared" ca="1" si="19"/>
        <v>845255.29165308981</v>
      </c>
      <c r="Y43" s="72">
        <f t="shared" ca="1" si="19"/>
        <v>860501.09705282119</v>
      </c>
      <c r="Z43" s="73">
        <f t="shared" ca="1" si="19"/>
        <v>868117.52255477011</v>
      </c>
      <c r="AA43" s="72">
        <f t="shared" ca="1" si="19"/>
        <v>887951.00038600364</v>
      </c>
      <c r="AB43" s="72">
        <f t="shared" ca="1" si="19"/>
        <v>896566.35085944855</v>
      </c>
      <c r="AC43" s="72">
        <f t="shared" ca="1" si="19"/>
        <v>903986.67845055182</v>
      </c>
      <c r="AD43" s="72">
        <f t="shared" ca="1" si="19"/>
        <v>913834.10474951239</v>
      </c>
      <c r="AE43" s="72">
        <f t="shared" ca="1" si="19"/>
        <v>922369.36552542483</v>
      </c>
      <c r="AF43" s="72">
        <f t="shared" ca="1" si="19"/>
        <v>935051.21495042345</v>
      </c>
      <c r="AG43" s="72">
        <f t="shared" ca="1" si="19"/>
        <v>944081.03998792416</v>
      </c>
      <c r="AH43" s="72">
        <f t="shared" ca="1" si="19"/>
        <v>949464.66133623698</v>
      </c>
      <c r="AI43" s="72">
        <f t="shared" ca="1" si="19"/>
        <v>953070.11394697451</v>
      </c>
      <c r="AJ43" s="72">
        <f t="shared" ca="1" si="19"/>
        <v>958960.50345819409</v>
      </c>
      <c r="AK43" s="72">
        <f t="shared" ca="1" si="19"/>
        <v>960892.30602487596</v>
      </c>
      <c r="AL43" s="72">
        <f t="shared" ca="1" si="19"/>
        <v>965170.95313320821</v>
      </c>
    </row>
    <row r="44" spans="1:38" x14ac:dyDescent="0.2">
      <c r="A44" s="44"/>
      <c r="B44" s="7" t="s">
        <v>50</v>
      </c>
      <c r="C44" s="72">
        <f t="shared" ref="C44:AL44" si="20">ROUNDUP(C75 / 200, 0)*100000+$C$20</f>
        <v>1100000</v>
      </c>
      <c r="D44" s="72">
        <f t="shared" si="20"/>
        <v>1100000</v>
      </c>
      <c r="E44" s="72">
        <f t="shared" ca="1" si="20"/>
        <v>1100000</v>
      </c>
      <c r="F44" s="72">
        <f t="shared" ca="1" si="20"/>
        <v>1100000</v>
      </c>
      <c r="G44" s="72">
        <f t="shared" ca="1" si="20"/>
        <v>1200000</v>
      </c>
      <c r="H44" s="72">
        <f t="shared" ca="1" si="20"/>
        <v>1200000</v>
      </c>
      <c r="I44" s="72">
        <f t="shared" ca="1" si="20"/>
        <v>1200000</v>
      </c>
      <c r="J44" s="72">
        <f t="shared" ca="1" si="20"/>
        <v>1200000</v>
      </c>
      <c r="K44" s="72">
        <f t="shared" ca="1" si="20"/>
        <v>1300000</v>
      </c>
      <c r="L44" s="72">
        <f t="shared" ca="1" si="20"/>
        <v>1300000</v>
      </c>
      <c r="M44" s="72">
        <f t="shared" ca="1" si="20"/>
        <v>1300000</v>
      </c>
      <c r="N44" s="73">
        <f t="shared" ca="1" si="20"/>
        <v>1400000</v>
      </c>
      <c r="O44" s="74">
        <f t="shared" ca="1" si="20"/>
        <v>1400000</v>
      </c>
      <c r="P44" s="72">
        <f t="shared" ca="1" si="20"/>
        <v>1400000</v>
      </c>
      <c r="Q44" s="72">
        <f t="shared" ca="1" si="20"/>
        <v>1500000</v>
      </c>
      <c r="R44" s="72">
        <f t="shared" ca="1" si="20"/>
        <v>1500000</v>
      </c>
      <c r="S44" s="72">
        <f t="shared" ca="1" si="20"/>
        <v>1500000</v>
      </c>
      <c r="T44" s="72">
        <f t="shared" ca="1" si="20"/>
        <v>1600000</v>
      </c>
      <c r="U44" s="72">
        <f t="shared" ca="1" si="20"/>
        <v>1600000</v>
      </c>
      <c r="V44" s="72">
        <f t="shared" ca="1" si="20"/>
        <v>1600000</v>
      </c>
      <c r="W44" s="72">
        <f t="shared" ca="1" si="20"/>
        <v>1700000</v>
      </c>
      <c r="X44" s="72">
        <f t="shared" ca="1" si="20"/>
        <v>1700000</v>
      </c>
      <c r="Y44" s="72">
        <f t="shared" ca="1" si="20"/>
        <v>1700000</v>
      </c>
      <c r="Z44" s="73">
        <f t="shared" ca="1" si="20"/>
        <v>1700000</v>
      </c>
      <c r="AA44" s="72">
        <f t="shared" ca="1" si="20"/>
        <v>1800000</v>
      </c>
      <c r="AB44" s="72">
        <f t="shared" ca="1" si="20"/>
        <v>1800000</v>
      </c>
      <c r="AC44" s="72">
        <f t="shared" ca="1" si="20"/>
        <v>1800000</v>
      </c>
      <c r="AD44" s="72">
        <f t="shared" ca="1" si="20"/>
        <v>1800000</v>
      </c>
      <c r="AE44" s="72">
        <f t="shared" ca="1" si="20"/>
        <v>1900000</v>
      </c>
      <c r="AF44" s="72">
        <f t="shared" ca="1" si="20"/>
        <v>1900000</v>
      </c>
      <c r="AG44" s="72">
        <f t="shared" ca="1" si="20"/>
        <v>1900000</v>
      </c>
      <c r="AH44" s="72">
        <f t="shared" ca="1" si="20"/>
        <v>1900000</v>
      </c>
      <c r="AI44" s="72">
        <f t="shared" ca="1" si="20"/>
        <v>1900000</v>
      </c>
      <c r="AJ44" s="72">
        <f t="shared" ca="1" si="20"/>
        <v>2000000</v>
      </c>
      <c r="AK44" s="72">
        <f t="shared" ca="1" si="20"/>
        <v>2000000</v>
      </c>
      <c r="AL44" s="72">
        <f t="shared" ca="1" si="20"/>
        <v>2000000</v>
      </c>
    </row>
    <row r="45" spans="1:38" x14ac:dyDescent="0.2">
      <c r="A45" s="44"/>
      <c r="B45" s="5" t="s">
        <v>43</v>
      </c>
      <c r="C45" s="72">
        <f t="shared" ref="C45:AL45" si="21">C26*$C$13</f>
        <v>3054</v>
      </c>
      <c r="D45" s="72">
        <f t="shared" si="21"/>
        <v>8591.0272959173199</v>
      </c>
      <c r="E45" s="72">
        <f t="shared" ca="1" si="21"/>
        <v>13545.101369121128</v>
      </c>
      <c r="F45" s="72">
        <f t="shared" ca="1" si="21"/>
        <v>19051.596404412296</v>
      </c>
      <c r="G45" s="72">
        <f t="shared" ca="1" si="21"/>
        <v>25247.641544466755</v>
      </c>
      <c r="H45" s="72">
        <f t="shared" ca="1" si="21"/>
        <v>31751.189839085662</v>
      </c>
      <c r="I45" s="72">
        <f t="shared" ca="1" si="21"/>
        <v>38541.944081840898</v>
      </c>
      <c r="J45" s="72">
        <f t="shared" ca="1" si="21"/>
        <v>44957.107424811169</v>
      </c>
      <c r="K45" s="72">
        <f t="shared" ca="1" si="21"/>
        <v>51033.206158756147</v>
      </c>
      <c r="L45" s="72">
        <f t="shared" ca="1" si="21"/>
        <v>59922.740078165269</v>
      </c>
      <c r="M45" s="72">
        <f t="shared" ca="1" si="21"/>
        <v>67858.541586872307</v>
      </c>
      <c r="N45" s="73">
        <f t="shared" ca="1" si="21"/>
        <v>76862.569114960381</v>
      </c>
      <c r="O45" s="72">
        <f t="shared" ca="1" si="21"/>
        <v>86518.316146210229</v>
      </c>
      <c r="P45" s="72">
        <f t="shared" ca="1" si="21"/>
        <v>95646.526061343815</v>
      </c>
      <c r="Q45" s="72">
        <f t="shared" ca="1" si="21"/>
        <v>105211.85839773831</v>
      </c>
      <c r="R45" s="72">
        <f t="shared" ca="1" si="21"/>
        <v>113898.64460903071</v>
      </c>
      <c r="S45" s="72">
        <f t="shared" ca="1" si="21"/>
        <v>120395.31277211367</v>
      </c>
      <c r="T45" s="72">
        <f t="shared" ca="1" si="21"/>
        <v>131787.02836295377</v>
      </c>
      <c r="U45" s="72">
        <f t="shared" ca="1" si="21"/>
        <v>140494.3220257904</v>
      </c>
      <c r="V45" s="72">
        <f t="shared" ca="1" si="21"/>
        <v>148901.81747343225</v>
      </c>
      <c r="W45" s="72">
        <f t="shared" ca="1" si="21"/>
        <v>155513.69596303042</v>
      </c>
      <c r="X45" s="72">
        <f t="shared" ca="1" si="21"/>
        <v>163503.52776872655</v>
      </c>
      <c r="Y45" s="72">
        <f t="shared" ca="1" si="21"/>
        <v>173667.39803521417</v>
      </c>
      <c r="Z45" s="73">
        <f t="shared" ca="1" si="21"/>
        <v>178745.01503651336</v>
      </c>
      <c r="AA45" s="72">
        <f t="shared" ca="1" si="21"/>
        <v>191967.33359066912</v>
      </c>
      <c r="AB45" s="72">
        <f t="shared" ca="1" si="21"/>
        <v>197710.90057296568</v>
      </c>
      <c r="AC45" s="72">
        <f t="shared" ca="1" si="21"/>
        <v>202657.78563370116</v>
      </c>
      <c r="AD45" s="72">
        <f t="shared" ca="1" si="21"/>
        <v>209222.736499675</v>
      </c>
      <c r="AE45" s="72">
        <f t="shared" ca="1" si="21"/>
        <v>214912.91035028323</v>
      </c>
      <c r="AF45" s="72">
        <f t="shared" ca="1" si="21"/>
        <v>223367.47663361562</v>
      </c>
      <c r="AG45" s="72">
        <f t="shared" ca="1" si="21"/>
        <v>229387.35999194946</v>
      </c>
      <c r="AH45" s="72">
        <f t="shared" ca="1" si="21"/>
        <v>232976.44089082468</v>
      </c>
      <c r="AI45" s="72">
        <f t="shared" ca="1" si="21"/>
        <v>235380.0759646497</v>
      </c>
      <c r="AJ45" s="72">
        <f t="shared" ca="1" si="21"/>
        <v>239307.00230546272</v>
      </c>
      <c r="AK45" s="72">
        <f t="shared" ca="1" si="21"/>
        <v>240594.87068325069</v>
      </c>
      <c r="AL45" s="72">
        <f t="shared" ca="1" si="21"/>
        <v>243447.30208880545</v>
      </c>
    </row>
    <row r="46" spans="1:38" ht="15.75" x14ac:dyDescent="0.25">
      <c r="A46" s="49"/>
      <c r="B46" s="10" t="s">
        <v>17</v>
      </c>
      <c r="C46" s="41">
        <v>1</v>
      </c>
      <c r="D46" s="41">
        <f t="shared" ref="D46:AL46" si="22">D41/C41</f>
        <v>1.0078311236424902</v>
      </c>
      <c r="E46" s="41">
        <f t="shared" ca="1" si="22"/>
        <v>1.0406321058841794</v>
      </c>
      <c r="F46" s="41">
        <f t="shared" ca="1" si="22"/>
        <v>1.0074257048224369</v>
      </c>
      <c r="G46" s="41">
        <f t="shared" ca="1" si="22"/>
        <v>1.0939641190486853</v>
      </c>
      <c r="H46" s="41">
        <f t="shared" ca="1" si="22"/>
        <v>1.0079578673146465</v>
      </c>
      <c r="I46" s="41">
        <f t="shared" ca="1" si="22"/>
        <v>1.0373787068505118</v>
      </c>
      <c r="J46" s="41">
        <f t="shared" ca="1" si="22"/>
        <v>1.0075071368788839</v>
      </c>
      <c r="K46" s="41">
        <f t="shared" ca="1" si="22"/>
        <v>1.0813932519165188</v>
      </c>
      <c r="L46" s="41">
        <f t="shared" ca="1" si="22"/>
        <v>1.0095480310053444</v>
      </c>
      <c r="M46" s="41">
        <f t="shared" ca="1" si="22"/>
        <v>1.0339770495456373</v>
      </c>
      <c r="N46" s="42">
        <f t="shared" ca="1" si="22"/>
        <v>1.0751179563734508</v>
      </c>
      <c r="O46" s="43">
        <f t="shared" ca="1" si="22"/>
        <v>1.0092411646437183</v>
      </c>
      <c r="P46" s="41">
        <f t="shared" ca="1" si="22"/>
        <v>1.0314154902839452</v>
      </c>
      <c r="Q46" s="41">
        <f t="shared" ca="1" si="22"/>
        <v>1.0676371694053894</v>
      </c>
      <c r="R46" s="41">
        <f t="shared" ca="1" si="22"/>
        <v>1.0074807935765302</v>
      </c>
      <c r="S46" s="41">
        <f t="shared" ca="1" si="22"/>
        <v>1.0260677865587875</v>
      </c>
      <c r="T46" s="41">
        <f t="shared" ca="1" si="22"/>
        <v>1.0628057397331343</v>
      </c>
      <c r="U46" s="41">
        <f t="shared" ca="1" si="22"/>
        <v>1.0068250369922711</v>
      </c>
      <c r="V46" s="41">
        <f t="shared" ca="1" si="22"/>
        <v>1.0252297693278483</v>
      </c>
      <c r="W46" s="41">
        <f t="shared" ca="1" si="22"/>
        <v>1.0536196985627009</v>
      </c>
      <c r="X46" s="41">
        <f t="shared" ca="1" si="22"/>
        <v>1.0057583804966701</v>
      </c>
      <c r="Y46" s="41">
        <f t="shared" ca="1" si="22"/>
        <v>1.0244813929787138</v>
      </c>
      <c r="Z46" s="42">
        <f t="shared" ca="1" si="22"/>
        <v>1.0035516071837951</v>
      </c>
      <c r="AA46" s="41">
        <f t="shared" ca="1" si="22"/>
        <v>1.0538230262136092</v>
      </c>
      <c r="AB46" s="41">
        <f t="shared" ca="1" si="22"/>
        <v>1.0196720962956658</v>
      </c>
      <c r="AC46" s="41">
        <f t="shared" ca="1" si="22"/>
        <v>1.0032086982448507</v>
      </c>
      <c r="AD46" s="41">
        <f t="shared" ca="1" si="22"/>
        <v>1.0042446046739963</v>
      </c>
      <c r="AE46" s="41">
        <f t="shared" ca="1" si="22"/>
        <v>1.044868113383185</v>
      </c>
      <c r="AF46" s="41">
        <f t="shared" ca="1" si="22"/>
        <v>1.0052095009100075</v>
      </c>
      <c r="AG46" s="41">
        <f t="shared" ca="1" si="22"/>
        <v>1.018401668409058</v>
      </c>
      <c r="AH46" s="41">
        <f t="shared" ca="1" si="22"/>
        <v>1.0021602914439489</v>
      </c>
      <c r="AI46" s="41">
        <f t="shared" ca="1" si="22"/>
        <v>1.0014436450959863</v>
      </c>
      <c r="AJ46" s="41">
        <f t="shared" ca="1" si="22"/>
        <v>1.040738717776458</v>
      </c>
      <c r="AK46" s="41">
        <f t="shared" ca="1" si="22"/>
        <v>1.0007421559274969</v>
      </c>
      <c r="AL46" s="41">
        <f t="shared" ca="1" si="22"/>
        <v>1.0016425428024167</v>
      </c>
    </row>
    <row r="47" spans="1:38" s="58" customFormat="1" ht="15.75" customHeight="1" x14ac:dyDescent="0.25">
      <c r="A47" s="49"/>
      <c r="B47" s="61" t="s">
        <v>18</v>
      </c>
      <c r="C47" s="34">
        <f t="shared" ref="C47:AL47" si="23">C41/C32</f>
        <v>0.21914899815953695</v>
      </c>
      <c r="D47" s="34">
        <f t="shared" si="23"/>
        <v>0.21705661591540321</v>
      </c>
      <c r="E47" s="34">
        <f t="shared" ca="1" si="23"/>
        <v>0.22057746269221734</v>
      </c>
      <c r="F47" s="34">
        <f t="shared" ca="1" si="23"/>
        <v>0.21854126984178621</v>
      </c>
      <c r="G47" s="34">
        <f t="shared" ca="1" si="23"/>
        <v>0.23079943928468649</v>
      </c>
      <c r="H47" s="34">
        <f t="shared" ca="1" si="23"/>
        <v>0.22879094923296922</v>
      </c>
      <c r="I47" s="34">
        <f t="shared" ca="1" si="23"/>
        <v>0.29621959652818042</v>
      </c>
      <c r="J47" s="34">
        <f t="shared" ca="1" si="23"/>
        <v>0.29243758495622357</v>
      </c>
      <c r="K47" s="34">
        <f t="shared" ca="1" si="23"/>
        <v>0.30363412647241989</v>
      </c>
      <c r="L47" s="34">
        <f t="shared" ca="1" si="23"/>
        <v>0.30001030141563773</v>
      </c>
      <c r="M47" s="34">
        <f t="shared" ca="1" si="23"/>
        <v>0.30174673892693327</v>
      </c>
      <c r="N47" s="35">
        <f t="shared" ca="1" si="23"/>
        <v>0.31173291996546176</v>
      </c>
      <c r="O47" s="36">
        <f t="shared" ca="1" si="23"/>
        <v>0.30827063968073315</v>
      </c>
      <c r="P47" s="34">
        <f t="shared" ca="1" si="23"/>
        <v>0.30968203337286399</v>
      </c>
      <c r="Q47" s="34">
        <f t="shared" ca="1" si="23"/>
        <v>0.31859101307640786</v>
      </c>
      <c r="R47" s="34">
        <f t="shared" ca="1" si="23"/>
        <v>0.31526042914453273</v>
      </c>
      <c r="S47" s="34">
        <f t="shared" ca="1" si="23"/>
        <v>0.31636089008509177</v>
      </c>
      <c r="T47" s="34">
        <f t="shared" ca="1" si="23"/>
        <v>0.32441632838212497</v>
      </c>
      <c r="U47" s="34">
        <f t="shared" ca="1" si="23"/>
        <v>0.32122934799351044</v>
      </c>
      <c r="V47" s="34">
        <f t="shared" ca="1" si="23"/>
        <v>0.32214585997671336</v>
      </c>
      <c r="W47" s="34">
        <f t="shared" ca="1" si="23"/>
        <v>0.32943945674933384</v>
      </c>
      <c r="X47" s="34">
        <f t="shared" ca="1" si="23"/>
        <v>0.32946149183768536</v>
      </c>
      <c r="Y47" s="34">
        <f t="shared" ca="1" si="23"/>
        <v>0.33324009763443097</v>
      </c>
      <c r="Z47" s="35">
        <f t="shared" ca="1" si="23"/>
        <v>0.33324042750713712</v>
      </c>
      <c r="AA47" s="34">
        <f t="shared" ca="1" si="23"/>
        <v>0.34291956351337133</v>
      </c>
      <c r="AB47" s="34">
        <f t="shared" ca="1" si="23"/>
        <v>0.34642598742729841</v>
      </c>
      <c r="AC47" s="34">
        <f t="shared" ca="1" si="23"/>
        <v>0.34638247208101786</v>
      </c>
      <c r="AD47" s="34">
        <f t="shared" ca="1" si="23"/>
        <v>0.34632516808630492</v>
      </c>
      <c r="AE47" s="34">
        <f t="shared" ca="1" si="23"/>
        <v>0.35543904680840299</v>
      </c>
      <c r="AF47" s="34">
        <f t="shared" ca="1" si="23"/>
        <v>0.3553169283751248</v>
      </c>
      <c r="AG47" s="34">
        <f t="shared" ca="1" si="23"/>
        <v>0.35857058682549786</v>
      </c>
      <c r="AH47" s="34">
        <f t="shared" ca="1" si="23"/>
        <v>0.35851207518327904</v>
      </c>
      <c r="AI47" s="34">
        <f t="shared" ca="1" si="23"/>
        <v>0.3584730409453647</v>
      </c>
      <c r="AJ47" s="34">
        <f t="shared" ca="1" si="23"/>
        <v>0.36709595539578627</v>
      </c>
      <c r="AK47" s="34">
        <f t="shared" ca="1" si="23"/>
        <v>0.36706838281827586</v>
      </c>
      <c r="AL47" s="34">
        <f t="shared" ca="1" si="23"/>
        <v>0.36700747382125343</v>
      </c>
    </row>
    <row r="48" spans="1:38" s="56" customFormat="1" ht="15.75" customHeight="1" x14ac:dyDescent="0.25">
      <c r="A48" s="49"/>
      <c r="B48" s="52" t="s">
        <v>21</v>
      </c>
      <c r="C48" s="53">
        <f>SUM(C49:C54)</f>
        <v>6283000</v>
      </c>
      <c r="D48" s="53">
        <f t="shared" ref="D48:AL48" si="24">SUM(D49:D54)</f>
        <v>6383000</v>
      </c>
      <c r="E48" s="53">
        <f t="shared" si="24"/>
        <v>6483000</v>
      </c>
      <c r="F48" s="53">
        <f>SUM(F49:F54)</f>
        <v>6583000</v>
      </c>
      <c r="G48" s="53">
        <f t="shared" si="24"/>
        <v>6683000</v>
      </c>
      <c r="H48" s="53">
        <f t="shared" si="24"/>
        <v>6783000</v>
      </c>
      <c r="I48" s="53">
        <f t="shared" si="24"/>
        <v>4883000</v>
      </c>
      <c r="J48" s="53">
        <f t="shared" si="24"/>
        <v>4983000</v>
      </c>
      <c r="K48" s="53">
        <f t="shared" si="24"/>
        <v>5083000</v>
      </c>
      <c r="L48" s="53">
        <f t="shared" si="24"/>
        <v>5183000</v>
      </c>
      <c r="M48" s="53">
        <f t="shared" si="24"/>
        <v>5283000</v>
      </c>
      <c r="N48" s="54">
        <f t="shared" si="24"/>
        <v>5383000</v>
      </c>
      <c r="O48" s="55">
        <f t="shared" si="24"/>
        <v>5483000</v>
      </c>
      <c r="P48" s="53">
        <f t="shared" si="24"/>
        <v>5583000</v>
      </c>
      <c r="Q48" s="53">
        <f t="shared" si="24"/>
        <v>5683000</v>
      </c>
      <c r="R48" s="53">
        <f t="shared" si="24"/>
        <v>5783000</v>
      </c>
      <c r="S48" s="53">
        <f t="shared" si="24"/>
        <v>5883000</v>
      </c>
      <c r="T48" s="53">
        <f t="shared" si="24"/>
        <v>5983000</v>
      </c>
      <c r="U48" s="53">
        <f t="shared" si="24"/>
        <v>6083000</v>
      </c>
      <c r="V48" s="53">
        <f t="shared" si="24"/>
        <v>6183000</v>
      </c>
      <c r="W48" s="53">
        <f t="shared" si="24"/>
        <v>6283000</v>
      </c>
      <c r="X48" s="53">
        <f t="shared" si="24"/>
        <v>6283000</v>
      </c>
      <c r="Y48" s="53">
        <f t="shared" si="24"/>
        <v>6283000</v>
      </c>
      <c r="Z48" s="54">
        <f t="shared" si="24"/>
        <v>6283000</v>
      </c>
      <c r="AA48" s="53">
        <f t="shared" si="24"/>
        <v>6283000</v>
      </c>
      <c r="AB48" s="53">
        <f t="shared" si="24"/>
        <v>6283000</v>
      </c>
      <c r="AC48" s="53">
        <f t="shared" si="24"/>
        <v>6283000</v>
      </c>
      <c r="AD48" s="53">
        <f t="shared" si="24"/>
        <v>6283000</v>
      </c>
      <c r="AE48" s="53">
        <f t="shared" si="24"/>
        <v>6283000</v>
      </c>
      <c r="AF48" s="53">
        <f t="shared" si="24"/>
        <v>6283000</v>
      </c>
      <c r="AG48" s="53">
        <f t="shared" si="24"/>
        <v>6283000</v>
      </c>
      <c r="AH48" s="53">
        <f t="shared" si="24"/>
        <v>6283000</v>
      </c>
      <c r="AI48" s="53">
        <f t="shared" si="24"/>
        <v>6283000</v>
      </c>
      <c r="AJ48" s="53">
        <f t="shared" si="24"/>
        <v>6283000</v>
      </c>
      <c r="AK48" s="53">
        <f t="shared" si="24"/>
        <v>6283000</v>
      </c>
      <c r="AL48" s="53">
        <f t="shared" si="24"/>
        <v>6283000</v>
      </c>
    </row>
    <row r="49" spans="1:38" ht="15.75" customHeight="1" x14ac:dyDescent="0.2">
      <c r="A49" s="44"/>
      <c r="B49" s="11" t="s">
        <v>22</v>
      </c>
      <c r="C49" s="75">
        <f t="shared" ref="C49:AL49" si="25">$C$12</f>
        <v>350000</v>
      </c>
      <c r="D49" s="75">
        <f t="shared" si="25"/>
        <v>350000</v>
      </c>
      <c r="E49" s="75">
        <f t="shared" si="25"/>
        <v>350000</v>
      </c>
      <c r="F49" s="75">
        <f t="shared" si="25"/>
        <v>350000</v>
      </c>
      <c r="G49" s="75">
        <f t="shared" si="25"/>
        <v>350000</v>
      </c>
      <c r="H49" s="75">
        <f t="shared" si="25"/>
        <v>350000</v>
      </c>
      <c r="I49" s="75">
        <f t="shared" si="25"/>
        <v>350000</v>
      </c>
      <c r="J49" s="75">
        <f t="shared" si="25"/>
        <v>350000</v>
      </c>
      <c r="K49" s="75">
        <f t="shared" si="25"/>
        <v>350000</v>
      </c>
      <c r="L49" s="75">
        <f t="shared" si="25"/>
        <v>350000</v>
      </c>
      <c r="M49" s="75">
        <f t="shared" si="25"/>
        <v>350000</v>
      </c>
      <c r="N49" s="76">
        <f t="shared" si="25"/>
        <v>350000</v>
      </c>
      <c r="O49" s="77">
        <f t="shared" si="25"/>
        <v>350000</v>
      </c>
      <c r="P49" s="75">
        <f t="shared" si="25"/>
        <v>350000</v>
      </c>
      <c r="Q49" s="75">
        <f t="shared" si="25"/>
        <v>350000</v>
      </c>
      <c r="R49" s="75">
        <f t="shared" si="25"/>
        <v>350000</v>
      </c>
      <c r="S49" s="75">
        <f t="shared" si="25"/>
        <v>350000</v>
      </c>
      <c r="T49" s="75">
        <f t="shared" si="25"/>
        <v>350000</v>
      </c>
      <c r="U49" s="75">
        <f t="shared" si="25"/>
        <v>350000</v>
      </c>
      <c r="V49" s="75">
        <f t="shared" si="25"/>
        <v>350000</v>
      </c>
      <c r="W49" s="75">
        <f t="shared" si="25"/>
        <v>350000</v>
      </c>
      <c r="X49" s="75">
        <f t="shared" si="25"/>
        <v>350000</v>
      </c>
      <c r="Y49" s="75">
        <f t="shared" si="25"/>
        <v>350000</v>
      </c>
      <c r="Z49" s="76">
        <f t="shared" si="25"/>
        <v>350000</v>
      </c>
      <c r="AA49" s="75">
        <f t="shared" si="25"/>
        <v>350000</v>
      </c>
      <c r="AB49" s="75">
        <f t="shared" si="25"/>
        <v>350000</v>
      </c>
      <c r="AC49" s="75">
        <f t="shared" si="25"/>
        <v>350000</v>
      </c>
      <c r="AD49" s="75">
        <f t="shared" si="25"/>
        <v>350000</v>
      </c>
      <c r="AE49" s="75">
        <f t="shared" si="25"/>
        <v>350000</v>
      </c>
      <c r="AF49" s="75">
        <f t="shared" si="25"/>
        <v>350000</v>
      </c>
      <c r="AG49" s="75">
        <f t="shared" si="25"/>
        <v>350000</v>
      </c>
      <c r="AH49" s="75">
        <f t="shared" si="25"/>
        <v>350000</v>
      </c>
      <c r="AI49" s="75">
        <f t="shared" si="25"/>
        <v>350000</v>
      </c>
      <c r="AJ49" s="75">
        <f t="shared" si="25"/>
        <v>350000</v>
      </c>
      <c r="AK49" s="75">
        <f t="shared" si="25"/>
        <v>350000</v>
      </c>
      <c r="AL49" s="75">
        <f t="shared" si="25"/>
        <v>350000</v>
      </c>
    </row>
    <row r="50" spans="1:38" ht="15.75" customHeight="1" x14ac:dyDescent="0.2">
      <c r="A50" s="49"/>
      <c r="B50" s="11" t="s">
        <v>44</v>
      </c>
      <c r="C50" s="75">
        <v>3000000</v>
      </c>
      <c r="D50" s="75">
        <v>3000000</v>
      </c>
      <c r="E50" s="75">
        <v>3000000</v>
      </c>
      <c r="F50" s="75">
        <v>3000000</v>
      </c>
      <c r="G50" s="75">
        <v>3000000</v>
      </c>
      <c r="H50" s="75">
        <v>3000000</v>
      </c>
      <c r="I50" s="75">
        <v>1000000</v>
      </c>
      <c r="J50" s="75">
        <v>1000000</v>
      </c>
      <c r="K50" s="75">
        <v>1000000</v>
      </c>
      <c r="L50" s="75">
        <v>1000000</v>
      </c>
      <c r="M50" s="75">
        <v>1000000</v>
      </c>
      <c r="N50" s="76">
        <v>1000000</v>
      </c>
      <c r="O50" s="77">
        <v>1000000</v>
      </c>
      <c r="P50" s="75">
        <v>1000000</v>
      </c>
      <c r="Q50" s="75">
        <v>1000000</v>
      </c>
      <c r="R50" s="75">
        <v>1000000</v>
      </c>
      <c r="S50" s="75">
        <v>1000000</v>
      </c>
      <c r="T50" s="75">
        <v>1000000</v>
      </c>
      <c r="U50" s="75">
        <v>1000000</v>
      </c>
      <c r="V50" s="75">
        <v>1000000</v>
      </c>
      <c r="W50" s="75">
        <v>1000000</v>
      </c>
      <c r="X50" s="75">
        <v>1000000</v>
      </c>
      <c r="Y50" s="75">
        <v>1000000</v>
      </c>
      <c r="Z50" s="76">
        <v>1000000</v>
      </c>
      <c r="AA50" s="75">
        <v>1000000</v>
      </c>
      <c r="AB50" s="75">
        <v>1000000</v>
      </c>
      <c r="AC50" s="75">
        <v>1000000</v>
      </c>
      <c r="AD50" s="75">
        <v>1000000</v>
      </c>
      <c r="AE50" s="75">
        <v>1000000</v>
      </c>
      <c r="AF50" s="75">
        <v>1000000</v>
      </c>
      <c r="AG50" s="75">
        <v>1000000</v>
      </c>
      <c r="AH50" s="75">
        <v>1000000</v>
      </c>
      <c r="AI50" s="75">
        <v>1000000</v>
      </c>
      <c r="AJ50" s="75">
        <v>1000000</v>
      </c>
      <c r="AK50" s="75">
        <v>1000000</v>
      </c>
      <c r="AL50" s="75">
        <v>1000000</v>
      </c>
    </row>
    <row r="51" spans="1:38" ht="15.75" customHeight="1" x14ac:dyDescent="0.2">
      <c r="A51" s="44"/>
      <c r="B51" s="11" t="s">
        <v>45</v>
      </c>
      <c r="C51" s="75">
        <f t="shared" ref="C51:AL51" si="26">$C$14</f>
        <v>1350000</v>
      </c>
      <c r="D51" s="75">
        <f t="shared" si="26"/>
        <v>1350000</v>
      </c>
      <c r="E51" s="75">
        <f t="shared" si="26"/>
        <v>1350000</v>
      </c>
      <c r="F51" s="75">
        <f t="shared" si="26"/>
        <v>1350000</v>
      </c>
      <c r="G51" s="75">
        <f t="shared" si="26"/>
        <v>1350000</v>
      </c>
      <c r="H51" s="75">
        <f t="shared" si="26"/>
        <v>1350000</v>
      </c>
      <c r="I51" s="75">
        <f t="shared" si="26"/>
        <v>1350000</v>
      </c>
      <c r="J51" s="75">
        <f t="shared" si="26"/>
        <v>1350000</v>
      </c>
      <c r="K51" s="75">
        <f t="shared" si="26"/>
        <v>1350000</v>
      </c>
      <c r="L51" s="75">
        <f t="shared" si="26"/>
        <v>1350000</v>
      </c>
      <c r="M51" s="75">
        <f t="shared" si="26"/>
        <v>1350000</v>
      </c>
      <c r="N51" s="76">
        <f t="shared" si="26"/>
        <v>1350000</v>
      </c>
      <c r="O51" s="77">
        <f t="shared" si="26"/>
        <v>1350000</v>
      </c>
      <c r="P51" s="75">
        <f t="shared" si="26"/>
        <v>1350000</v>
      </c>
      <c r="Q51" s="75">
        <f t="shared" si="26"/>
        <v>1350000</v>
      </c>
      <c r="R51" s="75">
        <f t="shared" si="26"/>
        <v>1350000</v>
      </c>
      <c r="S51" s="75">
        <f t="shared" si="26"/>
        <v>1350000</v>
      </c>
      <c r="T51" s="75">
        <f t="shared" si="26"/>
        <v>1350000</v>
      </c>
      <c r="U51" s="75">
        <f t="shared" si="26"/>
        <v>1350000</v>
      </c>
      <c r="V51" s="75">
        <f t="shared" si="26"/>
        <v>1350000</v>
      </c>
      <c r="W51" s="75">
        <f t="shared" si="26"/>
        <v>1350000</v>
      </c>
      <c r="X51" s="75">
        <f t="shared" si="26"/>
        <v>1350000</v>
      </c>
      <c r="Y51" s="75">
        <f t="shared" si="26"/>
        <v>1350000</v>
      </c>
      <c r="Z51" s="76">
        <f t="shared" si="26"/>
        <v>1350000</v>
      </c>
      <c r="AA51" s="75">
        <f t="shared" si="26"/>
        <v>1350000</v>
      </c>
      <c r="AB51" s="75">
        <f t="shared" si="26"/>
        <v>1350000</v>
      </c>
      <c r="AC51" s="75">
        <f t="shared" si="26"/>
        <v>1350000</v>
      </c>
      <c r="AD51" s="75">
        <f t="shared" si="26"/>
        <v>1350000</v>
      </c>
      <c r="AE51" s="75">
        <f t="shared" si="26"/>
        <v>1350000</v>
      </c>
      <c r="AF51" s="75">
        <f t="shared" si="26"/>
        <v>1350000</v>
      </c>
      <c r="AG51" s="75">
        <f t="shared" si="26"/>
        <v>1350000</v>
      </c>
      <c r="AH51" s="75">
        <f t="shared" si="26"/>
        <v>1350000</v>
      </c>
      <c r="AI51" s="75">
        <f t="shared" si="26"/>
        <v>1350000</v>
      </c>
      <c r="AJ51" s="75">
        <f t="shared" si="26"/>
        <v>1350000</v>
      </c>
      <c r="AK51" s="75">
        <f t="shared" si="26"/>
        <v>1350000</v>
      </c>
      <c r="AL51" s="75">
        <f t="shared" si="26"/>
        <v>1350000</v>
      </c>
    </row>
    <row r="52" spans="1:38" ht="15.75" customHeight="1" x14ac:dyDescent="0.2">
      <c r="A52" s="44"/>
      <c r="B52" s="11" t="s">
        <v>47</v>
      </c>
      <c r="C52" s="75">
        <f t="shared" ref="C52:AL52" si="27">$C$18</f>
        <v>333000</v>
      </c>
      <c r="D52" s="75">
        <f t="shared" si="27"/>
        <v>333000</v>
      </c>
      <c r="E52" s="75">
        <f t="shared" si="27"/>
        <v>333000</v>
      </c>
      <c r="F52" s="75">
        <f t="shared" si="27"/>
        <v>333000</v>
      </c>
      <c r="G52" s="75">
        <f t="shared" si="27"/>
        <v>333000</v>
      </c>
      <c r="H52" s="75">
        <f t="shared" si="27"/>
        <v>333000</v>
      </c>
      <c r="I52" s="75">
        <f t="shared" si="27"/>
        <v>333000</v>
      </c>
      <c r="J52" s="75">
        <f t="shared" si="27"/>
        <v>333000</v>
      </c>
      <c r="K52" s="75">
        <f t="shared" si="27"/>
        <v>333000</v>
      </c>
      <c r="L52" s="75">
        <f t="shared" si="27"/>
        <v>333000</v>
      </c>
      <c r="M52" s="75">
        <f t="shared" si="27"/>
        <v>333000</v>
      </c>
      <c r="N52" s="76">
        <f t="shared" si="27"/>
        <v>333000</v>
      </c>
      <c r="O52" s="77">
        <f t="shared" si="27"/>
        <v>333000</v>
      </c>
      <c r="P52" s="75">
        <f t="shared" si="27"/>
        <v>333000</v>
      </c>
      <c r="Q52" s="75">
        <f t="shared" si="27"/>
        <v>333000</v>
      </c>
      <c r="R52" s="75">
        <f t="shared" si="27"/>
        <v>333000</v>
      </c>
      <c r="S52" s="75">
        <f t="shared" si="27"/>
        <v>333000</v>
      </c>
      <c r="T52" s="75">
        <f t="shared" si="27"/>
        <v>333000</v>
      </c>
      <c r="U52" s="75">
        <f t="shared" si="27"/>
        <v>333000</v>
      </c>
      <c r="V52" s="75">
        <f t="shared" si="27"/>
        <v>333000</v>
      </c>
      <c r="W52" s="75">
        <f t="shared" si="27"/>
        <v>333000</v>
      </c>
      <c r="X52" s="75">
        <f t="shared" si="27"/>
        <v>333000</v>
      </c>
      <c r="Y52" s="75">
        <f t="shared" si="27"/>
        <v>333000</v>
      </c>
      <c r="Z52" s="76">
        <f t="shared" si="27"/>
        <v>333000</v>
      </c>
      <c r="AA52" s="75">
        <f t="shared" si="27"/>
        <v>333000</v>
      </c>
      <c r="AB52" s="75">
        <f t="shared" si="27"/>
        <v>333000</v>
      </c>
      <c r="AC52" s="75">
        <f t="shared" si="27"/>
        <v>333000</v>
      </c>
      <c r="AD52" s="75">
        <f t="shared" si="27"/>
        <v>333000</v>
      </c>
      <c r="AE52" s="75">
        <f t="shared" si="27"/>
        <v>333000</v>
      </c>
      <c r="AF52" s="75">
        <f t="shared" si="27"/>
        <v>333000</v>
      </c>
      <c r="AG52" s="75">
        <f t="shared" si="27"/>
        <v>333000</v>
      </c>
      <c r="AH52" s="75">
        <f t="shared" si="27"/>
        <v>333000</v>
      </c>
      <c r="AI52" s="75">
        <f t="shared" si="27"/>
        <v>333000</v>
      </c>
      <c r="AJ52" s="75">
        <f t="shared" si="27"/>
        <v>333000</v>
      </c>
      <c r="AK52" s="75">
        <f t="shared" si="27"/>
        <v>333000</v>
      </c>
      <c r="AL52" s="75">
        <f t="shared" si="27"/>
        <v>333000</v>
      </c>
    </row>
    <row r="53" spans="1:38" s="37" customFormat="1" x14ac:dyDescent="0.2">
      <c r="A53" s="67"/>
      <c r="B53" s="11" t="s">
        <v>39</v>
      </c>
      <c r="C53" s="75">
        <f>C8</f>
        <v>1000000</v>
      </c>
      <c r="D53" s="75">
        <f>'ОПИУ (расчеты)'!C53 +100000</f>
        <v>1100000</v>
      </c>
      <c r="E53" s="75">
        <f>'ОПИУ (расчеты)'!D53 +100000</f>
        <v>1200000</v>
      </c>
      <c r="F53" s="75">
        <f>'ОПИУ (расчеты)'!E53 +100000</f>
        <v>1300000</v>
      </c>
      <c r="G53" s="75">
        <f>'ОПИУ (расчеты)'!F53 +100000</f>
        <v>1400000</v>
      </c>
      <c r="H53" s="75">
        <f>'ОПИУ (расчеты)'!G53 +100000</f>
        <v>1500000</v>
      </c>
      <c r="I53" s="75">
        <f>'ОПИУ (расчеты)'!H53 +100000</f>
        <v>1600000</v>
      </c>
      <c r="J53" s="75">
        <f>'ОПИУ (расчеты)'!I53 +100000</f>
        <v>1700000</v>
      </c>
      <c r="K53" s="75">
        <f>'ОПИУ (расчеты)'!J53 +100000</f>
        <v>1800000</v>
      </c>
      <c r="L53" s="75">
        <f>'ОПИУ (расчеты)'!K53 +100000</f>
        <v>1900000</v>
      </c>
      <c r="M53" s="75">
        <f>'ОПИУ (расчеты)'!L53 +100000</f>
        <v>2000000</v>
      </c>
      <c r="N53" s="76">
        <f>'ОПИУ (расчеты)'!M53 +100000</f>
        <v>2100000</v>
      </c>
      <c r="O53" s="77">
        <f>'ОПИУ (расчеты)'!N53 +100000</f>
        <v>2200000</v>
      </c>
      <c r="P53" s="75">
        <f>'ОПИУ (расчеты)'!O53 +100000</f>
        <v>2300000</v>
      </c>
      <c r="Q53" s="75">
        <f>'ОПИУ (расчеты)'!P53 +100000</f>
        <v>2400000</v>
      </c>
      <c r="R53" s="75">
        <f>'ОПИУ (расчеты)'!Q53 +100000</f>
        <v>2500000</v>
      </c>
      <c r="S53" s="75">
        <f>'ОПИУ (расчеты)'!R53 +100000</f>
        <v>2600000</v>
      </c>
      <c r="T53" s="75">
        <f>'ОПИУ (расчеты)'!S53 +100000</f>
        <v>2700000</v>
      </c>
      <c r="U53" s="75">
        <f>'ОПИУ (расчеты)'!T53 +100000</f>
        <v>2800000</v>
      </c>
      <c r="V53" s="75">
        <f>'ОПИУ (расчеты)'!U53 +100000</f>
        <v>2900000</v>
      </c>
      <c r="W53" s="75">
        <f>'ОПИУ (расчеты)'!V53 +100000</f>
        <v>3000000</v>
      </c>
      <c r="X53" s="75">
        <f>3000000</f>
        <v>3000000</v>
      </c>
      <c r="Y53" s="75">
        <f t="shared" ref="Y53:AL53" si="28">3000000</f>
        <v>3000000</v>
      </c>
      <c r="Z53" s="76">
        <f t="shared" si="28"/>
        <v>3000000</v>
      </c>
      <c r="AA53" s="75">
        <f t="shared" si="28"/>
        <v>3000000</v>
      </c>
      <c r="AB53" s="75">
        <f t="shared" si="28"/>
        <v>3000000</v>
      </c>
      <c r="AC53" s="75">
        <f t="shared" si="28"/>
        <v>3000000</v>
      </c>
      <c r="AD53" s="75">
        <f t="shared" si="28"/>
        <v>3000000</v>
      </c>
      <c r="AE53" s="75">
        <f t="shared" si="28"/>
        <v>3000000</v>
      </c>
      <c r="AF53" s="75">
        <f t="shared" si="28"/>
        <v>3000000</v>
      </c>
      <c r="AG53" s="75">
        <f t="shared" si="28"/>
        <v>3000000</v>
      </c>
      <c r="AH53" s="75">
        <f t="shared" si="28"/>
        <v>3000000</v>
      </c>
      <c r="AI53" s="75">
        <f t="shared" si="28"/>
        <v>3000000</v>
      </c>
      <c r="AJ53" s="75">
        <f t="shared" si="28"/>
        <v>3000000</v>
      </c>
      <c r="AK53" s="75">
        <f t="shared" si="28"/>
        <v>3000000</v>
      </c>
      <c r="AL53" s="75">
        <f t="shared" si="28"/>
        <v>3000000</v>
      </c>
    </row>
    <row r="54" spans="1:38" ht="15.75" customHeight="1" x14ac:dyDescent="0.2">
      <c r="A54" s="44"/>
      <c r="B54" s="11" t="s">
        <v>48</v>
      </c>
      <c r="C54" s="75">
        <f t="shared" ref="C54:AL54" si="29">$C$19</f>
        <v>250000</v>
      </c>
      <c r="D54" s="75">
        <f t="shared" si="29"/>
        <v>250000</v>
      </c>
      <c r="E54" s="75">
        <f t="shared" si="29"/>
        <v>250000</v>
      </c>
      <c r="F54" s="75">
        <f t="shared" si="29"/>
        <v>250000</v>
      </c>
      <c r="G54" s="75">
        <f t="shared" si="29"/>
        <v>250000</v>
      </c>
      <c r="H54" s="75">
        <f t="shared" si="29"/>
        <v>250000</v>
      </c>
      <c r="I54" s="75">
        <f t="shared" si="29"/>
        <v>250000</v>
      </c>
      <c r="J54" s="75">
        <f t="shared" si="29"/>
        <v>250000</v>
      </c>
      <c r="K54" s="75">
        <f t="shared" si="29"/>
        <v>250000</v>
      </c>
      <c r="L54" s="75">
        <f t="shared" si="29"/>
        <v>250000</v>
      </c>
      <c r="M54" s="75">
        <f t="shared" si="29"/>
        <v>250000</v>
      </c>
      <c r="N54" s="76">
        <f t="shared" si="29"/>
        <v>250000</v>
      </c>
      <c r="O54" s="77">
        <f t="shared" si="29"/>
        <v>250000</v>
      </c>
      <c r="P54" s="75">
        <f t="shared" si="29"/>
        <v>250000</v>
      </c>
      <c r="Q54" s="75">
        <f t="shared" si="29"/>
        <v>250000</v>
      </c>
      <c r="R54" s="75">
        <f t="shared" si="29"/>
        <v>250000</v>
      </c>
      <c r="S54" s="75">
        <f t="shared" si="29"/>
        <v>250000</v>
      </c>
      <c r="T54" s="75">
        <f t="shared" si="29"/>
        <v>250000</v>
      </c>
      <c r="U54" s="75">
        <f t="shared" si="29"/>
        <v>250000</v>
      </c>
      <c r="V54" s="75">
        <f t="shared" si="29"/>
        <v>250000</v>
      </c>
      <c r="W54" s="75">
        <f t="shared" si="29"/>
        <v>250000</v>
      </c>
      <c r="X54" s="75">
        <f t="shared" si="29"/>
        <v>250000</v>
      </c>
      <c r="Y54" s="75">
        <f t="shared" si="29"/>
        <v>250000</v>
      </c>
      <c r="Z54" s="76">
        <f t="shared" si="29"/>
        <v>250000</v>
      </c>
      <c r="AA54" s="75">
        <f t="shared" si="29"/>
        <v>250000</v>
      </c>
      <c r="AB54" s="75">
        <f t="shared" si="29"/>
        <v>250000</v>
      </c>
      <c r="AC54" s="75">
        <f t="shared" si="29"/>
        <v>250000</v>
      </c>
      <c r="AD54" s="75">
        <f t="shared" si="29"/>
        <v>250000</v>
      </c>
      <c r="AE54" s="75">
        <f t="shared" si="29"/>
        <v>250000</v>
      </c>
      <c r="AF54" s="75">
        <f t="shared" si="29"/>
        <v>250000</v>
      </c>
      <c r="AG54" s="75">
        <f t="shared" si="29"/>
        <v>250000</v>
      </c>
      <c r="AH54" s="75">
        <f t="shared" si="29"/>
        <v>250000</v>
      </c>
      <c r="AI54" s="75">
        <f t="shared" si="29"/>
        <v>250000</v>
      </c>
      <c r="AJ54" s="75">
        <f t="shared" si="29"/>
        <v>250000</v>
      </c>
      <c r="AK54" s="75">
        <f t="shared" si="29"/>
        <v>250000</v>
      </c>
      <c r="AL54" s="75">
        <f t="shared" si="29"/>
        <v>250000</v>
      </c>
    </row>
    <row r="55" spans="1:38" ht="15.75" customHeight="1" x14ac:dyDescent="0.25">
      <c r="A55" s="49"/>
      <c r="B55" s="10" t="s">
        <v>23</v>
      </c>
      <c r="C55" s="41">
        <v>1</v>
      </c>
      <c r="D55" s="41">
        <f t="shared" ref="D55:AK55" si="30">E48/D48</f>
        <v>1.0156666144446185</v>
      </c>
      <c r="E55" s="41">
        <f t="shared" si="30"/>
        <v>1.0154249575813667</v>
      </c>
      <c r="F55" s="41">
        <f t="shared" si="30"/>
        <v>1.0151906425641806</v>
      </c>
      <c r="G55" s="41">
        <f t="shared" si="30"/>
        <v>1.0149633398174474</v>
      </c>
      <c r="H55" s="41">
        <f t="shared" si="30"/>
        <v>0.71988795518207283</v>
      </c>
      <c r="I55" s="41">
        <f t="shared" si="30"/>
        <v>1.0204792135981979</v>
      </c>
      <c r="J55" s="41">
        <f t="shared" si="30"/>
        <v>1.0200682319887617</v>
      </c>
      <c r="K55" s="41">
        <f t="shared" si="30"/>
        <v>1.0196734212079481</v>
      </c>
      <c r="L55" s="41">
        <f t="shared" si="30"/>
        <v>1.0192938452633611</v>
      </c>
      <c r="M55" s="41">
        <f t="shared" si="30"/>
        <v>1.0189286390308536</v>
      </c>
      <c r="N55" s="42">
        <f t="shared" si="30"/>
        <v>1.0185770016719302</v>
      </c>
      <c r="O55" s="43">
        <f t="shared" si="30"/>
        <v>1.0182381907714755</v>
      </c>
      <c r="P55" s="41">
        <f t="shared" si="30"/>
        <v>1.0179115171054989</v>
      </c>
      <c r="Q55" s="41">
        <f t="shared" si="30"/>
        <v>1.017596339961288</v>
      </c>
      <c r="R55" s="41">
        <f t="shared" si="30"/>
        <v>1.017292062943109</v>
      </c>
      <c r="S55" s="41">
        <f t="shared" si="30"/>
        <v>1.0169981302056774</v>
      </c>
      <c r="T55" s="41">
        <f t="shared" si="30"/>
        <v>1.0167140230653517</v>
      </c>
      <c r="U55" s="41">
        <f t="shared" si="30"/>
        <v>1.016439256945586</v>
      </c>
      <c r="V55" s="41">
        <f t="shared" si="30"/>
        <v>1.0161733786187934</v>
      </c>
      <c r="W55" s="41">
        <f t="shared" si="30"/>
        <v>1</v>
      </c>
      <c r="X55" s="41">
        <f t="shared" si="30"/>
        <v>1</v>
      </c>
      <c r="Y55" s="41">
        <f t="shared" si="30"/>
        <v>1</v>
      </c>
      <c r="Z55" s="42">
        <f t="shared" si="30"/>
        <v>1</v>
      </c>
      <c r="AA55" s="41">
        <f t="shared" si="30"/>
        <v>1</v>
      </c>
      <c r="AB55" s="41">
        <f t="shared" si="30"/>
        <v>1</v>
      </c>
      <c r="AC55" s="41">
        <f t="shared" si="30"/>
        <v>1</v>
      </c>
      <c r="AD55" s="41">
        <f t="shared" si="30"/>
        <v>1</v>
      </c>
      <c r="AE55" s="41">
        <f t="shared" si="30"/>
        <v>1</v>
      </c>
      <c r="AF55" s="41">
        <f t="shared" si="30"/>
        <v>1</v>
      </c>
      <c r="AG55" s="41">
        <f t="shared" si="30"/>
        <v>1</v>
      </c>
      <c r="AH55" s="41">
        <f t="shared" si="30"/>
        <v>1</v>
      </c>
      <c r="AI55" s="41">
        <f t="shared" si="30"/>
        <v>1</v>
      </c>
      <c r="AJ55" s="41">
        <f t="shared" si="30"/>
        <v>1</v>
      </c>
      <c r="AK55" s="41">
        <f t="shared" si="30"/>
        <v>1</v>
      </c>
      <c r="AL55" s="41">
        <f>AM48/AL48</f>
        <v>0</v>
      </c>
    </row>
    <row r="56" spans="1:38" s="58" customFormat="1" ht="15.75" customHeight="1" x14ac:dyDescent="0.25">
      <c r="A56" s="49"/>
      <c r="B56" s="61" t="s">
        <v>24</v>
      </c>
      <c r="C56" s="34">
        <f t="shared" ref="C56:AL56" si="31">C48/C32</f>
        <v>0.77895784787943823</v>
      </c>
      <c r="D56" s="34">
        <f t="shared" si="31"/>
        <v>0.77770969676421386</v>
      </c>
      <c r="E56" s="34">
        <f t="shared" ca="1" si="31"/>
        <v>0.77136437850828865</v>
      </c>
      <c r="F56" s="34">
        <f t="shared" ca="1" si="31"/>
        <v>0.77031208355234915</v>
      </c>
      <c r="G56" s="34">
        <f t="shared" ca="1" si="31"/>
        <v>0.75494015489582067</v>
      </c>
      <c r="H56" s="34">
        <f t="shared" ca="1" si="31"/>
        <v>0.75357172301038211</v>
      </c>
      <c r="I56" s="34">
        <f t="shared" ca="1" si="31"/>
        <v>0.67705993830471445</v>
      </c>
      <c r="J56" s="34">
        <f t="shared" ca="1" si="31"/>
        <v>0.6770216417379995</v>
      </c>
      <c r="K56" s="34">
        <f t="shared" ca="1" si="31"/>
        <v>0.66307936372191678</v>
      </c>
      <c r="L56" s="34">
        <f t="shared" ca="1" si="31"/>
        <v>0.66173668363760985</v>
      </c>
      <c r="M56" s="34">
        <f t="shared" ca="1" si="31"/>
        <v>0.65611524868549731</v>
      </c>
      <c r="N56" s="35">
        <f t="shared" ca="1" si="31"/>
        <v>0.64240345391852327</v>
      </c>
      <c r="O56" s="36">
        <f t="shared" ca="1" si="31"/>
        <v>0.64114502004917484</v>
      </c>
      <c r="P56" s="34">
        <f t="shared" ca="1" si="31"/>
        <v>0.63585172237223175</v>
      </c>
      <c r="Q56" s="34">
        <f t="shared" ca="1" si="31"/>
        <v>0.62367696789161642</v>
      </c>
      <c r="R56" s="34">
        <f t="shared" ca="1" si="31"/>
        <v>0.62335350849204996</v>
      </c>
      <c r="S56" s="34">
        <f t="shared" ca="1" si="31"/>
        <v>0.62017940142487726</v>
      </c>
      <c r="T56" s="34">
        <f t="shared" ca="1" si="31"/>
        <v>0.60856015919862638</v>
      </c>
      <c r="U56" s="34">
        <f t="shared" ca="1" si="31"/>
        <v>0.60850035390200508</v>
      </c>
      <c r="V56" s="34">
        <f t="shared" ca="1" si="31"/>
        <v>0.6050042078482295</v>
      </c>
      <c r="W56" s="34">
        <f t="shared" ca="1" si="31"/>
        <v>0.59671284334802421</v>
      </c>
      <c r="X56" s="34">
        <f t="shared" ca="1" si="31"/>
        <v>0.59333610041843887</v>
      </c>
      <c r="Y56" s="34">
        <f t="shared" ca="1" si="31"/>
        <v>0.58579989620370665</v>
      </c>
      <c r="Z56" s="35">
        <f t="shared" ca="1" si="31"/>
        <v>0.58372730599076039</v>
      </c>
      <c r="AA56" s="34">
        <f t="shared" ca="1" si="31"/>
        <v>0.57000268979033686</v>
      </c>
      <c r="AB56" s="34">
        <f t="shared" ca="1" si="31"/>
        <v>0.56472182383786751</v>
      </c>
      <c r="AC56" s="34">
        <f t="shared" ca="1" si="31"/>
        <v>0.56284488845561831</v>
      </c>
      <c r="AD56" s="34">
        <f t="shared" ca="1" si="31"/>
        <v>0.56037321111844518</v>
      </c>
      <c r="AE56" s="34">
        <f t="shared" ca="1" si="31"/>
        <v>0.55042350500870341</v>
      </c>
      <c r="AF56" s="34">
        <f t="shared" ca="1" si="31"/>
        <v>0.54738280441575582</v>
      </c>
      <c r="AG56" s="34">
        <f t="shared" ca="1" si="31"/>
        <v>0.54241390088233732</v>
      </c>
      <c r="AH56" s="34">
        <f t="shared" ca="1" si="31"/>
        <v>0.54115633424130694</v>
      </c>
      <c r="AI56" s="34">
        <f t="shared" ca="1" si="31"/>
        <v>0.54031738743350022</v>
      </c>
      <c r="AJ56" s="34">
        <f t="shared" ca="1" si="31"/>
        <v>0.53165552485812484</v>
      </c>
      <c r="AK56" s="34">
        <f t="shared" ca="1" si="31"/>
        <v>0.53122134314259117</v>
      </c>
      <c r="AL56" s="34">
        <f t="shared" ca="1" si="31"/>
        <v>0.53026221725714806</v>
      </c>
    </row>
    <row r="57" spans="1:38" s="56" customFormat="1" ht="15.75" customHeight="1" x14ac:dyDescent="0.25">
      <c r="A57" s="49"/>
      <c r="B57" s="52" t="s">
        <v>58</v>
      </c>
      <c r="C57" s="78">
        <f t="shared" ref="C57:AL57" si="32">C26-C41-C48</f>
        <v>-7897935</v>
      </c>
      <c r="D57" s="78">
        <f t="shared" si="32"/>
        <v>-7734926.2034439277</v>
      </c>
      <c r="E57" s="78">
        <f t="shared" ca="1" si="32"/>
        <v>-7659607.6849667467</v>
      </c>
      <c r="F57" s="78">
        <f t="shared" ca="1" si="32"/>
        <v>-7498049.1707904162</v>
      </c>
      <c r="G57" s="78">
        <f t="shared" ca="1" si="32"/>
        <v>-7463737.0266378298</v>
      </c>
      <c r="H57" s="78">
        <f t="shared" ca="1" si="32"/>
        <v>-7254818.4826434311</v>
      </c>
      <c r="I57" s="78">
        <f t="shared" ca="1" si="32"/>
        <v>-5092257.6561125573</v>
      </c>
      <c r="J57" s="78">
        <f t="shared" ca="1" si="32"/>
        <v>-4887537.3973214692</v>
      </c>
      <c r="K57" s="78">
        <f t="shared" ca="1" si="32"/>
        <v>-4858922.7074590828</v>
      </c>
      <c r="L57" s="78">
        <f t="shared" ca="1" si="32"/>
        <v>-4536669.8462871499</v>
      </c>
      <c r="M57" s="78">
        <f t="shared" ca="1" si="32"/>
        <v>-4319719.2746235654</v>
      </c>
      <c r="N57" s="79">
        <f t="shared" ca="1" si="32"/>
        <v>-4152027.9670393816</v>
      </c>
      <c r="O57" s="80">
        <f t="shared" ca="1" si="32"/>
        <v>-3793379.9830550142</v>
      </c>
      <c r="P57" s="78">
        <f t="shared" ca="1" si="32"/>
        <v>-3519790.0120861689</v>
      </c>
      <c r="Q57" s="78">
        <f t="shared" ca="1" si="32"/>
        <v>-3325436.7261074306</v>
      </c>
      <c r="R57" s="78">
        <f t="shared" ca="1" si="32"/>
        <v>-3012814.3810710413</v>
      </c>
      <c r="S57" s="78">
        <f t="shared" ca="1" si="32"/>
        <v>-2864222.6433246015</v>
      </c>
      <c r="T57" s="78">
        <f t="shared" ca="1" si="32"/>
        <v>-2583116.1527596954</v>
      </c>
      <c r="U57" s="78">
        <f t="shared" ca="1" si="32"/>
        <v>-2269519.7037749561</v>
      </c>
      <c r="V57" s="78">
        <f t="shared" ca="1" si="32"/>
        <v>-2030163.6700119684</v>
      </c>
      <c r="W57" s="78">
        <f t="shared" ca="1" si="32"/>
        <v>-1976099.4417560548</v>
      </c>
      <c r="X57" s="78">
        <f t="shared" ca="1" si="32"/>
        <v>-1596582.430985488</v>
      </c>
      <c r="Y57" s="78">
        <f t="shared" ca="1" si="32"/>
        <v>-1173798.5933273267</v>
      </c>
      <c r="Z57" s="79">
        <f t="shared" ca="1" si="32"/>
        <v>-932611.78576561622</v>
      </c>
      <c r="AA57" s="78">
        <f t="shared" ca="1" si="32"/>
        <v>-464551.65444321744</v>
      </c>
      <c r="AB57" s="78">
        <f t="shared" ca="1" si="32"/>
        <v>-251732.22278413083</v>
      </c>
      <c r="AC57" s="78">
        <f t="shared" ca="1" si="32"/>
        <v>-16755.182399194688</v>
      </c>
      <c r="AD57" s="78">
        <f t="shared" ca="1" si="32"/>
        <v>295079.98373456206</v>
      </c>
      <c r="AE57" s="78">
        <f t="shared" ca="1" si="32"/>
        <v>405363.24163845368</v>
      </c>
      <c r="AF57" s="78">
        <f t="shared" ca="1" si="32"/>
        <v>806955.1400967408</v>
      </c>
      <c r="AG57" s="78">
        <f t="shared" ca="1" si="32"/>
        <v>1032899.5996175995</v>
      </c>
      <c r="AH57" s="78">
        <f t="shared" ca="1" si="32"/>
        <v>1203380.9423141722</v>
      </c>
      <c r="AI57" s="78">
        <f t="shared" ca="1" si="32"/>
        <v>1317553.6083208602</v>
      </c>
      <c r="AJ57" s="78">
        <f t="shared" ca="1" si="32"/>
        <v>1344082.6095094802</v>
      </c>
      <c r="AK57" s="78">
        <f t="shared" ca="1" si="32"/>
        <v>1405256.357454408</v>
      </c>
      <c r="AL57" s="78">
        <f t="shared" ca="1" si="32"/>
        <v>1540746.8492182586</v>
      </c>
    </row>
    <row r="58" spans="1:38" ht="15.75" customHeight="1" x14ac:dyDescent="0.2">
      <c r="A58" s="49"/>
      <c r="B58" s="5" t="s">
        <v>59</v>
      </c>
      <c r="C58" s="75">
        <f>C57</f>
        <v>-7897935</v>
      </c>
      <c r="D58" s="72">
        <f>D57+C57</f>
        <v>-15632861.203443928</v>
      </c>
      <c r="E58" s="72">
        <f t="shared" ref="E58:AL58" ca="1" si="33">E57+D57</f>
        <v>-15394533.888410674</v>
      </c>
      <c r="F58" s="72">
        <f t="shared" ca="1" si="33"/>
        <v>-15157656.855757162</v>
      </c>
      <c r="G58" s="72">
        <f t="shared" ca="1" si="33"/>
        <v>-14961786.197428245</v>
      </c>
      <c r="H58" s="72">
        <f t="shared" ca="1" si="33"/>
        <v>-14718555.509281261</v>
      </c>
      <c r="I58" s="72">
        <f t="shared" ca="1" si="33"/>
        <v>-12347076.138755988</v>
      </c>
      <c r="J58" s="72">
        <f t="shared" ca="1" si="33"/>
        <v>-9979795.0534340255</v>
      </c>
      <c r="K58" s="72">
        <f t="shared" ca="1" si="33"/>
        <v>-9746460.104780551</v>
      </c>
      <c r="L58" s="72">
        <f t="shared" ca="1" si="33"/>
        <v>-9395592.5537462328</v>
      </c>
      <c r="M58" s="72">
        <f t="shared" ca="1" si="33"/>
        <v>-8856389.1209107153</v>
      </c>
      <c r="N58" s="73">
        <f t="shared" ca="1" si="33"/>
        <v>-8471747.2416629475</v>
      </c>
      <c r="O58" s="74">
        <f t="shared" ca="1" si="33"/>
        <v>-7945407.9500943962</v>
      </c>
      <c r="P58" s="72">
        <f t="shared" ca="1" si="33"/>
        <v>-7313169.995141183</v>
      </c>
      <c r="Q58" s="72">
        <f t="shared" ca="1" si="33"/>
        <v>-6845226.7381935995</v>
      </c>
      <c r="R58" s="72">
        <f t="shared" ca="1" si="33"/>
        <v>-6338251.107178472</v>
      </c>
      <c r="S58" s="72">
        <f t="shared" ca="1" si="33"/>
        <v>-5877037.0243956428</v>
      </c>
      <c r="T58" s="72">
        <f t="shared" ca="1" si="33"/>
        <v>-5447338.7960842969</v>
      </c>
      <c r="U58" s="72">
        <f t="shared" ca="1" si="33"/>
        <v>-4852635.8565346515</v>
      </c>
      <c r="V58" s="72">
        <f t="shared" ca="1" si="33"/>
        <v>-4299683.3737869244</v>
      </c>
      <c r="W58" s="72">
        <f t="shared" ca="1" si="33"/>
        <v>-4006263.1117680231</v>
      </c>
      <c r="X58" s="72">
        <f t="shared" ca="1" si="33"/>
        <v>-3572681.8727415428</v>
      </c>
      <c r="Y58" s="72">
        <f t="shared" ca="1" si="33"/>
        <v>-2770381.0243128147</v>
      </c>
      <c r="Z58" s="73">
        <f t="shared" ca="1" si="33"/>
        <v>-2106410.3790929429</v>
      </c>
      <c r="AA58" s="72">
        <f t="shared" ca="1" si="33"/>
        <v>-1397163.4402088337</v>
      </c>
      <c r="AB58" s="72">
        <f t="shared" ca="1" si="33"/>
        <v>-716283.87722734828</v>
      </c>
      <c r="AC58" s="72">
        <f t="shared" ca="1" si="33"/>
        <v>-268487.40518332552</v>
      </c>
      <c r="AD58" s="72">
        <f t="shared" ca="1" si="33"/>
        <v>278324.80133536737</v>
      </c>
      <c r="AE58" s="72">
        <f t="shared" ca="1" si="33"/>
        <v>700443.22537301574</v>
      </c>
      <c r="AF58" s="72">
        <f t="shared" ca="1" si="33"/>
        <v>1212318.3817351945</v>
      </c>
      <c r="AG58" s="72">
        <f t="shared" ca="1" si="33"/>
        <v>1839854.7397143403</v>
      </c>
      <c r="AH58" s="72">
        <f t="shared" ca="1" si="33"/>
        <v>2236280.5419317717</v>
      </c>
      <c r="AI58" s="72">
        <f t="shared" ca="1" si="33"/>
        <v>2520934.5506350324</v>
      </c>
      <c r="AJ58" s="72">
        <f t="shared" ca="1" si="33"/>
        <v>2661636.2178303404</v>
      </c>
      <c r="AK58" s="72">
        <f t="shared" ca="1" si="33"/>
        <v>2749338.9669638881</v>
      </c>
      <c r="AL58" s="72">
        <f t="shared" ca="1" si="33"/>
        <v>2946003.2066726666</v>
      </c>
    </row>
    <row r="59" spans="1:38" s="59" customFormat="1" ht="15.75" customHeight="1" x14ac:dyDescent="0.2">
      <c r="A59" s="49"/>
      <c r="B59" s="23" t="s">
        <v>25</v>
      </c>
      <c r="C59" s="34">
        <f t="shared" ref="C59:AL59" si="34">C57/C26</f>
        <v>-51.721905697445969</v>
      </c>
      <c r="D59" s="34">
        <f t="shared" si="34"/>
        <v>-18.006987842117013</v>
      </c>
      <c r="E59" s="34">
        <f t="shared" ca="1" si="34"/>
        <v>-11.309782741720063</v>
      </c>
      <c r="F59" s="34">
        <f t="shared" ca="1" si="34"/>
        <v>-7.8713080118093295</v>
      </c>
      <c r="G59" s="34">
        <f t="shared" ca="1" si="34"/>
        <v>-5.9124231572224408</v>
      </c>
      <c r="H59" s="34">
        <f t="shared" ca="1" si="34"/>
        <v>-4.5697931443896707</v>
      </c>
      <c r="I59" s="34">
        <f t="shared" ca="1" si="34"/>
        <v>-2.6424498179435547</v>
      </c>
      <c r="J59" s="34">
        <f t="shared" ca="1" si="34"/>
        <v>-2.1743113279677369</v>
      </c>
      <c r="K59" s="34">
        <f t="shared" ca="1" si="34"/>
        <v>-1.9042200454126872</v>
      </c>
      <c r="L59" s="34">
        <f t="shared" ca="1" si="34"/>
        <v>-1.5141730302617546</v>
      </c>
      <c r="M59" s="34">
        <f t="shared" ca="1" si="34"/>
        <v>-1.2731541744360875</v>
      </c>
      <c r="N59" s="35">
        <f t="shared" ca="1" si="34"/>
        <v>-1.0803770976817997</v>
      </c>
      <c r="O59" s="36">
        <f t="shared" ca="1" si="34"/>
        <v>-0.87689639651434115</v>
      </c>
      <c r="P59" s="34">
        <f t="shared" ca="1" si="34"/>
        <v>-0.73599955106131465</v>
      </c>
      <c r="Q59" s="34">
        <f t="shared" ca="1" si="34"/>
        <v>-0.63214104887988865</v>
      </c>
      <c r="R59" s="34">
        <f t="shared" ca="1" si="34"/>
        <v>-0.52903428156021515</v>
      </c>
      <c r="S59" s="34">
        <f t="shared" ca="1" si="34"/>
        <v>-0.47580301547885867</v>
      </c>
      <c r="T59" s="34">
        <f t="shared" ca="1" si="34"/>
        <v>-0.39201371862571366</v>
      </c>
      <c r="U59" s="34">
        <f t="shared" ca="1" si="34"/>
        <v>-0.32307635939313512</v>
      </c>
      <c r="V59" s="34">
        <f t="shared" ca="1" si="34"/>
        <v>-0.27268487443065625</v>
      </c>
      <c r="W59" s="34">
        <f t="shared" ca="1" si="34"/>
        <v>-0.25413831618095223</v>
      </c>
      <c r="X59" s="34">
        <f t="shared" ca="1" si="34"/>
        <v>-0.1952963893529969</v>
      </c>
      <c r="Y59" s="34">
        <f t="shared" ca="1" si="34"/>
        <v>-0.13517777160331707</v>
      </c>
      <c r="Z59" s="35">
        <f t="shared" ca="1" si="34"/>
        <v>-0.10435108196724879</v>
      </c>
      <c r="AA59" s="34">
        <f t="shared" ca="1" si="34"/>
        <v>-4.8399031830465324E-2</v>
      </c>
      <c r="AB59" s="34">
        <f t="shared" ca="1" si="34"/>
        <v>-2.5464678179565367E-2</v>
      </c>
      <c r="AC59" s="34">
        <f t="shared" ca="1" si="34"/>
        <v>-1.6535444070704746E-3</v>
      </c>
      <c r="AD59" s="34">
        <f t="shared" ca="1" si="34"/>
        <v>2.8207257841216547E-2</v>
      </c>
      <c r="AE59" s="34">
        <f t="shared" ca="1" si="34"/>
        <v>3.7723489108007366E-2</v>
      </c>
      <c r="AF59" s="34">
        <f t="shared" ca="1" si="34"/>
        <v>7.2253593249868714E-2</v>
      </c>
      <c r="AG59" s="34">
        <f t="shared" ca="1" si="34"/>
        <v>9.0057237648478103E-2</v>
      </c>
      <c r="AH59" s="34">
        <f t="shared" ca="1" si="34"/>
        <v>0.10330494686182365</v>
      </c>
      <c r="AI59" s="34">
        <f t="shared" ca="1" si="34"/>
        <v>0.11195115839105563</v>
      </c>
      <c r="AJ59" s="34">
        <f t="shared" ca="1" si="34"/>
        <v>0.112331239500784</v>
      </c>
      <c r="AK59" s="34">
        <f t="shared" ca="1" si="34"/>
        <v>0.11681515515802196</v>
      </c>
      <c r="AL59" s="34">
        <f t="shared" ca="1" si="34"/>
        <v>0.12657744292078624</v>
      </c>
    </row>
    <row r="60" spans="1:38" s="56" customFormat="1" ht="15.75" customHeight="1" x14ac:dyDescent="0.25">
      <c r="A60" s="49"/>
      <c r="B60" s="52" t="s">
        <v>26</v>
      </c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4"/>
      <c r="O60" s="55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4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</row>
    <row r="61" spans="1:38" s="40" customFormat="1" ht="15.75" customHeight="1" x14ac:dyDescent="0.2">
      <c r="A61" s="44"/>
      <c r="B61" s="11" t="s">
        <v>49</v>
      </c>
      <c r="C61" s="75">
        <f t="shared" ref="C61:AL61" si="35">$C$17*C26</f>
        <v>15270</v>
      </c>
      <c r="D61" s="75">
        <f t="shared" si="35"/>
        <v>42955.136479586596</v>
      </c>
      <c r="E61" s="75">
        <f t="shared" ca="1" si="35"/>
        <v>67725.506845605647</v>
      </c>
      <c r="F61" s="75">
        <f t="shared" ca="1" si="35"/>
        <v>95257.982022061478</v>
      </c>
      <c r="G61" s="75">
        <f t="shared" ca="1" si="35"/>
        <v>126238.20772233378</v>
      </c>
      <c r="H61" s="75">
        <f t="shared" ca="1" si="35"/>
        <v>158755.94919542831</v>
      </c>
      <c r="I61" s="75">
        <f t="shared" ca="1" si="35"/>
        <v>192709.72040920448</v>
      </c>
      <c r="J61" s="75">
        <f t="shared" ca="1" si="35"/>
        <v>224785.53712405587</v>
      </c>
      <c r="K61" s="75">
        <f t="shared" ca="1" si="35"/>
        <v>255166.03079378075</v>
      </c>
      <c r="L61" s="75">
        <f t="shared" ca="1" si="35"/>
        <v>299613.70039082639</v>
      </c>
      <c r="M61" s="75">
        <f t="shared" ca="1" si="35"/>
        <v>339292.70793436153</v>
      </c>
      <c r="N61" s="76">
        <f t="shared" ca="1" si="35"/>
        <v>384312.84557480196</v>
      </c>
      <c r="O61" s="77">
        <f t="shared" ca="1" si="35"/>
        <v>432591.58073105116</v>
      </c>
      <c r="P61" s="75">
        <f t="shared" ca="1" si="35"/>
        <v>478232.6303067191</v>
      </c>
      <c r="Q61" s="75">
        <f t="shared" ca="1" si="35"/>
        <v>526059.29198869155</v>
      </c>
      <c r="R61" s="75">
        <f t="shared" ca="1" si="35"/>
        <v>569493.22304515354</v>
      </c>
      <c r="S61" s="75">
        <f t="shared" ca="1" si="35"/>
        <v>601976.56386056833</v>
      </c>
      <c r="T61" s="75">
        <f t="shared" ca="1" si="35"/>
        <v>658935.1418147689</v>
      </c>
      <c r="U61" s="75">
        <f t="shared" ca="1" si="35"/>
        <v>702471.61012895207</v>
      </c>
      <c r="V61" s="75">
        <f t="shared" ca="1" si="35"/>
        <v>744509.08736716118</v>
      </c>
      <c r="W61" s="75">
        <f t="shared" ca="1" si="35"/>
        <v>777568.47981515212</v>
      </c>
      <c r="X61" s="75">
        <f t="shared" ca="1" si="35"/>
        <v>817517.63884363277</v>
      </c>
      <c r="Y61" s="75">
        <f t="shared" ca="1" si="35"/>
        <v>868336.99017607095</v>
      </c>
      <c r="Z61" s="76">
        <f t="shared" ca="1" si="35"/>
        <v>893725.07518256688</v>
      </c>
      <c r="AA61" s="75">
        <f t="shared" ca="1" si="35"/>
        <v>959836.66795334558</v>
      </c>
      <c r="AB61" s="75">
        <f t="shared" ca="1" si="35"/>
        <v>988554.50286482833</v>
      </c>
      <c r="AC61" s="75">
        <f t="shared" ca="1" si="35"/>
        <v>1013288.9281685059</v>
      </c>
      <c r="AD61" s="75">
        <f t="shared" ca="1" si="35"/>
        <v>1046113.682498375</v>
      </c>
      <c r="AE61" s="75">
        <f t="shared" ca="1" si="35"/>
        <v>1074564.5517514162</v>
      </c>
      <c r="AF61" s="75">
        <f t="shared" ca="1" si="35"/>
        <v>1116837.383168078</v>
      </c>
      <c r="AG61" s="75">
        <f t="shared" ca="1" si="35"/>
        <v>1146936.7999597474</v>
      </c>
      <c r="AH61" s="75">
        <f t="shared" ca="1" si="35"/>
        <v>1164882.2044541235</v>
      </c>
      <c r="AI61" s="75">
        <f t="shared" ca="1" si="35"/>
        <v>1176900.3798232486</v>
      </c>
      <c r="AJ61" s="75">
        <f t="shared" ca="1" si="35"/>
        <v>1196535.0115273136</v>
      </c>
      <c r="AK61" s="75">
        <f t="shared" ca="1" si="35"/>
        <v>1202974.3534162536</v>
      </c>
      <c r="AL61" s="75">
        <f t="shared" ca="1" si="35"/>
        <v>1217236.5104440271</v>
      </c>
    </row>
    <row r="62" spans="1:38" ht="15" customHeight="1" x14ac:dyDescent="0.2">
      <c r="A62" s="40"/>
    </row>
    <row r="63" spans="1:38" s="58" customFormat="1" ht="24" customHeight="1" x14ac:dyDescent="0.2">
      <c r="A63" s="40"/>
      <c r="B63" s="95" t="s">
        <v>80</v>
      </c>
    </row>
    <row r="64" spans="1:38" s="56" customFormat="1" ht="15.75" x14ac:dyDescent="0.25">
      <c r="A64" s="44"/>
      <c r="B64" s="52" t="s">
        <v>35</v>
      </c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4"/>
      <c r="O64" s="55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4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</row>
    <row r="65" spans="1:38" s="37" customFormat="1" ht="15.75" x14ac:dyDescent="0.25">
      <c r="A65" s="66"/>
      <c r="B65" s="5" t="s">
        <v>39</v>
      </c>
      <c r="C65" s="83">
        <f>C8</f>
        <v>1000000</v>
      </c>
      <c r="D65" s="83">
        <f>C65 +100000</f>
        <v>1100000</v>
      </c>
      <c r="E65" s="83">
        <f t="shared" ref="E65:W65" si="36">D65 +100000</f>
        <v>1200000</v>
      </c>
      <c r="F65" s="83">
        <f t="shared" si="36"/>
        <v>1300000</v>
      </c>
      <c r="G65" s="83">
        <f t="shared" si="36"/>
        <v>1400000</v>
      </c>
      <c r="H65" s="83">
        <f t="shared" si="36"/>
        <v>1500000</v>
      </c>
      <c r="I65" s="83">
        <f t="shared" si="36"/>
        <v>1600000</v>
      </c>
      <c r="J65" s="83">
        <f t="shared" si="36"/>
        <v>1700000</v>
      </c>
      <c r="K65" s="83">
        <f t="shared" si="36"/>
        <v>1800000</v>
      </c>
      <c r="L65" s="83">
        <f t="shared" si="36"/>
        <v>1900000</v>
      </c>
      <c r="M65" s="83">
        <f t="shared" si="36"/>
        <v>2000000</v>
      </c>
      <c r="N65" s="84">
        <f t="shared" si="36"/>
        <v>2100000</v>
      </c>
      <c r="O65" s="83">
        <f t="shared" si="36"/>
        <v>2200000</v>
      </c>
      <c r="P65" s="83">
        <f t="shared" si="36"/>
        <v>2300000</v>
      </c>
      <c r="Q65" s="83">
        <f t="shared" si="36"/>
        <v>2400000</v>
      </c>
      <c r="R65" s="83">
        <f t="shared" si="36"/>
        <v>2500000</v>
      </c>
      <c r="S65" s="83">
        <f t="shared" si="36"/>
        <v>2600000</v>
      </c>
      <c r="T65" s="83">
        <f t="shared" si="36"/>
        <v>2700000</v>
      </c>
      <c r="U65" s="83">
        <f t="shared" si="36"/>
        <v>2800000</v>
      </c>
      <c r="V65" s="83">
        <f t="shared" si="36"/>
        <v>2900000</v>
      </c>
      <c r="W65" s="83">
        <f t="shared" si="36"/>
        <v>3000000</v>
      </c>
      <c r="X65" s="83">
        <f>W65</f>
        <v>3000000</v>
      </c>
      <c r="Y65" s="83">
        <f t="shared" ref="Y65:AL65" si="37">X65</f>
        <v>3000000</v>
      </c>
      <c r="Z65" s="84">
        <f t="shared" si="37"/>
        <v>3000000</v>
      </c>
      <c r="AA65" s="83">
        <f t="shared" si="37"/>
        <v>3000000</v>
      </c>
      <c r="AB65" s="83">
        <f t="shared" si="37"/>
        <v>3000000</v>
      </c>
      <c r="AC65" s="83">
        <f t="shared" si="37"/>
        <v>3000000</v>
      </c>
      <c r="AD65" s="83">
        <f t="shared" si="37"/>
        <v>3000000</v>
      </c>
      <c r="AE65" s="83">
        <f t="shared" si="37"/>
        <v>3000000</v>
      </c>
      <c r="AF65" s="83">
        <f t="shared" si="37"/>
        <v>3000000</v>
      </c>
      <c r="AG65" s="83">
        <f t="shared" si="37"/>
        <v>3000000</v>
      </c>
      <c r="AH65" s="83">
        <f t="shared" si="37"/>
        <v>3000000</v>
      </c>
      <c r="AI65" s="83">
        <f t="shared" si="37"/>
        <v>3000000</v>
      </c>
      <c r="AJ65" s="83">
        <f t="shared" si="37"/>
        <v>3000000</v>
      </c>
      <c r="AK65" s="83">
        <f t="shared" si="37"/>
        <v>3000000</v>
      </c>
      <c r="AL65" s="83">
        <f t="shared" si="37"/>
        <v>3000000</v>
      </c>
    </row>
    <row r="66" spans="1:38" x14ac:dyDescent="0.2">
      <c r="A66" s="44"/>
      <c r="B66" s="5" t="s">
        <v>36</v>
      </c>
      <c r="C66" s="16">
        <f>$C$9</f>
        <v>0.25</v>
      </c>
      <c r="D66" s="117">
        <f ca="1">RANDBETWEEN(22, 28)/100</f>
        <v>0.24</v>
      </c>
      <c r="E66" s="117">
        <f t="shared" ref="E66:AL66" ca="1" si="38">RANDBETWEEN(22, 28)/100</f>
        <v>0.24</v>
      </c>
      <c r="F66" s="117">
        <f t="shared" ca="1" si="38"/>
        <v>0.24</v>
      </c>
      <c r="G66" s="117">
        <f t="shared" ca="1" si="38"/>
        <v>0.25</v>
      </c>
      <c r="H66" s="117">
        <f t="shared" ca="1" si="38"/>
        <v>0.26</v>
      </c>
      <c r="I66" s="117">
        <f t="shared" ca="1" si="38"/>
        <v>0.26</v>
      </c>
      <c r="J66" s="117">
        <f t="shared" ca="1" si="38"/>
        <v>0.23</v>
      </c>
      <c r="K66" s="117">
        <f t="shared" ca="1" si="38"/>
        <v>0.27</v>
      </c>
      <c r="L66" s="117">
        <f t="shared" ca="1" si="38"/>
        <v>0.28000000000000003</v>
      </c>
      <c r="M66" s="117">
        <f t="shared" ca="1" si="38"/>
        <v>0.28000000000000003</v>
      </c>
      <c r="N66" s="118">
        <f t="shared" ca="1" si="38"/>
        <v>0.27</v>
      </c>
      <c r="O66" s="117">
        <f t="shared" ca="1" si="38"/>
        <v>0.28000000000000003</v>
      </c>
      <c r="P66" s="117">
        <f t="shared" ca="1" si="38"/>
        <v>0.27</v>
      </c>
      <c r="Q66" s="117">
        <f t="shared" ca="1" si="38"/>
        <v>0.26</v>
      </c>
      <c r="R66" s="117">
        <f t="shared" ca="1" si="38"/>
        <v>0.25</v>
      </c>
      <c r="S66" s="117">
        <f t="shared" ca="1" si="38"/>
        <v>0.28000000000000003</v>
      </c>
      <c r="T66" s="117">
        <f t="shared" ca="1" si="38"/>
        <v>0.27</v>
      </c>
      <c r="U66" s="117">
        <f t="shared" ca="1" si="38"/>
        <v>0.24</v>
      </c>
      <c r="V66" s="117">
        <f t="shared" ca="1" si="38"/>
        <v>0.22</v>
      </c>
      <c r="W66" s="117">
        <f t="shared" ca="1" si="38"/>
        <v>0.23</v>
      </c>
      <c r="X66" s="117">
        <f t="shared" ca="1" si="38"/>
        <v>0.26</v>
      </c>
      <c r="Y66" s="117">
        <f t="shared" ca="1" si="38"/>
        <v>0.23</v>
      </c>
      <c r="Z66" s="118">
        <f t="shared" ca="1" si="38"/>
        <v>0.27</v>
      </c>
      <c r="AA66" s="117">
        <f t="shared" ca="1" si="38"/>
        <v>0.24</v>
      </c>
      <c r="AB66" s="117">
        <f t="shared" ca="1" si="38"/>
        <v>0.22</v>
      </c>
      <c r="AC66" s="117">
        <f t="shared" ca="1" si="38"/>
        <v>0.27</v>
      </c>
      <c r="AD66" s="117">
        <f t="shared" ca="1" si="38"/>
        <v>0.25</v>
      </c>
      <c r="AE66" s="117">
        <f t="shared" ca="1" si="38"/>
        <v>0.28000000000000003</v>
      </c>
      <c r="AF66" s="117">
        <f t="shared" ca="1" si="38"/>
        <v>0.27</v>
      </c>
      <c r="AG66" s="117">
        <f t="shared" ca="1" si="38"/>
        <v>0.25</v>
      </c>
      <c r="AH66" s="117">
        <f t="shared" ca="1" si="38"/>
        <v>0.23</v>
      </c>
      <c r="AI66" s="117">
        <f t="shared" ca="1" si="38"/>
        <v>0.25</v>
      </c>
      <c r="AJ66" s="117">
        <f t="shared" ca="1" si="38"/>
        <v>0.22</v>
      </c>
      <c r="AK66" s="117">
        <f t="shared" ca="1" si="38"/>
        <v>0.27</v>
      </c>
      <c r="AL66" s="117">
        <f t="shared" ca="1" si="38"/>
        <v>0.22</v>
      </c>
    </row>
    <row r="67" spans="1:38" x14ac:dyDescent="0.2">
      <c r="A67" s="44"/>
      <c r="B67" s="5" t="s">
        <v>37</v>
      </c>
      <c r="C67" s="16">
        <f>$C$10</f>
        <v>0.33</v>
      </c>
      <c r="D67" s="16">
        <f ca="1">RANDBETWEEN(30,36)/100</f>
        <v>0.3</v>
      </c>
      <c r="E67" s="16">
        <f t="shared" ref="E67:AL67" ca="1" si="39">RANDBETWEEN(30,36)/100</f>
        <v>0.32</v>
      </c>
      <c r="F67" s="16">
        <f t="shared" ca="1" si="39"/>
        <v>0.34</v>
      </c>
      <c r="G67" s="16">
        <f t="shared" ca="1" si="39"/>
        <v>0.33</v>
      </c>
      <c r="H67" s="16">
        <f t="shared" ca="1" si="39"/>
        <v>0.32</v>
      </c>
      <c r="I67" s="16">
        <f t="shared" ca="1" si="39"/>
        <v>0.3</v>
      </c>
      <c r="J67" s="16">
        <f t="shared" ca="1" si="39"/>
        <v>0.32</v>
      </c>
      <c r="K67" s="16">
        <f t="shared" ca="1" si="39"/>
        <v>0.35</v>
      </c>
      <c r="L67" s="16">
        <f t="shared" ca="1" si="39"/>
        <v>0.3</v>
      </c>
      <c r="M67" s="16">
        <f t="shared" ca="1" si="39"/>
        <v>0.33</v>
      </c>
      <c r="N67" s="47">
        <f t="shared" ca="1" si="39"/>
        <v>0.3</v>
      </c>
      <c r="O67" s="16">
        <f t="shared" ca="1" si="39"/>
        <v>0.32</v>
      </c>
      <c r="P67" s="16">
        <f t="shared" ca="1" si="39"/>
        <v>0.34</v>
      </c>
      <c r="Q67" s="16">
        <f t="shared" ca="1" si="39"/>
        <v>0.33</v>
      </c>
      <c r="R67" s="16">
        <f t="shared" ca="1" si="39"/>
        <v>0.3</v>
      </c>
      <c r="S67" s="16">
        <f t="shared" ca="1" si="39"/>
        <v>0.36</v>
      </c>
      <c r="T67" s="16">
        <f t="shared" ca="1" si="39"/>
        <v>0.31</v>
      </c>
      <c r="U67" s="16">
        <f t="shared" ca="1" si="39"/>
        <v>0.34</v>
      </c>
      <c r="V67" s="16">
        <f t="shared" ca="1" si="39"/>
        <v>0.33</v>
      </c>
      <c r="W67" s="16">
        <f t="shared" ca="1" si="39"/>
        <v>0.34</v>
      </c>
      <c r="X67" s="16">
        <f t="shared" ca="1" si="39"/>
        <v>0.35</v>
      </c>
      <c r="Y67" s="16">
        <f t="shared" ca="1" si="39"/>
        <v>0.3</v>
      </c>
      <c r="Z67" s="47">
        <f t="shared" ca="1" si="39"/>
        <v>0.33</v>
      </c>
      <c r="AA67" s="16">
        <f t="shared" ca="1" si="39"/>
        <v>0.32</v>
      </c>
      <c r="AB67" s="16">
        <f t="shared" ca="1" si="39"/>
        <v>0.34</v>
      </c>
      <c r="AC67" s="16">
        <f t="shared" ca="1" si="39"/>
        <v>0.31</v>
      </c>
      <c r="AD67" s="16">
        <f t="shared" ca="1" si="39"/>
        <v>0.33</v>
      </c>
      <c r="AE67" s="16">
        <f t="shared" ca="1" si="39"/>
        <v>0.35</v>
      </c>
      <c r="AF67" s="16">
        <f t="shared" ca="1" si="39"/>
        <v>0.32</v>
      </c>
      <c r="AG67" s="16">
        <f t="shared" ca="1" si="39"/>
        <v>0.31</v>
      </c>
      <c r="AH67" s="16">
        <f t="shared" ca="1" si="39"/>
        <v>0.32</v>
      </c>
      <c r="AI67" s="16">
        <f t="shared" ca="1" si="39"/>
        <v>0.33</v>
      </c>
      <c r="AJ67" s="16">
        <f t="shared" ca="1" si="39"/>
        <v>0.33</v>
      </c>
      <c r="AK67" s="16">
        <f t="shared" ca="1" si="39"/>
        <v>0.3</v>
      </c>
      <c r="AL67" s="16">
        <f t="shared" ca="1" si="39"/>
        <v>0.34</v>
      </c>
    </row>
    <row r="68" spans="1:38" x14ac:dyDescent="0.2">
      <c r="A68" s="44"/>
      <c r="B68" s="7" t="s">
        <v>38</v>
      </c>
      <c r="C68" s="72">
        <f t="shared" ref="C68:AL68" si="40">$C11</f>
        <v>1800</v>
      </c>
      <c r="D68" s="72">
        <f t="shared" si="40"/>
        <v>1800</v>
      </c>
      <c r="E68" s="72">
        <f t="shared" si="40"/>
        <v>1800</v>
      </c>
      <c r="F68" s="72">
        <f t="shared" si="40"/>
        <v>1800</v>
      </c>
      <c r="G68" s="72">
        <f t="shared" si="40"/>
        <v>1800</v>
      </c>
      <c r="H68" s="72">
        <f t="shared" si="40"/>
        <v>1800</v>
      </c>
      <c r="I68" s="72">
        <f t="shared" si="40"/>
        <v>1800</v>
      </c>
      <c r="J68" s="72">
        <f t="shared" si="40"/>
        <v>1800</v>
      </c>
      <c r="K68" s="72">
        <f t="shared" si="40"/>
        <v>1800</v>
      </c>
      <c r="L68" s="72">
        <f t="shared" si="40"/>
        <v>1800</v>
      </c>
      <c r="M68" s="72">
        <f t="shared" si="40"/>
        <v>1800</v>
      </c>
      <c r="N68" s="73">
        <f t="shared" si="40"/>
        <v>1800</v>
      </c>
      <c r="O68" s="74">
        <f t="shared" si="40"/>
        <v>1800</v>
      </c>
      <c r="P68" s="72">
        <f t="shared" si="40"/>
        <v>1800</v>
      </c>
      <c r="Q68" s="72">
        <f t="shared" si="40"/>
        <v>1800</v>
      </c>
      <c r="R68" s="72">
        <f t="shared" si="40"/>
        <v>1800</v>
      </c>
      <c r="S68" s="72">
        <f t="shared" si="40"/>
        <v>1800</v>
      </c>
      <c r="T68" s="72">
        <f t="shared" si="40"/>
        <v>1800</v>
      </c>
      <c r="U68" s="72">
        <f t="shared" si="40"/>
        <v>1800</v>
      </c>
      <c r="V68" s="72">
        <f t="shared" si="40"/>
        <v>1800</v>
      </c>
      <c r="W68" s="72">
        <f t="shared" si="40"/>
        <v>1800</v>
      </c>
      <c r="X68" s="72">
        <f t="shared" si="40"/>
        <v>1800</v>
      </c>
      <c r="Y68" s="72">
        <f t="shared" si="40"/>
        <v>1800</v>
      </c>
      <c r="Z68" s="73">
        <f t="shared" si="40"/>
        <v>1800</v>
      </c>
      <c r="AA68" s="72">
        <f t="shared" si="40"/>
        <v>1800</v>
      </c>
      <c r="AB68" s="72">
        <f t="shared" si="40"/>
        <v>1800</v>
      </c>
      <c r="AC68" s="72">
        <f t="shared" si="40"/>
        <v>1800</v>
      </c>
      <c r="AD68" s="72">
        <f t="shared" si="40"/>
        <v>1800</v>
      </c>
      <c r="AE68" s="72">
        <f t="shared" si="40"/>
        <v>1800</v>
      </c>
      <c r="AF68" s="72">
        <f t="shared" si="40"/>
        <v>1800</v>
      </c>
      <c r="AG68" s="72">
        <f t="shared" si="40"/>
        <v>1800</v>
      </c>
      <c r="AH68" s="72">
        <f t="shared" si="40"/>
        <v>1800</v>
      </c>
      <c r="AI68" s="72">
        <f t="shared" si="40"/>
        <v>1800</v>
      </c>
      <c r="AJ68" s="72">
        <f t="shared" si="40"/>
        <v>1800</v>
      </c>
      <c r="AK68" s="72">
        <f t="shared" si="40"/>
        <v>1800</v>
      </c>
      <c r="AL68" s="72">
        <f t="shared" si="40"/>
        <v>1800</v>
      </c>
    </row>
    <row r="69" spans="1:38" x14ac:dyDescent="0.2">
      <c r="A69" s="49"/>
      <c r="B69" s="5" t="s">
        <v>40</v>
      </c>
      <c r="C69" s="13">
        <f>C65/C68</f>
        <v>555.55555555555554</v>
      </c>
      <c r="D69" s="13">
        <f t="shared" ref="D69:AL69" si="41">D65/D68</f>
        <v>611.11111111111109</v>
      </c>
      <c r="E69" s="13">
        <f t="shared" si="41"/>
        <v>666.66666666666663</v>
      </c>
      <c r="F69" s="13">
        <f t="shared" si="41"/>
        <v>722.22222222222217</v>
      </c>
      <c r="G69" s="13">
        <f t="shared" si="41"/>
        <v>777.77777777777783</v>
      </c>
      <c r="H69" s="13">
        <f t="shared" si="41"/>
        <v>833.33333333333337</v>
      </c>
      <c r="I69" s="13">
        <f t="shared" si="41"/>
        <v>888.88888888888891</v>
      </c>
      <c r="J69" s="13">
        <f t="shared" si="41"/>
        <v>944.44444444444446</v>
      </c>
      <c r="K69" s="13">
        <f t="shared" si="41"/>
        <v>1000</v>
      </c>
      <c r="L69" s="13">
        <f t="shared" si="41"/>
        <v>1055.5555555555557</v>
      </c>
      <c r="M69" s="13">
        <f t="shared" si="41"/>
        <v>1111.1111111111111</v>
      </c>
      <c r="N69" s="20">
        <f t="shared" si="41"/>
        <v>1166.6666666666667</v>
      </c>
      <c r="O69" s="22">
        <f t="shared" si="41"/>
        <v>1222.2222222222222</v>
      </c>
      <c r="P69" s="13">
        <f t="shared" si="41"/>
        <v>1277.7777777777778</v>
      </c>
      <c r="Q69" s="13">
        <f t="shared" si="41"/>
        <v>1333.3333333333333</v>
      </c>
      <c r="R69" s="13">
        <f t="shared" si="41"/>
        <v>1388.8888888888889</v>
      </c>
      <c r="S69" s="13">
        <f t="shared" si="41"/>
        <v>1444.4444444444443</v>
      </c>
      <c r="T69" s="13">
        <f t="shared" si="41"/>
        <v>1500</v>
      </c>
      <c r="U69" s="13">
        <f t="shared" si="41"/>
        <v>1555.5555555555557</v>
      </c>
      <c r="V69" s="13">
        <f t="shared" si="41"/>
        <v>1611.1111111111111</v>
      </c>
      <c r="W69" s="13">
        <f t="shared" si="41"/>
        <v>1666.6666666666667</v>
      </c>
      <c r="X69" s="13">
        <f t="shared" si="41"/>
        <v>1666.6666666666667</v>
      </c>
      <c r="Y69" s="13">
        <f t="shared" si="41"/>
        <v>1666.6666666666667</v>
      </c>
      <c r="Z69" s="20">
        <f t="shared" si="41"/>
        <v>1666.6666666666667</v>
      </c>
      <c r="AA69" s="13">
        <f t="shared" si="41"/>
        <v>1666.6666666666667</v>
      </c>
      <c r="AB69" s="13">
        <f t="shared" si="41"/>
        <v>1666.6666666666667</v>
      </c>
      <c r="AC69" s="13">
        <f t="shared" si="41"/>
        <v>1666.6666666666667</v>
      </c>
      <c r="AD69" s="13">
        <f t="shared" si="41"/>
        <v>1666.6666666666667</v>
      </c>
      <c r="AE69" s="13">
        <f t="shared" si="41"/>
        <v>1666.6666666666667</v>
      </c>
      <c r="AF69" s="13">
        <f t="shared" si="41"/>
        <v>1666.6666666666667</v>
      </c>
      <c r="AG69" s="13">
        <f t="shared" si="41"/>
        <v>1666.6666666666667</v>
      </c>
      <c r="AH69" s="13">
        <f t="shared" si="41"/>
        <v>1666.6666666666667</v>
      </c>
      <c r="AI69" s="13">
        <f t="shared" si="41"/>
        <v>1666.6666666666667</v>
      </c>
      <c r="AJ69" s="13">
        <f t="shared" si="41"/>
        <v>1666.6666666666667</v>
      </c>
      <c r="AK69" s="13">
        <f t="shared" si="41"/>
        <v>1666.6666666666667</v>
      </c>
      <c r="AL69" s="13">
        <f t="shared" si="41"/>
        <v>1666.6666666666667</v>
      </c>
    </row>
    <row r="70" spans="1:38" x14ac:dyDescent="0.2">
      <c r="A70" s="49"/>
      <c r="B70" s="5" t="s">
        <v>75</v>
      </c>
      <c r="C70" s="13">
        <f>C69*C66</f>
        <v>138.88888888888889</v>
      </c>
      <c r="D70" s="13">
        <f t="shared" ref="D70:AL70" ca="1" si="42">D69*D66</f>
        <v>146.66666666666666</v>
      </c>
      <c r="E70" s="13">
        <f t="shared" ca="1" si="42"/>
        <v>159.99999999999997</v>
      </c>
      <c r="F70" s="13">
        <f t="shared" ca="1" si="42"/>
        <v>173.33333333333331</v>
      </c>
      <c r="G70" s="13">
        <f t="shared" ca="1" si="42"/>
        <v>194.44444444444446</v>
      </c>
      <c r="H70" s="13">
        <f t="shared" ca="1" si="42"/>
        <v>216.66666666666669</v>
      </c>
      <c r="I70" s="13">
        <f t="shared" ca="1" si="42"/>
        <v>231.11111111111111</v>
      </c>
      <c r="J70" s="13">
        <f t="shared" ca="1" si="42"/>
        <v>217.22222222222223</v>
      </c>
      <c r="K70" s="13">
        <f t="shared" ca="1" si="42"/>
        <v>270</v>
      </c>
      <c r="L70" s="13">
        <f t="shared" ca="1" si="42"/>
        <v>295.5555555555556</v>
      </c>
      <c r="M70" s="13">
        <f t="shared" ca="1" si="42"/>
        <v>311.11111111111114</v>
      </c>
      <c r="N70" s="20">
        <f t="shared" ca="1" si="42"/>
        <v>315.00000000000006</v>
      </c>
      <c r="O70" s="22">
        <f t="shared" ca="1" si="42"/>
        <v>342.22222222222223</v>
      </c>
      <c r="P70" s="13">
        <f t="shared" ca="1" si="42"/>
        <v>345.00000000000006</v>
      </c>
      <c r="Q70" s="13">
        <f t="shared" ca="1" si="42"/>
        <v>346.66666666666669</v>
      </c>
      <c r="R70" s="13">
        <f t="shared" ca="1" si="42"/>
        <v>347.22222222222223</v>
      </c>
      <c r="S70" s="13">
        <f t="shared" ca="1" si="42"/>
        <v>404.44444444444446</v>
      </c>
      <c r="T70" s="13">
        <f t="shared" ca="1" si="42"/>
        <v>405</v>
      </c>
      <c r="U70" s="13">
        <f t="shared" ca="1" si="42"/>
        <v>373.33333333333337</v>
      </c>
      <c r="V70" s="13">
        <f t="shared" ca="1" si="42"/>
        <v>354.44444444444446</v>
      </c>
      <c r="W70" s="13">
        <f t="shared" ca="1" si="42"/>
        <v>383.33333333333337</v>
      </c>
      <c r="X70" s="13">
        <f t="shared" ca="1" si="42"/>
        <v>433.33333333333337</v>
      </c>
      <c r="Y70" s="13">
        <f t="shared" ca="1" si="42"/>
        <v>383.33333333333337</v>
      </c>
      <c r="Z70" s="20">
        <f t="shared" ca="1" si="42"/>
        <v>450.00000000000006</v>
      </c>
      <c r="AA70" s="13">
        <f t="shared" ca="1" si="42"/>
        <v>400</v>
      </c>
      <c r="AB70" s="13">
        <f t="shared" ca="1" si="42"/>
        <v>366.66666666666669</v>
      </c>
      <c r="AC70" s="13">
        <f t="shared" ca="1" si="42"/>
        <v>450.00000000000006</v>
      </c>
      <c r="AD70" s="13">
        <f t="shared" ca="1" si="42"/>
        <v>416.66666666666669</v>
      </c>
      <c r="AE70" s="13">
        <f t="shared" ca="1" si="42"/>
        <v>466.66666666666674</v>
      </c>
      <c r="AF70" s="13">
        <f t="shared" ca="1" si="42"/>
        <v>450.00000000000006</v>
      </c>
      <c r="AG70" s="13">
        <f t="shared" ca="1" si="42"/>
        <v>416.66666666666669</v>
      </c>
      <c r="AH70" s="13">
        <f t="shared" ca="1" si="42"/>
        <v>383.33333333333337</v>
      </c>
      <c r="AI70" s="13">
        <f t="shared" ca="1" si="42"/>
        <v>416.66666666666669</v>
      </c>
      <c r="AJ70" s="13">
        <f t="shared" ca="1" si="42"/>
        <v>366.66666666666669</v>
      </c>
      <c r="AK70" s="13">
        <f t="shared" ca="1" si="42"/>
        <v>450.00000000000006</v>
      </c>
      <c r="AL70" s="13">
        <f t="shared" ca="1" si="42"/>
        <v>366.66666666666669</v>
      </c>
    </row>
    <row r="71" spans="1:38" ht="15" customHeight="1" x14ac:dyDescent="0.2">
      <c r="A71" s="44"/>
      <c r="B71" s="5" t="s">
        <v>74</v>
      </c>
      <c r="C71" s="13">
        <f>C70*C67</f>
        <v>45.833333333333336</v>
      </c>
      <c r="D71" s="13">
        <f t="shared" ref="D71:AL71" ca="1" si="43">D70*D67</f>
        <v>43.999999999999993</v>
      </c>
      <c r="E71" s="13">
        <f t="shared" ca="1" si="43"/>
        <v>51.199999999999989</v>
      </c>
      <c r="F71" s="13">
        <f t="shared" ca="1" si="43"/>
        <v>58.93333333333333</v>
      </c>
      <c r="G71" s="13">
        <f t="shared" ca="1" si="43"/>
        <v>64.166666666666671</v>
      </c>
      <c r="H71" s="13">
        <f t="shared" ca="1" si="43"/>
        <v>69.333333333333343</v>
      </c>
      <c r="I71" s="13">
        <f t="shared" ca="1" si="43"/>
        <v>69.333333333333329</v>
      </c>
      <c r="J71" s="13">
        <f t="shared" ca="1" si="43"/>
        <v>69.51111111111112</v>
      </c>
      <c r="K71" s="13">
        <f t="shared" ca="1" si="43"/>
        <v>94.5</v>
      </c>
      <c r="L71" s="13">
        <f t="shared" ca="1" si="43"/>
        <v>88.666666666666671</v>
      </c>
      <c r="M71" s="13">
        <f t="shared" ca="1" si="43"/>
        <v>102.66666666666669</v>
      </c>
      <c r="N71" s="20">
        <f t="shared" ca="1" si="43"/>
        <v>94.500000000000014</v>
      </c>
      <c r="O71" s="22">
        <f t="shared" ca="1" si="43"/>
        <v>109.51111111111112</v>
      </c>
      <c r="P71" s="13">
        <f t="shared" ca="1" si="43"/>
        <v>117.30000000000003</v>
      </c>
      <c r="Q71" s="13">
        <f t="shared" ca="1" si="43"/>
        <v>114.4</v>
      </c>
      <c r="R71" s="13">
        <f t="shared" ca="1" si="43"/>
        <v>104.16666666666667</v>
      </c>
      <c r="S71" s="13">
        <f t="shared" ca="1" si="43"/>
        <v>145.6</v>
      </c>
      <c r="T71" s="13">
        <f t="shared" ca="1" si="43"/>
        <v>125.55</v>
      </c>
      <c r="U71" s="13">
        <f t="shared" ca="1" si="43"/>
        <v>126.93333333333335</v>
      </c>
      <c r="V71" s="13">
        <f t="shared" ca="1" si="43"/>
        <v>116.96666666666668</v>
      </c>
      <c r="W71" s="13">
        <f t="shared" ca="1" si="43"/>
        <v>130.33333333333334</v>
      </c>
      <c r="X71" s="13">
        <f t="shared" ca="1" si="43"/>
        <v>151.66666666666666</v>
      </c>
      <c r="Y71" s="13">
        <f t="shared" ca="1" si="43"/>
        <v>115.00000000000001</v>
      </c>
      <c r="Z71" s="20">
        <f t="shared" ca="1" si="43"/>
        <v>148.50000000000003</v>
      </c>
      <c r="AA71" s="13">
        <f t="shared" ca="1" si="43"/>
        <v>128</v>
      </c>
      <c r="AB71" s="13">
        <f t="shared" ca="1" si="43"/>
        <v>124.66666666666669</v>
      </c>
      <c r="AC71" s="13">
        <f t="shared" ca="1" si="43"/>
        <v>139.50000000000003</v>
      </c>
      <c r="AD71" s="13">
        <f t="shared" ca="1" si="43"/>
        <v>137.5</v>
      </c>
      <c r="AE71" s="13">
        <f t="shared" ca="1" si="43"/>
        <v>163.33333333333334</v>
      </c>
      <c r="AF71" s="13">
        <f t="shared" ca="1" si="43"/>
        <v>144.00000000000003</v>
      </c>
      <c r="AG71" s="13">
        <f t="shared" ca="1" si="43"/>
        <v>129.16666666666669</v>
      </c>
      <c r="AH71" s="13">
        <f t="shared" ca="1" si="43"/>
        <v>122.66666666666669</v>
      </c>
      <c r="AI71" s="13">
        <f t="shared" ca="1" si="43"/>
        <v>137.5</v>
      </c>
      <c r="AJ71" s="13">
        <f t="shared" ca="1" si="43"/>
        <v>121.00000000000001</v>
      </c>
      <c r="AK71" s="13">
        <f t="shared" ca="1" si="43"/>
        <v>135</v>
      </c>
      <c r="AL71" s="13">
        <f t="shared" ca="1" si="43"/>
        <v>124.66666666666669</v>
      </c>
    </row>
    <row r="72" spans="1:38" ht="15" customHeight="1" x14ac:dyDescent="0.2">
      <c r="A72" s="50"/>
      <c r="B72" s="5" t="s">
        <v>41</v>
      </c>
      <c r="C72" s="13">
        <v>1.8188079285851624</v>
      </c>
      <c r="D72" s="13">
        <v>4.619442979301982</v>
      </c>
      <c r="E72" s="13">
        <v>7.4281793697045515</v>
      </c>
      <c r="F72" s="13">
        <v>9.6801923154123255</v>
      </c>
      <c r="G72" s="13">
        <v>12.469144451890006</v>
      </c>
      <c r="H72" s="13">
        <v>15.352774964849774</v>
      </c>
      <c r="I72" s="13">
        <v>18.338394200024339</v>
      </c>
      <c r="J72" s="13">
        <v>21.211439140165343</v>
      </c>
      <c r="K72" s="13">
        <v>23.835978383075382</v>
      </c>
      <c r="L72" s="13">
        <v>25.583983767564654</v>
      </c>
      <c r="M72" s="13">
        <v>31.092520974392553</v>
      </c>
      <c r="N72" s="20">
        <v>34.045216062523437</v>
      </c>
      <c r="O72" s="22">
        <v>38.672915277387887</v>
      </c>
      <c r="P72" s="13">
        <v>43.069576777941286</v>
      </c>
      <c r="Q72" s="13">
        <v>46.987411056243857</v>
      </c>
      <c r="R72" s="13">
        <v>53.750182396272884</v>
      </c>
      <c r="S72" s="13">
        <v>57.196185078068218</v>
      </c>
      <c r="T72" s="13">
        <v>57.978265847923396</v>
      </c>
      <c r="U72" s="13">
        <v>61.68814128272156</v>
      </c>
      <c r="V72" s="13">
        <v>65.656108777498716</v>
      </c>
      <c r="W72" s="13">
        <v>68.32936153684004</v>
      </c>
      <c r="X72" s="13">
        <v>72.791373585123651</v>
      </c>
      <c r="Y72" s="13">
        <v>75.595863717994945</v>
      </c>
      <c r="Z72" s="20">
        <v>81.426564387586836</v>
      </c>
      <c r="AA72" s="13">
        <v>84.492018271877484</v>
      </c>
      <c r="AB72" s="13">
        <v>87.193614555147221</v>
      </c>
      <c r="AC72" s="13">
        <v>89.769969305972339</v>
      </c>
      <c r="AD72" s="13">
        <v>94.396475537730183</v>
      </c>
      <c r="AE72" s="13">
        <v>99.289313909824941</v>
      </c>
      <c r="AF72" s="13">
        <v>98.398899504938868</v>
      </c>
      <c r="AG72" s="13">
        <v>101.97909026156353</v>
      </c>
      <c r="AH72" s="13">
        <v>104.45893770739951</v>
      </c>
      <c r="AI72" s="13">
        <v>107.75321720624197</v>
      </c>
      <c r="AJ72" s="13">
        <v>111.24429348143146</v>
      </c>
      <c r="AK72" s="13">
        <v>113.39260274040086</v>
      </c>
      <c r="AL72" s="13">
        <v>113.30409314609469</v>
      </c>
    </row>
    <row r="73" spans="1:38" x14ac:dyDescent="0.2">
      <c r="A73" s="44"/>
      <c r="B73" s="7" t="s">
        <v>76</v>
      </c>
      <c r="C73" s="13">
        <v>30</v>
      </c>
      <c r="D73" s="13">
        <f t="shared" ref="D73:AL73" si="44">((C71*$D3)+(C73-(C72*$D$3)))</f>
        <v>65.211620323798542</v>
      </c>
      <c r="E73" s="13">
        <f t="shared" ca="1" si="44"/>
        <v>96.716065940356941</v>
      </c>
      <c r="F73" s="13">
        <f t="shared" ca="1" si="44"/>
        <v>131.73352244459329</v>
      </c>
      <c r="G73" s="13">
        <f t="shared" ca="1" si="44"/>
        <v>171.13603525893009</v>
      </c>
      <c r="H73" s="13">
        <f t="shared" ca="1" si="44"/>
        <v>212.49405303075142</v>
      </c>
      <c r="I73" s="13">
        <f t="shared" ca="1" si="44"/>
        <v>255.67849972553827</v>
      </c>
      <c r="J73" s="13">
        <f t="shared" ca="1" si="44"/>
        <v>296.47445103218547</v>
      </c>
      <c r="K73" s="13">
        <f t="shared" ca="1" si="44"/>
        <v>335.11418860894207</v>
      </c>
      <c r="L73" s="13">
        <f t="shared" ca="1" si="44"/>
        <v>391.6454059024818</v>
      </c>
      <c r="M73" s="13">
        <f t="shared" ca="1" si="44"/>
        <v>442.11155222176342</v>
      </c>
      <c r="N73" s="20">
        <f t="shared" ca="1" si="44"/>
        <v>499.37086877558272</v>
      </c>
      <c r="O73" s="22">
        <f t="shared" ca="1" si="44"/>
        <v>547.73469592556398</v>
      </c>
      <c r="P73" s="13">
        <f t="shared" ca="1" si="44"/>
        <v>604.40525259254264</v>
      </c>
      <c r="Q73" s="13">
        <f t="shared" ca="1" si="44"/>
        <v>663.78959117018962</v>
      </c>
      <c r="R73" s="13">
        <f t="shared" ca="1" si="44"/>
        <v>717.71966232519458</v>
      </c>
      <c r="S73" s="13">
        <f t="shared" ca="1" si="44"/>
        <v>758.05284974150959</v>
      </c>
      <c r="T73" s="13">
        <f t="shared" ca="1" si="44"/>
        <v>828.77590167905498</v>
      </c>
      <c r="U73" s="13">
        <f t="shared" ca="1" si="44"/>
        <v>882.83328900071638</v>
      </c>
      <c r="V73" s="13">
        <f t="shared" ca="1" si="44"/>
        <v>935.02944264120583</v>
      </c>
      <c r="W73" s="13">
        <f t="shared" ca="1" si="44"/>
        <v>976.07788895254021</v>
      </c>
      <c r="X73" s="13">
        <f t="shared" ca="1" si="44"/>
        <v>1025.681066389735</v>
      </c>
      <c r="Y73" s="13">
        <f t="shared" ca="1" si="44"/>
        <v>1088.7813008549692</v>
      </c>
      <c r="Z73" s="20">
        <f t="shared" ca="1" si="44"/>
        <v>1120.3046098805733</v>
      </c>
      <c r="AA73" s="13">
        <f t="shared" ca="1" si="44"/>
        <v>1173.9633583705038</v>
      </c>
      <c r="AB73" s="13">
        <f t="shared" ca="1" si="44"/>
        <v>1208.7697437530019</v>
      </c>
      <c r="AC73" s="13">
        <f t="shared" ca="1" si="44"/>
        <v>1238.7481854422174</v>
      </c>
      <c r="AD73" s="13">
        <f t="shared" ca="1" si="44"/>
        <v>1278.5322099974396</v>
      </c>
      <c r="AE73" s="13">
        <f t="shared" ca="1" si="44"/>
        <v>1313.0150295672554</v>
      </c>
      <c r="AF73" s="13">
        <f t="shared" ca="1" si="44"/>
        <v>1364.2502451060623</v>
      </c>
      <c r="AG73" s="13">
        <f t="shared" ca="1" si="44"/>
        <v>1400.7311255021111</v>
      </c>
      <c r="AH73" s="13">
        <f t="shared" ca="1" si="44"/>
        <v>1422.4811866261937</v>
      </c>
      <c r="AI73" s="13">
        <f t="shared" ca="1" si="44"/>
        <v>1437.0473697936075</v>
      </c>
      <c r="AJ73" s="13">
        <f t="shared" ca="1" si="44"/>
        <v>1460.8447960286139</v>
      </c>
      <c r="AK73" s="13">
        <f t="shared" ca="1" si="44"/>
        <v>1468.6493612434688</v>
      </c>
      <c r="AL73" s="13">
        <f t="shared" ca="1" si="44"/>
        <v>1485.935279051148</v>
      </c>
    </row>
    <row r="74" spans="1:38" x14ac:dyDescent="0.2">
      <c r="A74" s="44"/>
      <c r="B74" s="7" t="s">
        <v>77</v>
      </c>
      <c r="C74" s="71">
        <v>0</v>
      </c>
      <c r="D74" s="13">
        <f t="shared" ref="D74:AL74" si="45">((C71*$D4)+(C74-(C72*$D$4)))</f>
        <v>8.8029050809496354</v>
      </c>
      <c r="E74" s="13">
        <f t="shared" ca="1" si="45"/>
        <v>16.679016485089239</v>
      </c>
      <c r="F74" s="13">
        <f t="shared" ca="1" si="45"/>
        <v>25.433380611148326</v>
      </c>
      <c r="G74" s="13">
        <f t="shared" ca="1" si="45"/>
        <v>35.28400881473253</v>
      </c>
      <c r="H74" s="13">
        <f t="shared" ca="1" si="45"/>
        <v>45.623513257687868</v>
      </c>
      <c r="I74" s="13">
        <f t="shared" ca="1" si="45"/>
        <v>56.419624931384583</v>
      </c>
      <c r="J74" s="13">
        <f t="shared" ca="1" si="45"/>
        <v>66.618612758046382</v>
      </c>
      <c r="K74" s="13">
        <f t="shared" ca="1" si="45"/>
        <v>76.278547152235532</v>
      </c>
      <c r="L74" s="13">
        <f t="shared" ca="1" si="45"/>
        <v>90.411351475620464</v>
      </c>
      <c r="M74" s="13">
        <f t="shared" ca="1" si="45"/>
        <v>103.02788805544087</v>
      </c>
      <c r="N74" s="20">
        <f t="shared" ca="1" si="45"/>
        <v>117.34271719389571</v>
      </c>
      <c r="O74" s="22">
        <f t="shared" ca="1" si="45"/>
        <v>129.43367398139102</v>
      </c>
      <c r="P74" s="13">
        <f t="shared" ca="1" si="45"/>
        <v>143.60131314813569</v>
      </c>
      <c r="Q74" s="13">
        <f t="shared" ca="1" si="45"/>
        <v>158.44739779254743</v>
      </c>
      <c r="R74" s="13">
        <f t="shared" ca="1" si="45"/>
        <v>171.92991558129864</v>
      </c>
      <c r="S74" s="13">
        <f t="shared" ca="1" si="45"/>
        <v>182.0132124353774</v>
      </c>
      <c r="T74" s="13">
        <f t="shared" ca="1" si="45"/>
        <v>199.69397541976375</v>
      </c>
      <c r="U74" s="13">
        <f t="shared" ca="1" si="45"/>
        <v>213.20832225017909</v>
      </c>
      <c r="V74" s="13">
        <f t="shared" ca="1" si="45"/>
        <v>226.25736066030146</v>
      </c>
      <c r="W74" s="13">
        <f t="shared" ca="1" si="45"/>
        <v>236.51947223813505</v>
      </c>
      <c r="X74" s="13">
        <f t="shared" ca="1" si="45"/>
        <v>248.92026659743371</v>
      </c>
      <c r="Y74" s="13">
        <f t="shared" ca="1" si="45"/>
        <v>264.69532521374231</v>
      </c>
      <c r="Z74" s="20">
        <f t="shared" ca="1" si="45"/>
        <v>272.57615247014331</v>
      </c>
      <c r="AA74" s="13">
        <f t="shared" ca="1" si="45"/>
        <v>285.99083959262595</v>
      </c>
      <c r="AB74" s="13">
        <f t="shared" ca="1" si="45"/>
        <v>294.69243593825047</v>
      </c>
      <c r="AC74" s="13">
        <f t="shared" ca="1" si="45"/>
        <v>302.18704636055435</v>
      </c>
      <c r="AD74" s="13">
        <f t="shared" ca="1" si="45"/>
        <v>312.13305249935991</v>
      </c>
      <c r="AE74" s="13">
        <f t="shared" ca="1" si="45"/>
        <v>320.75375739181385</v>
      </c>
      <c r="AF74" s="13">
        <f t="shared" ca="1" si="45"/>
        <v>333.56256127651557</v>
      </c>
      <c r="AG74" s="13">
        <f t="shared" ca="1" si="45"/>
        <v>342.68278137552778</v>
      </c>
      <c r="AH74" s="13">
        <f t="shared" ca="1" si="45"/>
        <v>348.12029665654842</v>
      </c>
      <c r="AI74" s="13">
        <f t="shared" ca="1" si="45"/>
        <v>351.76184244840186</v>
      </c>
      <c r="AJ74" s="13">
        <f t="shared" ca="1" si="45"/>
        <v>357.71119900715348</v>
      </c>
      <c r="AK74" s="13">
        <f t="shared" ca="1" si="45"/>
        <v>359.66234031086719</v>
      </c>
      <c r="AL74" s="13">
        <f t="shared" ca="1" si="45"/>
        <v>363.98381976278699</v>
      </c>
    </row>
    <row r="75" spans="1:38" s="94" customFormat="1" ht="15.75" x14ac:dyDescent="0.25">
      <c r="A75" s="85"/>
      <c r="B75" s="10" t="s">
        <v>78</v>
      </c>
      <c r="C75" s="15">
        <f t="shared" ref="C75:AL75" si="46">SUM(C73:C74)</f>
        <v>30</v>
      </c>
      <c r="D75" s="15">
        <f t="shared" si="46"/>
        <v>74.014525404748184</v>
      </c>
      <c r="E75" s="15">
        <f t="shared" ca="1" si="46"/>
        <v>113.39508242544618</v>
      </c>
      <c r="F75" s="15">
        <f t="shared" ca="1" si="46"/>
        <v>157.16690305574161</v>
      </c>
      <c r="G75" s="15">
        <f t="shared" ca="1" si="46"/>
        <v>206.42004407366261</v>
      </c>
      <c r="H75" s="15">
        <f t="shared" ca="1" si="46"/>
        <v>258.11756628843926</v>
      </c>
      <c r="I75" s="15">
        <f t="shared" ca="1" si="46"/>
        <v>312.09812465692283</v>
      </c>
      <c r="J75" s="15">
        <f t="shared" ca="1" si="46"/>
        <v>363.09306379023184</v>
      </c>
      <c r="K75" s="15">
        <f t="shared" ca="1" si="46"/>
        <v>411.39273576117762</v>
      </c>
      <c r="L75" s="15">
        <f t="shared" ca="1" si="46"/>
        <v>482.05675737810225</v>
      </c>
      <c r="M75" s="15">
        <f t="shared" ca="1" si="46"/>
        <v>545.13944027720424</v>
      </c>
      <c r="N75" s="45">
        <f t="shared" ca="1" si="46"/>
        <v>616.71358596947846</v>
      </c>
      <c r="O75" s="46">
        <f t="shared" ca="1" si="46"/>
        <v>677.16836990695504</v>
      </c>
      <c r="P75" s="15">
        <f t="shared" ca="1" si="46"/>
        <v>748.0065657406783</v>
      </c>
      <c r="Q75" s="15">
        <f t="shared" ca="1" si="46"/>
        <v>822.23698896273709</v>
      </c>
      <c r="R75" s="15">
        <f t="shared" ca="1" si="46"/>
        <v>889.64957790649328</v>
      </c>
      <c r="S75" s="15">
        <f t="shared" ca="1" si="46"/>
        <v>940.06606217688704</v>
      </c>
      <c r="T75" s="15">
        <f t="shared" ca="1" si="46"/>
        <v>1028.4698770988186</v>
      </c>
      <c r="U75" s="15">
        <f t="shared" ca="1" si="46"/>
        <v>1096.0416112508956</v>
      </c>
      <c r="V75" s="15">
        <f t="shared" ca="1" si="46"/>
        <v>1161.2868033015072</v>
      </c>
      <c r="W75" s="15">
        <f t="shared" ca="1" si="46"/>
        <v>1212.5973611906752</v>
      </c>
      <c r="X75" s="15">
        <f t="shared" ca="1" si="46"/>
        <v>1274.6013329871687</v>
      </c>
      <c r="Y75" s="15">
        <f t="shared" ca="1" si="46"/>
        <v>1353.4766260687115</v>
      </c>
      <c r="Z75" s="45">
        <f t="shared" ca="1" si="46"/>
        <v>1392.8807623507166</v>
      </c>
      <c r="AA75" s="15">
        <f t="shared" ca="1" si="46"/>
        <v>1459.9541979631297</v>
      </c>
      <c r="AB75" s="15">
        <f t="shared" ca="1" si="46"/>
        <v>1503.4621796912525</v>
      </c>
      <c r="AC75" s="15">
        <f t="shared" ca="1" si="46"/>
        <v>1540.9352318027718</v>
      </c>
      <c r="AD75" s="15">
        <f t="shared" ca="1" si="46"/>
        <v>1590.6652624967996</v>
      </c>
      <c r="AE75" s="15">
        <f t="shared" ca="1" si="46"/>
        <v>1633.7687869590693</v>
      </c>
      <c r="AF75" s="15">
        <f t="shared" ca="1" si="46"/>
        <v>1697.8128063825779</v>
      </c>
      <c r="AG75" s="15">
        <f t="shared" ca="1" si="46"/>
        <v>1743.413906877639</v>
      </c>
      <c r="AH75" s="15">
        <f t="shared" ca="1" si="46"/>
        <v>1770.601483282742</v>
      </c>
      <c r="AI75" s="15">
        <f t="shared" ca="1" si="46"/>
        <v>1788.8092122420094</v>
      </c>
      <c r="AJ75" s="15">
        <f t="shared" ca="1" si="46"/>
        <v>1818.5559950357674</v>
      </c>
      <c r="AK75" s="15">
        <f t="shared" ca="1" si="46"/>
        <v>1828.311701554336</v>
      </c>
      <c r="AL75" s="15">
        <f t="shared" ca="1" si="46"/>
        <v>1849.9190988139349</v>
      </c>
    </row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</sheetData>
  <mergeCells count="3">
    <mergeCell ref="C23:N23"/>
    <mergeCell ref="O23:Z23"/>
    <mergeCell ref="AA23:AL23"/>
  </mergeCells>
  <conditionalFormatting sqref="D31:AL3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5:AL7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" footer="0"/>
  <pageSetup paperSize="9" orientation="portrait" r:id="rId1"/>
  <ignoredErrors>
    <ignoredError sqref="C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951"/>
  <sheetViews>
    <sheetView topLeftCell="M1" zoomScale="55" zoomScaleNormal="55" workbookViewId="0">
      <selection activeCell="AI6" sqref="AI6"/>
    </sheetView>
  </sheetViews>
  <sheetFormatPr defaultColWidth="17.7109375" defaultRowHeight="15" customHeight="1" x14ac:dyDescent="0.2"/>
  <cols>
    <col min="1" max="1" width="17.7109375" style="4"/>
    <col min="2" max="2" width="56.7109375" style="4" bestFit="1" customWidth="1"/>
    <col min="3" max="34" width="17.7109375" style="4"/>
    <col min="35" max="35" width="17.7109375" style="4" customWidth="1"/>
    <col min="36" max="16384" width="17.7109375" style="4"/>
  </cols>
  <sheetData>
    <row r="1" spans="1:38" ht="14.25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38" s="98" customFormat="1" ht="21.75" customHeight="1" x14ac:dyDescent="0.2">
      <c r="A2" s="97"/>
      <c r="B2" s="57" t="s">
        <v>30</v>
      </c>
      <c r="C2" s="148" t="s">
        <v>88</v>
      </c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7"/>
      <c r="O2" s="148" t="s">
        <v>89</v>
      </c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7"/>
      <c r="AA2" s="148" t="s">
        <v>90</v>
      </c>
      <c r="AB2" s="146"/>
      <c r="AC2" s="146"/>
      <c r="AD2" s="146"/>
      <c r="AE2" s="146"/>
      <c r="AF2" s="146"/>
      <c r="AG2" s="146"/>
      <c r="AH2" s="146"/>
      <c r="AI2" s="146"/>
      <c r="AJ2" s="146"/>
      <c r="AK2" s="146"/>
      <c r="AL2" s="146"/>
    </row>
    <row r="3" spans="1:38" s="111" customFormat="1" ht="15.75" x14ac:dyDescent="0.25">
      <c r="A3" s="106"/>
      <c r="B3" s="107" t="s">
        <v>57</v>
      </c>
      <c r="C3" s="108" t="s">
        <v>0</v>
      </c>
      <c r="D3" s="109" t="s">
        <v>1</v>
      </c>
      <c r="E3" s="109" t="s">
        <v>2</v>
      </c>
      <c r="F3" s="109" t="s">
        <v>3</v>
      </c>
      <c r="G3" s="109" t="s">
        <v>4</v>
      </c>
      <c r="H3" s="109" t="s">
        <v>5</v>
      </c>
      <c r="I3" s="109" t="s">
        <v>6</v>
      </c>
      <c r="J3" s="109" t="s">
        <v>7</v>
      </c>
      <c r="K3" s="109" t="s">
        <v>8</v>
      </c>
      <c r="L3" s="109" t="s">
        <v>9</v>
      </c>
      <c r="M3" s="109" t="s">
        <v>10</v>
      </c>
      <c r="N3" s="110" t="s">
        <v>11</v>
      </c>
      <c r="O3" s="108" t="s">
        <v>0</v>
      </c>
      <c r="P3" s="109" t="s">
        <v>1</v>
      </c>
      <c r="Q3" s="109" t="s">
        <v>2</v>
      </c>
      <c r="R3" s="109" t="s">
        <v>3</v>
      </c>
      <c r="S3" s="109" t="s">
        <v>4</v>
      </c>
      <c r="T3" s="109" t="s">
        <v>5</v>
      </c>
      <c r="U3" s="109" t="s">
        <v>6</v>
      </c>
      <c r="V3" s="109" t="s">
        <v>7</v>
      </c>
      <c r="W3" s="109" t="s">
        <v>8</v>
      </c>
      <c r="X3" s="109" t="s">
        <v>9</v>
      </c>
      <c r="Y3" s="109" t="s">
        <v>10</v>
      </c>
      <c r="Z3" s="110" t="s">
        <v>11</v>
      </c>
      <c r="AA3" s="112" t="s">
        <v>0</v>
      </c>
      <c r="AB3" s="112" t="s">
        <v>1</v>
      </c>
      <c r="AC3" s="112" t="s">
        <v>2</v>
      </c>
      <c r="AD3" s="112" t="s">
        <v>3</v>
      </c>
      <c r="AE3" s="112" t="s">
        <v>4</v>
      </c>
      <c r="AF3" s="112" t="s">
        <v>5</v>
      </c>
      <c r="AG3" s="112" t="s">
        <v>6</v>
      </c>
      <c r="AH3" s="112" t="s">
        <v>7</v>
      </c>
      <c r="AI3" s="112" t="s">
        <v>8</v>
      </c>
      <c r="AJ3" s="112" t="s">
        <v>9</v>
      </c>
      <c r="AK3" s="112" t="s">
        <v>10</v>
      </c>
      <c r="AL3" s="112" t="s">
        <v>11</v>
      </c>
    </row>
    <row r="4" spans="1:38" s="8" customFormat="1" ht="15.75" x14ac:dyDescent="0.25">
      <c r="A4" s="6"/>
      <c r="B4" s="99"/>
      <c r="C4" s="104"/>
      <c r="D4" s="14"/>
      <c r="E4" s="14"/>
      <c r="F4" s="14"/>
      <c r="G4" s="14"/>
      <c r="H4" s="14"/>
      <c r="I4" s="14"/>
      <c r="J4" s="14"/>
      <c r="K4" s="14"/>
      <c r="L4" s="14"/>
      <c r="M4" s="14"/>
      <c r="N4" s="105"/>
      <c r="O4" s="104"/>
      <c r="P4" s="14"/>
      <c r="Q4" s="14"/>
      <c r="R4" s="14"/>
      <c r="S4" s="14"/>
      <c r="T4" s="14"/>
      <c r="U4" s="14"/>
      <c r="V4" s="14"/>
      <c r="W4" s="14"/>
      <c r="X4" s="14"/>
      <c r="Y4" s="14"/>
      <c r="Z4" s="105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</row>
    <row r="5" spans="1:38" s="8" customFormat="1" ht="15.75" x14ac:dyDescent="0.25">
      <c r="A5" s="6"/>
      <c r="B5" s="103" t="s">
        <v>31</v>
      </c>
      <c r="C5" s="113">
        <v>0</v>
      </c>
      <c r="D5" s="83">
        <f>C28</f>
        <v>72102065</v>
      </c>
      <c r="E5" s="83">
        <f>D28</f>
        <v>64367138.79655607</v>
      </c>
      <c r="F5" s="83">
        <f t="shared" ref="F5:AL5" ca="1" si="0">E28</f>
        <v>56707531.111589327</v>
      </c>
      <c r="G5" s="83">
        <f t="shared" ca="1" si="0"/>
        <v>49209481.940798908</v>
      </c>
      <c r="H5" s="83">
        <f t="shared" ca="1" si="0"/>
        <v>41745744.914161079</v>
      </c>
      <c r="I5" s="83">
        <f t="shared" ca="1" si="0"/>
        <v>34490926.431517646</v>
      </c>
      <c r="J5" s="83">
        <f t="shared" ca="1" si="0"/>
        <v>29398668.775405087</v>
      </c>
      <c r="K5" s="83">
        <f t="shared" ca="1" si="0"/>
        <v>24511131.378083616</v>
      </c>
      <c r="L5" s="83">
        <f t="shared" ca="1" si="0"/>
        <v>19652208.670624532</v>
      </c>
      <c r="M5" s="83">
        <f t="shared" ca="1" si="0"/>
        <v>15115538.824337382</v>
      </c>
      <c r="N5" s="84">
        <f t="shared" ca="1" si="0"/>
        <v>10795819.549713816</v>
      </c>
      <c r="O5" s="83">
        <f t="shared" ca="1" si="0"/>
        <v>6643791.5826744344</v>
      </c>
      <c r="P5" s="83">
        <f t="shared" ca="1" si="0"/>
        <v>2850411.5996194202</v>
      </c>
      <c r="Q5" s="83">
        <f t="shared" ca="1" si="0"/>
        <v>-669378.41246674862</v>
      </c>
      <c r="R5" s="83">
        <f t="shared" ca="1" si="0"/>
        <v>-3994815.1385741793</v>
      </c>
      <c r="S5" s="83">
        <f t="shared" ca="1" si="0"/>
        <v>-7007629.5196452206</v>
      </c>
      <c r="T5" s="83">
        <f t="shared" ca="1" si="0"/>
        <v>-9871852.1629698221</v>
      </c>
      <c r="U5" s="83">
        <f t="shared" ca="1" si="0"/>
        <v>-12454968.315729517</v>
      </c>
      <c r="V5" s="83">
        <f t="shared" ca="1" si="0"/>
        <v>-14724488.019504473</v>
      </c>
      <c r="W5" s="83">
        <f t="shared" ca="1" si="0"/>
        <v>-16754651.68951644</v>
      </c>
      <c r="X5" s="83">
        <f t="shared" ca="1" si="0"/>
        <v>-18730751.131272495</v>
      </c>
      <c r="Y5" s="83">
        <f t="shared" ca="1" si="0"/>
        <v>-20327333.562257983</v>
      </c>
      <c r="Z5" s="84">
        <f t="shared" ca="1" si="0"/>
        <v>-21501132.155585311</v>
      </c>
      <c r="AA5" s="83">
        <f t="shared" ca="1" si="0"/>
        <v>-22433743.941350929</v>
      </c>
      <c r="AB5" s="83">
        <f t="shared" ca="1" si="0"/>
        <v>-22898295.595794149</v>
      </c>
      <c r="AC5" s="83">
        <f t="shared" ca="1" si="0"/>
        <v>-23150027.818578281</v>
      </c>
      <c r="AD5" s="83">
        <f t="shared" ca="1" si="0"/>
        <v>-23166783.000977475</v>
      </c>
      <c r="AE5" s="83">
        <f t="shared" ca="1" si="0"/>
        <v>-22871703.017242912</v>
      </c>
      <c r="AF5" s="83">
        <f t="shared" ca="1" si="0"/>
        <v>-22466339.775604457</v>
      </c>
      <c r="AG5" s="83">
        <f t="shared" ca="1" si="0"/>
        <v>-21659384.635507718</v>
      </c>
      <c r="AH5" s="83">
        <f t="shared" ca="1" si="0"/>
        <v>-20626485.035890117</v>
      </c>
      <c r="AI5" s="83">
        <f t="shared" ca="1" si="0"/>
        <v>-19423104.093575947</v>
      </c>
      <c r="AJ5" s="83">
        <f t="shared" ca="1" si="0"/>
        <v>-18105550.485255085</v>
      </c>
      <c r="AK5" s="83">
        <f t="shared" ca="1" si="0"/>
        <v>-16761467.875745606</v>
      </c>
      <c r="AL5" s="83">
        <f t="shared" ca="1" si="0"/>
        <v>-15356211.518291198</v>
      </c>
    </row>
    <row r="6" spans="1:38" s="125" customFormat="1" ht="15.75" x14ac:dyDescent="0.25">
      <c r="A6" s="120"/>
      <c r="B6" s="121" t="s">
        <v>32</v>
      </c>
      <c r="C6" s="122">
        <f t="shared" ref="C6:AL6" si="1">C7-C13-C18</f>
        <v>-7897935</v>
      </c>
      <c r="D6" s="123">
        <f t="shared" si="1"/>
        <v>-7734926.2034439277</v>
      </c>
      <c r="E6" s="123">
        <f t="shared" ca="1" si="1"/>
        <v>-7659607.6849667467</v>
      </c>
      <c r="F6" s="123">
        <f t="shared" ca="1" si="1"/>
        <v>-7498049.1707904162</v>
      </c>
      <c r="G6" s="123">
        <f t="shared" ca="1" si="1"/>
        <v>-7463737.0266378298</v>
      </c>
      <c r="H6" s="123">
        <f t="shared" ca="1" si="1"/>
        <v>-7254818.4826434311</v>
      </c>
      <c r="I6" s="123">
        <f t="shared" ca="1" si="1"/>
        <v>-5092257.6561125573</v>
      </c>
      <c r="J6" s="123">
        <f t="shared" ca="1" si="1"/>
        <v>-4887537.3973214692</v>
      </c>
      <c r="K6" s="123">
        <f t="shared" ca="1" si="1"/>
        <v>-4858922.7074590828</v>
      </c>
      <c r="L6" s="123">
        <f t="shared" ca="1" si="1"/>
        <v>-4536669.8462871499</v>
      </c>
      <c r="M6" s="123">
        <f t="shared" ca="1" si="1"/>
        <v>-4319719.2746235654</v>
      </c>
      <c r="N6" s="124">
        <f t="shared" ca="1" si="1"/>
        <v>-4152027.9670393816</v>
      </c>
      <c r="O6" s="123">
        <f t="shared" ca="1" si="1"/>
        <v>-3793379.9830550142</v>
      </c>
      <c r="P6" s="123">
        <f t="shared" ca="1" si="1"/>
        <v>-3519790.0120861689</v>
      </c>
      <c r="Q6" s="123">
        <f t="shared" ca="1" si="1"/>
        <v>-3325436.7261074306</v>
      </c>
      <c r="R6" s="123">
        <f t="shared" ca="1" si="1"/>
        <v>-3012814.3810710413</v>
      </c>
      <c r="S6" s="123">
        <f t="shared" ca="1" si="1"/>
        <v>-2864222.6433246015</v>
      </c>
      <c r="T6" s="123">
        <f t="shared" ca="1" si="1"/>
        <v>-2583116.1527596954</v>
      </c>
      <c r="U6" s="123">
        <f t="shared" ca="1" si="1"/>
        <v>-2269519.7037749561</v>
      </c>
      <c r="V6" s="123">
        <f t="shared" ca="1" si="1"/>
        <v>-2030163.6700119684</v>
      </c>
      <c r="W6" s="123">
        <f t="shared" ca="1" si="1"/>
        <v>-1976099.4417560548</v>
      </c>
      <c r="X6" s="123">
        <f t="shared" ca="1" si="1"/>
        <v>-1596582.430985488</v>
      </c>
      <c r="Y6" s="123">
        <f t="shared" ca="1" si="1"/>
        <v>-1173798.5933273267</v>
      </c>
      <c r="Z6" s="124">
        <f t="shared" ca="1" si="1"/>
        <v>-932611.78576561622</v>
      </c>
      <c r="AA6" s="123">
        <f t="shared" ca="1" si="1"/>
        <v>-464551.65444321744</v>
      </c>
      <c r="AB6" s="123">
        <f t="shared" ca="1" si="1"/>
        <v>-251732.22278413083</v>
      </c>
      <c r="AC6" s="123">
        <f t="shared" ca="1" si="1"/>
        <v>-16755.182399194688</v>
      </c>
      <c r="AD6" s="123">
        <f t="shared" ca="1" si="1"/>
        <v>295079.98373456206</v>
      </c>
      <c r="AE6" s="123">
        <f t="shared" ca="1" si="1"/>
        <v>405363.24163845368</v>
      </c>
      <c r="AF6" s="123">
        <f t="shared" ca="1" si="1"/>
        <v>806955.1400967408</v>
      </c>
      <c r="AG6" s="123">
        <f t="shared" ca="1" si="1"/>
        <v>1032899.5996175995</v>
      </c>
      <c r="AH6" s="123">
        <f t="shared" ca="1" si="1"/>
        <v>1203380.9423141722</v>
      </c>
      <c r="AI6" s="123">
        <f t="shared" ca="1" si="1"/>
        <v>1317553.6083208602</v>
      </c>
      <c r="AJ6" s="123">
        <f t="shared" ca="1" si="1"/>
        <v>1344082.6095094802</v>
      </c>
      <c r="AK6" s="123">
        <f t="shared" ca="1" si="1"/>
        <v>1405256.357454408</v>
      </c>
      <c r="AL6" s="123">
        <f t="shared" ca="1" si="1"/>
        <v>1540746.8492182586</v>
      </c>
    </row>
    <row r="7" spans="1:38" s="101" customFormat="1" ht="15.75" x14ac:dyDescent="0.25">
      <c r="A7" s="100"/>
      <c r="B7" s="102" t="s">
        <v>51</v>
      </c>
      <c r="C7" s="78">
        <f>'ОПИУ (расчеты)'!C26</f>
        <v>152700</v>
      </c>
      <c r="D7" s="78">
        <f>'ОПИУ (расчеты)'!D26</f>
        <v>429551.36479586596</v>
      </c>
      <c r="E7" s="78">
        <f ca="1">'ОПИУ (расчеты)'!E26</f>
        <v>677255.06845605641</v>
      </c>
      <c r="F7" s="78">
        <f ca="1">'ОПИУ (расчеты)'!F26</f>
        <v>952579.82022061478</v>
      </c>
      <c r="G7" s="78">
        <f ca="1">'ОПИУ (расчеты)'!G26</f>
        <v>1262382.0772233377</v>
      </c>
      <c r="H7" s="78">
        <f ca="1">'ОПИУ (расчеты)'!H26</f>
        <v>1587559.4919542831</v>
      </c>
      <c r="I7" s="78">
        <f ca="1">'ОПИУ (расчеты)'!I26</f>
        <v>1927097.2040920448</v>
      </c>
      <c r="J7" s="78">
        <f ca="1">'ОПИУ (расчеты)'!J26</f>
        <v>2247855.3712405586</v>
      </c>
      <c r="K7" s="78">
        <f ca="1">'ОПИУ (расчеты)'!K26</f>
        <v>2551660.3079378074</v>
      </c>
      <c r="L7" s="78">
        <f ca="1">'ОПИУ (расчеты)'!L26</f>
        <v>2996137.0039082635</v>
      </c>
      <c r="M7" s="78">
        <f ca="1">'ОПИУ (расчеты)'!M26</f>
        <v>3392927.0793436151</v>
      </c>
      <c r="N7" s="79">
        <f ca="1">'ОПИУ (расчеты)'!N26</f>
        <v>3843128.4557480193</v>
      </c>
      <c r="O7" s="78">
        <f ca="1">'ОПИУ (расчеты)'!O26</f>
        <v>4325915.8073105114</v>
      </c>
      <c r="P7" s="78">
        <f ca="1">'ОПИУ (расчеты)'!P26</f>
        <v>4782326.3030671906</v>
      </c>
      <c r="Q7" s="78">
        <f ca="1">'ОПИУ (расчеты)'!Q26</f>
        <v>5260592.919886915</v>
      </c>
      <c r="R7" s="78">
        <f ca="1">'ОПИУ (расчеты)'!R26</f>
        <v>5694932.2304515354</v>
      </c>
      <c r="S7" s="78">
        <f ca="1">'ОПИУ (расчеты)'!S26</f>
        <v>6019765.6386056831</v>
      </c>
      <c r="T7" s="78">
        <f ca="1">'ОПИУ (расчеты)'!T26</f>
        <v>6589351.4181476887</v>
      </c>
      <c r="U7" s="78">
        <f ca="1">'ОПИУ (расчеты)'!U26</f>
        <v>7024716.10128952</v>
      </c>
      <c r="V7" s="78">
        <f ca="1">'ОПИУ (расчеты)'!V26</f>
        <v>7445090.8736716118</v>
      </c>
      <c r="W7" s="78">
        <f ca="1">'ОПИУ (расчеты)'!W26</f>
        <v>7775684.798151521</v>
      </c>
      <c r="X7" s="78">
        <f ca="1">'ОПИУ (расчеты)'!X26</f>
        <v>8175176.3884363277</v>
      </c>
      <c r="Y7" s="78">
        <f ca="1">'ОПИУ (расчеты)'!Y26</f>
        <v>8683369.9017607085</v>
      </c>
      <c r="Z7" s="79">
        <f ca="1">'ОПИУ (расчеты)'!Z26</f>
        <v>8937250.7518256679</v>
      </c>
      <c r="AA7" s="78">
        <f ca="1">'ОПИУ (расчеты)'!AA26</f>
        <v>9598366.6795334555</v>
      </c>
      <c r="AB7" s="78">
        <f ca="1">'ОПИУ (расчеты)'!AB26</f>
        <v>9885545.0286482833</v>
      </c>
      <c r="AC7" s="78">
        <f ca="1">'ОПИУ (расчеты)'!AC26</f>
        <v>10132889.281685058</v>
      </c>
      <c r="AD7" s="78">
        <f ca="1">'ОПИУ (расчеты)'!AD26</f>
        <v>10461136.82498375</v>
      </c>
      <c r="AE7" s="78">
        <f ca="1">'ОПИУ (расчеты)'!AE26</f>
        <v>10745645.517514162</v>
      </c>
      <c r="AF7" s="78">
        <f ca="1">'ОПИУ (расчеты)'!AF26</f>
        <v>11168373.83168078</v>
      </c>
      <c r="AG7" s="78">
        <f ca="1">'ОПИУ (расчеты)'!AG26</f>
        <v>11469367.999597473</v>
      </c>
      <c r="AH7" s="78">
        <f ca="1">'ОПИУ (расчеты)'!AH26</f>
        <v>11648822.044541234</v>
      </c>
      <c r="AI7" s="78">
        <f ca="1">'ОПИУ (расчеты)'!AI26</f>
        <v>11769003.798232485</v>
      </c>
      <c r="AJ7" s="78">
        <f ca="1">'ОПИУ (расчеты)'!AJ26</f>
        <v>11965350.115273137</v>
      </c>
      <c r="AK7" s="78">
        <f ca="1">'ОПИУ (расчеты)'!AK26</f>
        <v>12029743.534162534</v>
      </c>
      <c r="AL7" s="78">
        <f ca="1">'ОПИУ (расчеты)'!AL26</f>
        <v>12172365.104440272</v>
      </c>
    </row>
    <row r="8" spans="1:38" x14ac:dyDescent="0.2">
      <c r="A8" s="3"/>
      <c r="B8" s="39" t="s">
        <v>34</v>
      </c>
      <c r="C8" s="72">
        <f>'ОПИУ (расчеты)'!C27</f>
        <v>117000</v>
      </c>
      <c r="D8" s="72">
        <f>'ОПИУ (расчеты)'!D27</f>
        <v>254325.3192628143</v>
      </c>
      <c r="E8" s="72">
        <f ca="1">'ОПИУ (расчеты)'!E27</f>
        <v>377192.65716739208</v>
      </c>
      <c r="F8" s="72">
        <f ca="1">'ОПИУ (расчеты)'!F27</f>
        <v>513760.73753391381</v>
      </c>
      <c r="G8" s="72">
        <f ca="1">'ОПИУ (расчеты)'!G27</f>
        <v>667430.53750982741</v>
      </c>
      <c r="H8" s="72">
        <f ca="1">'ОПИУ (расчеты)'!H27</f>
        <v>828726.80681993056</v>
      </c>
      <c r="I8" s="72">
        <f ca="1">'ОПИУ (расчеты)'!I27</f>
        <v>997146.14892959932</v>
      </c>
      <c r="J8" s="72">
        <f ca="1">'ОПИУ (расчеты)'!J27</f>
        <v>1156250.3590255233</v>
      </c>
      <c r="K8" s="72">
        <f ca="1">'ОПИУ (расчеты)'!K27</f>
        <v>1306945.3355748742</v>
      </c>
      <c r="L8" s="72">
        <f ca="1">'ОПИУ (расчеты)'!L27</f>
        <v>1527417.0830196789</v>
      </c>
      <c r="M8" s="72">
        <f ca="1">'ОПИУ (расчеты)'!M27</f>
        <v>1724235.0536648773</v>
      </c>
      <c r="N8" s="73">
        <f ca="1">'ОПИУ (расчеты)'!N27</f>
        <v>1947546.3882247726</v>
      </c>
      <c r="O8" s="72">
        <f ca="1">'ОПИУ (расчеты)'!O27</f>
        <v>2200250.2735329904</v>
      </c>
      <c r="P8" s="72">
        <f ca="1">'ОПИУ (расчеты)'!P27</f>
        <v>2427895.8996642437</v>
      </c>
      <c r="Q8" s="72">
        <f ca="1">'ОПИУ (расчеты)'!Q27</f>
        <v>2666442.7877306519</v>
      </c>
      <c r="R8" s="72">
        <f ca="1">'ОПИУ (расчеты)'!R27</f>
        <v>2883079.8835603064</v>
      </c>
      <c r="S8" s="72">
        <f ca="1">'ОПИУ (расчеты)'!S27</f>
        <v>3045098.2974116439</v>
      </c>
      <c r="T8" s="72">
        <f ca="1">'ОПИУ (расчеты)'!T27</f>
        <v>3329192.7970447638</v>
      </c>
      <c r="U8" s="72">
        <f ca="1">'ОПИУ (расчеты)'!U27</f>
        <v>3546341.3219158775</v>
      </c>
      <c r="V8" s="72">
        <f ca="1">'ОПИУ (расчеты)'!V27</f>
        <v>3756013.2710897238</v>
      </c>
      <c r="W8" s="72">
        <f ca="1">'ОПИУ (расчеты)'!W27</f>
        <v>3920904.8799223541</v>
      </c>
      <c r="X8" s="72">
        <f ca="1">'ОПИУ (расчеты)'!X27</f>
        <v>4120160.8436875655</v>
      </c>
      <c r="Y8" s="72">
        <f ca="1">'ОПИУ (расчеты)'!Y27</f>
        <v>4373634.4855344119</v>
      </c>
      <c r="Z8" s="73">
        <f ca="1">'ОПИУ (расчеты)'!Z27</f>
        <v>4500263.617890263</v>
      </c>
      <c r="AA8" s="72">
        <f ca="1">'ОПИУ (расчеты)'!AA27</f>
        <v>4857285.1348915435</v>
      </c>
      <c r="AB8" s="72">
        <f ca="1">'ОПИУ (расчеты)'!AB27</f>
        <v>5001296.9024754828</v>
      </c>
      <c r="AC8" s="72">
        <f ca="1">'ОПИУ (расчеты)'!AC27</f>
        <v>5125333.0047490289</v>
      </c>
      <c r="AD8" s="72">
        <f ca="1">'ОПИУ (расчеты)'!AD27</f>
        <v>5289939.8041865071</v>
      </c>
      <c r="AE8" s="72">
        <f ca="1">'ОПИУ (расчеты)'!AE27</f>
        <v>5432612.8149848152</v>
      </c>
      <c r="AF8" s="72">
        <f ca="1">'ОПИУ (расчеты)'!AF27</f>
        <v>5644599.0316287838</v>
      </c>
      <c r="AG8" s="72">
        <f ca="1">'ОПИУ (расчеты)'!AG27</f>
        <v>5795539.0390762398</v>
      </c>
      <c r="AH8" s="72">
        <f ca="1">'ОПИУ (расчеты)'!AH27</f>
        <v>5885530.1344777429</v>
      </c>
      <c r="AI8" s="72">
        <f ca="1">'ОПИУ (расчеты)'!AI27</f>
        <v>5945797.8629947491</v>
      </c>
      <c r="AJ8" s="72">
        <f ca="1">'ОПИУ (расчеты)'!AJ27</f>
        <v>6044259.9520163508</v>
      </c>
      <c r="AK8" s="72">
        <f ca="1">'ОПИУ (расчеты)'!AK27</f>
        <v>6076551.418638465</v>
      </c>
      <c r="AL8" s="72">
        <f ca="1">'ОПИУ (расчеты)'!AL27</f>
        <v>6148072.0764269158</v>
      </c>
    </row>
    <row r="9" spans="1:38" x14ac:dyDescent="0.2">
      <c r="A9" s="3"/>
      <c r="B9" s="39" t="s">
        <v>60</v>
      </c>
      <c r="C9" s="72">
        <f>'ОПИУ (расчеты)'!C28</f>
        <v>0</v>
      </c>
      <c r="D9" s="72">
        <f>'ОПИУ (расчеты)'!D28</f>
        <v>87148.760301401388</v>
      </c>
      <c r="E9" s="72">
        <f ca="1">'ОПИУ (расчеты)'!E28</f>
        <v>165122.26320238347</v>
      </c>
      <c r="F9" s="72">
        <f ca="1">'ОПИУ (расчеты)'!F28</f>
        <v>251790.46805036842</v>
      </c>
      <c r="G9" s="72">
        <f ca="1">'ОПИУ (расчеты)'!G28</f>
        <v>349311.68726585206</v>
      </c>
      <c r="H9" s="72">
        <f ca="1">'ОПИУ (расчеты)'!H28</f>
        <v>451672.7812511099</v>
      </c>
      <c r="I9" s="72">
        <f ca="1">'ОПИУ (расчеты)'!I28</f>
        <v>558554.28682070738</v>
      </c>
      <c r="J9" s="72">
        <f ca="1">'ОПИУ (расчеты)'!J28</f>
        <v>659524.26630465919</v>
      </c>
      <c r="K9" s="72">
        <f ca="1">'ОПИУ (расчеты)'!K28</f>
        <v>755157.6168071318</v>
      </c>
      <c r="L9" s="72">
        <f ca="1">'ОПИУ (расчеты)'!L28</f>
        <v>895072.37960864254</v>
      </c>
      <c r="M9" s="72">
        <f ca="1">'ОПИУ (расчеты)'!M28</f>
        <v>1019976.0917488646</v>
      </c>
      <c r="N9" s="73">
        <f ca="1">'ОПИУ (расчеты)'!N28</f>
        <v>1161692.9002195676</v>
      </c>
      <c r="O9" s="72">
        <f ca="1">'ОПИУ (расчеты)'!O28</f>
        <v>1319835.1735882442</v>
      </c>
      <c r="P9" s="72">
        <f ca="1">'ОПИУ (расчеты)'!P28</f>
        <v>1464302.5901715397</v>
      </c>
      <c r="Q9" s="72">
        <f ca="1">'ОПИУ (расчеты)'!Q28</f>
        <v>1615688.1152906062</v>
      </c>
      <c r="R9" s="72">
        <f ca="1">'ОПИУ (расчеты)'!R28</f>
        <v>1753169.3491825024</v>
      </c>
      <c r="S9" s="72">
        <f ca="1">'ОПИУ (расчеты)'!S28</f>
        <v>1855988.7272035433</v>
      </c>
      <c r="T9" s="72">
        <f ca="1">'ОПИУ (расчеты)'!T28</f>
        <v>2036279.4673553309</v>
      </c>
      <c r="U9" s="72">
        <f ca="1">'ОПИУ (расчеты)'!U28</f>
        <v>2174085.2619850761</v>
      </c>
      <c r="V9" s="72">
        <f ca="1">'ОПИУ (расчеты)'!V28</f>
        <v>2307146.306653094</v>
      </c>
      <c r="W9" s="72">
        <f ca="1">'ОПИУ (расчеты)'!W28</f>
        <v>2411789.0584122632</v>
      </c>
      <c r="X9" s="72">
        <f ca="1">'ОПИУ (расчеты)'!X28</f>
        <v>2538239.9584940313</v>
      </c>
      <c r="Y9" s="72">
        <f ca="1">'ОПИУ (расчеты)'!Y28</f>
        <v>2699098.2312045302</v>
      </c>
      <c r="Z9" s="73">
        <f ca="1">'ОПИУ (расчеты)'!Z28</f>
        <v>2779459.0267380513</v>
      </c>
      <c r="AA9" s="72">
        <f ca="1">'ОПИУ (расчеты)'!AA28</f>
        <v>3003736.0490657869</v>
      </c>
      <c r="AB9" s="72">
        <f ca="1">'ОПИУ (расчеты)'!AB28</f>
        <v>3095128.13234021</v>
      </c>
      <c r="AC9" s="72">
        <f ca="1">'ОПИУ (расчеты)'!AC28</f>
        <v>3173843.3510907297</v>
      </c>
      <c r="AD9" s="72">
        <f ca="1">'ОПИУ (расчеты)'!AD28</f>
        <v>3278305.3584260521</v>
      </c>
      <c r="AE9" s="72">
        <f ca="1">'ОПИУ (расчеты)'!AE28</f>
        <v>3368847.8460480557</v>
      </c>
      <c r="AF9" s="72">
        <f ca="1">'ОПИУ (расчеты)'!AF28</f>
        <v>3503377.5604567281</v>
      </c>
      <c r="AG9" s="72">
        <f ca="1">'ОПИУ (расчеты)'!AG28</f>
        <v>3599166.4113368443</v>
      </c>
      <c r="AH9" s="72">
        <f ca="1">'ОПИУ (расчеты)'!AH28</f>
        <v>3656276.1449570288</v>
      </c>
      <c r="AI9" s="72">
        <f ca="1">'ОПИУ (расчеты)'!AI28</f>
        <v>3694522.9726697444</v>
      </c>
      <c r="AJ9" s="72">
        <f ca="1">'ОПИУ (расчеты)'!AJ28</f>
        <v>3757008.5291642225</v>
      </c>
      <c r="AK9" s="72">
        <f ca="1">'ОПИУ (расчеты)'!AK28</f>
        <v>3777501.1906744102</v>
      </c>
      <c r="AL9" s="72">
        <f ca="1">'ОПИУ (расчеты)'!AL28</f>
        <v>3822889.3004247732</v>
      </c>
    </row>
    <row r="10" spans="1:38" x14ac:dyDescent="0.2">
      <c r="A10" s="3"/>
      <c r="B10" s="39" t="s">
        <v>61</v>
      </c>
      <c r="C10" s="72">
        <f>'ОПИУ (расчеты)'!C29</f>
        <v>5700</v>
      </c>
      <c r="D10" s="72">
        <v>14635.125693734521</v>
      </c>
      <c r="E10" s="72">
        <v>23530.372561458269</v>
      </c>
      <c r="F10" s="72">
        <v>30513.353339722336</v>
      </c>
      <c r="G10" s="72">
        <v>39351.286620122846</v>
      </c>
      <c r="H10" s="72">
        <v>48578.635148567431</v>
      </c>
      <c r="I10" s="72">
        <v>58096.141504578161</v>
      </c>
      <c r="J10" s="72">
        <v>67321.790570266065</v>
      </c>
      <c r="K10" s="72">
        <v>75470.785449671428</v>
      </c>
      <c r="L10" s="72">
        <v>80984.134294319418</v>
      </c>
      <c r="M10" s="72">
        <v>98360.171124948247</v>
      </c>
      <c r="N10" s="73">
        <v>107675.87927739935</v>
      </c>
      <c r="O10" s="72">
        <v>122493.31126989577</v>
      </c>
      <c r="P10" s="72">
        <v>136544.30090197135</v>
      </c>
      <c r="Q10" s="72">
        <v>148700.90610236072</v>
      </c>
      <c r="R10" s="72">
        <v>170035.39588722991</v>
      </c>
      <c r="S10" s="72">
        <v>181175.34853326899</v>
      </c>
      <c r="T10" s="72">
        <v>183666.308995561</v>
      </c>
      <c r="U10" s="72">
        <v>195383.48129191916</v>
      </c>
      <c r="V10" s="72">
        <v>208093.98769900229</v>
      </c>
      <c r="W10" s="72">
        <v>216500.27723032917</v>
      </c>
      <c r="X10" s="72">
        <v>230476.4637222926</v>
      </c>
      <c r="Y10" s="72">
        <v>239460.5398193844</v>
      </c>
      <c r="Z10" s="73">
        <v>257977.61903410684</v>
      </c>
      <c r="AA10" s="72">
        <v>267476.71687458799</v>
      </c>
      <c r="AB10" s="72">
        <v>276205.7357089073</v>
      </c>
      <c r="AC10" s="72">
        <v>284126.32475657557</v>
      </c>
      <c r="AD10" s="72">
        <v>299028.49288607883</v>
      </c>
      <c r="AE10" s="72">
        <v>314406.81528408855</v>
      </c>
      <c r="AF10" s="72">
        <v>311507.36332745472</v>
      </c>
      <c r="AG10" s="72">
        <v>323035.76688348077</v>
      </c>
      <c r="AH10" s="72">
        <v>330987.29511836352</v>
      </c>
      <c r="AI10" s="72">
        <v>341234.18781082641</v>
      </c>
      <c r="AJ10" s="72">
        <v>352252.80711543333</v>
      </c>
      <c r="AK10" s="72">
        <v>359103.96441540157</v>
      </c>
      <c r="AL10" s="72">
        <v>358718.9968490919</v>
      </c>
    </row>
    <row r="11" spans="1:38" s="98" customFormat="1" x14ac:dyDescent="0.2">
      <c r="A11" s="97"/>
      <c r="B11" s="62" t="s">
        <v>62</v>
      </c>
      <c r="C11" s="126">
        <f>'ОПИУ (расчеты)'!C30</f>
        <v>30000</v>
      </c>
      <c r="D11" s="126">
        <v>77026.977335444841</v>
      </c>
      <c r="E11" s="126">
        <v>123844.06611293828</v>
      </c>
      <c r="F11" s="126">
        <v>160596.59652485439</v>
      </c>
      <c r="G11" s="126">
        <v>207112.03484275183</v>
      </c>
      <c r="H11" s="126">
        <v>255677.0270977233</v>
      </c>
      <c r="I11" s="126">
        <v>305769.16581356927</v>
      </c>
      <c r="J11" s="126">
        <v>354325.21352771617</v>
      </c>
      <c r="K11" s="126">
        <v>397214.66026142857</v>
      </c>
      <c r="L11" s="126">
        <v>426232.2857595759</v>
      </c>
      <c r="M11" s="126">
        <v>517685.11118393816</v>
      </c>
      <c r="N11" s="127">
        <v>566715.15409157553</v>
      </c>
      <c r="O11" s="126">
        <v>644701.63826260937</v>
      </c>
      <c r="P11" s="126">
        <v>718654.21527353348</v>
      </c>
      <c r="Q11" s="126">
        <v>782636.34790716181</v>
      </c>
      <c r="R11" s="126">
        <v>894923.13624857843</v>
      </c>
      <c r="S11" s="126">
        <v>953554.46596457367</v>
      </c>
      <c r="T11" s="126">
        <v>966664.78418716311</v>
      </c>
      <c r="U11" s="126">
        <v>1028334.1120627325</v>
      </c>
      <c r="V11" s="126">
        <v>1095231.5142052753</v>
      </c>
      <c r="W11" s="126">
        <v>1139475.143317522</v>
      </c>
      <c r="X11" s="126">
        <v>1213034.0195910139</v>
      </c>
      <c r="Y11" s="126">
        <v>1260318.630628339</v>
      </c>
      <c r="Z11" s="127">
        <v>1357776.9422847726</v>
      </c>
      <c r="AA11" s="126">
        <v>1407772.1940767791</v>
      </c>
      <c r="AB11" s="126">
        <v>1453714.3984679333</v>
      </c>
      <c r="AC11" s="126">
        <v>1495401.7092451344</v>
      </c>
      <c r="AD11" s="126">
        <v>1573834.1730846255</v>
      </c>
      <c r="AE11" s="126">
        <v>1654772.7120215187</v>
      </c>
      <c r="AF11" s="126">
        <v>1639512.4385655513</v>
      </c>
      <c r="AG11" s="126">
        <v>1700188.2467551618</v>
      </c>
      <c r="AH11" s="126">
        <v>1742038.3953598079</v>
      </c>
      <c r="AI11" s="126">
        <v>1795969.4095306655</v>
      </c>
      <c r="AJ11" s="126">
        <v>1853962.1427128073</v>
      </c>
      <c r="AK11" s="126">
        <v>1890020.8653442189</v>
      </c>
      <c r="AL11" s="126">
        <v>1887994.7202583784</v>
      </c>
    </row>
    <row r="12" spans="1:38" s="125" customFormat="1" ht="15.75" x14ac:dyDescent="0.25">
      <c r="A12" s="120"/>
      <c r="B12" s="128" t="s">
        <v>92</v>
      </c>
      <c r="C12" s="129">
        <f>'ОПИУ (расчеты)'!C32</f>
        <v>8065905</v>
      </c>
      <c r="D12" s="129">
        <f>'ОПИУ (расчеты)'!D32</f>
        <v>8207432.7047193795</v>
      </c>
      <c r="E12" s="129">
        <f ca="1">'ОПИУ (расчеты)'!E32</f>
        <v>8404588.2602684088</v>
      </c>
      <c r="F12" s="129">
        <f ca="1">'ОПИУ (расчеты)'!F32</f>
        <v>8545886.9730330929</v>
      </c>
      <c r="G12" s="129">
        <f ca="1">'ОПИУ (расчеты)'!G32</f>
        <v>8852357.3115835022</v>
      </c>
      <c r="H12" s="129">
        <f ca="1">'ОПИУ (расчеты)'!H32</f>
        <v>9001133.9237931427</v>
      </c>
      <c r="I12" s="129">
        <f ca="1">'ОПИУ (расчеты)'!I32</f>
        <v>7212064.5806138068</v>
      </c>
      <c r="J12" s="129">
        <f ca="1">'ОПИУ (расчеты)'!J32</f>
        <v>7360178.3056860836</v>
      </c>
      <c r="K12" s="129">
        <f ca="1">'ОПИУ (расчеты)'!K32</f>
        <v>7665749.0461906707</v>
      </c>
      <c r="L12" s="129">
        <f ca="1">'ОПИУ (расчеты)'!L32</f>
        <v>7832420.5505862394</v>
      </c>
      <c r="M12" s="129">
        <f ca="1">'ОПИУ (расчеты)'!M32</f>
        <v>8051939.0619015424</v>
      </c>
      <c r="N12" s="130">
        <f ca="1">'ОПИУ (расчеты)'!N32</f>
        <v>8379469.2683622027</v>
      </c>
      <c r="O12" s="129">
        <f ca="1">'ОПИУ (расчеты)'!O32</f>
        <v>8551887.3710965775</v>
      </c>
      <c r="P12" s="129">
        <f ca="1">'ОПИУ (расчеты)'!P32</f>
        <v>8780348.9454600792</v>
      </c>
      <c r="Q12" s="129">
        <f ca="1">'ОПИУ (расчеты)'!Q32</f>
        <v>9112088.9379830379</v>
      </c>
      <c r="R12" s="129">
        <f ca="1">'ОПИУ (расчеты)'!R32</f>
        <v>9277239.8345677312</v>
      </c>
      <c r="S12" s="129">
        <f ca="1">'ОПИУ (расчеты)'!S32</f>
        <v>9485964.8457908537</v>
      </c>
      <c r="T12" s="129">
        <f ca="1">'ОПИУ (расчеты)'!T32</f>
        <v>9831402.7127221525</v>
      </c>
      <c r="U12" s="129">
        <f ca="1">'ОПИУ (расчеты)'!U32</f>
        <v>9996707.4151934292</v>
      </c>
      <c r="V12" s="129">
        <f ca="1">'ОПИУ (расчеты)'!V32</f>
        <v>10219763.631050743</v>
      </c>
      <c r="W12" s="129">
        <f ca="1">'ОПИУ (расчеты)'!W32</f>
        <v>10529352.719722727</v>
      </c>
      <c r="X12" s="129">
        <f ca="1">'ОПИУ (расчеты)'!X32</f>
        <v>10589276.45826545</v>
      </c>
      <c r="Y12" s="129">
        <f ca="1">'ОПИУ (расчеты)'!Y32</f>
        <v>10725505.485264106</v>
      </c>
      <c r="Z12" s="130">
        <f ca="1">'ОПИУ (расчеты)'!Z32</f>
        <v>10763587.612773851</v>
      </c>
      <c r="AA12" s="129">
        <f ca="1">'ОПИУ (расчеты)'!AA32</f>
        <v>11022755.001930019</v>
      </c>
      <c r="AB12" s="129">
        <f ca="1">'ОПИУ (расчеты)'!AB32</f>
        <v>11125831.754297243</v>
      </c>
      <c r="AC12" s="129">
        <f ca="1">'ОПИУ (расчеты)'!AC32</f>
        <v>11162933.392252758</v>
      </c>
      <c r="AD12" s="129">
        <f ca="1">'ОПИУ (расчеты)'!AD32</f>
        <v>11212170.523747561</v>
      </c>
      <c r="AE12" s="129">
        <f ca="1">'ОПИУ (расчеты)'!AE32</f>
        <v>11414846.827627124</v>
      </c>
      <c r="AF12" s="129">
        <f ca="1">'ОПИУ (расчеты)'!AF32</f>
        <v>11478256.074752118</v>
      </c>
      <c r="AG12" s="129">
        <f ca="1">'ОПИУ (расчеты)'!AG32</f>
        <v>11583405.199939622</v>
      </c>
      <c r="AH12" s="129">
        <f ca="1">'ОПИУ (расчеты)'!AH32</f>
        <v>11610323.306681186</v>
      </c>
      <c r="AI12" s="129">
        <f ca="1">'ОПИУ (расчеты)'!AI32</f>
        <v>11628350.569734873</v>
      </c>
      <c r="AJ12" s="129">
        <f ca="1">'ОПИУ (расчеты)'!AJ32</f>
        <v>11817802.51729097</v>
      </c>
      <c r="AK12" s="129">
        <f ca="1">'ОПИУ (расчеты)'!AK32</f>
        <v>11827461.530124379</v>
      </c>
      <c r="AL12" s="129">
        <f ca="1">'ОПИУ (расчеты)'!AL32</f>
        <v>11848854.76566604</v>
      </c>
    </row>
    <row r="13" spans="1:38" s="101" customFormat="1" ht="15.75" x14ac:dyDescent="0.25">
      <c r="A13" s="100"/>
      <c r="B13" s="102" t="s">
        <v>16</v>
      </c>
      <c r="C13" s="78">
        <f>'ОПИУ (расчеты)'!C41</f>
        <v>1767635</v>
      </c>
      <c r="D13" s="78">
        <f>'ОПИУ (расчеты)'!D41</f>
        <v>1781477.5682397932</v>
      </c>
      <c r="E13" s="78">
        <f ca="1">'ОПИУ (расчеты)'!E41</f>
        <v>1853862.7534228028</v>
      </c>
      <c r="F13" s="78">
        <f ca="1">'ОПИУ (расчеты)'!F41</f>
        <v>1867628.9910110307</v>
      </c>
      <c r="G13" s="78">
        <f ca="1">'ОПИУ (расчеты)'!G41</f>
        <v>2043119.1038611671</v>
      </c>
      <c r="H13" s="78">
        <f ca="1">'ОПИУ (расчеты)'!H41</f>
        <v>2059377.9745977139</v>
      </c>
      <c r="I13" s="78">
        <f ca="1">'ОПИУ (расчеты)'!I41</f>
        <v>2136354.8602046026</v>
      </c>
      <c r="J13" s="78">
        <f ca="1">'ОПИУ (расчеты)'!J41</f>
        <v>2152392.7685620277</v>
      </c>
      <c r="K13" s="78">
        <f ca="1">'ОПИУ (расчеты)'!K41</f>
        <v>2327583.0153968902</v>
      </c>
      <c r="L13" s="78">
        <f ca="1">'ОПИУ (расчеты)'!L41</f>
        <v>2349806.850195413</v>
      </c>
      <c r="M13" s="78">
        <f ca="1">'ОПИУ (расчеты)'!M41</f>
        <v>2429646.3539671805</v>
      </c>
      <c r="N13" s="79">
        <f ca="1">'ОПИУ (расчеты)'!N41</f>
        <v>2612156.4227874009</v>
      </c>
      <c r="O13" s="78">
        <f ca="1">'ОПИУ (расчеты)'!O41</f>
        <v>2636295.7903655255</v>
      </c>
      <c r="P13" s="78">
        <f ca="1">'ОПИУ (расчеты)'!P41</f>
        <v>2719116.3151533594</v>
      </c>
      <c r="Q13" s="78">
        <f ca="1">'ОПИУ (расчеты)'!Q41</f>
        <v>2903029.6459943457</v>
      </c>
      <c r="R13" s="78">
        <f ca="1">'ОПИУ (расчеты)'!R41</f>
        <v>2924746.6115225768</v>
      </c>
      <c r="S13" s="78">
        <f ca="1">'ОПИУ (расчеты)'!S41</f>
        <v>3000988.2819302846</v>
      </c>
      <c r="T13" s="78">
        <f ca="1">'ОПИУ (расчеты)'!T41</f>
        <v>3189467.5709073842</v>
      </c>
      <c r="U13" s="78">
        <f ca="1">'ОПИУ (расчеты)'!U41</f>
        <v>3211235.8050644761</v>
      </c>
      <c r="V13" s="78">
        <f ca="1">'ОПИУ (расчеты)'!V41</f>
        <v>3292254.5436835801</v>
      </c>
      <c r="W13" s="78">
        <f ca="1">'ОПИУ (расчеты)'!W41</f>
        <v>3468784.2399075758</v>
      </c>
      <c r="X13" s="78">
        <f ca="1">'ОПИУ (расчеты)'!X41</f>
        <v>3488758.8194218162</v>
      </c>
      <c r="Y13" s="78">
        <f ca="1">'ОПИУ (расчеты)'!Y41</f>
        <v>3574168.4950880352</v>
      </c>
      <c r="Z13" s="79">
        <f ca="1">'ОПИУ (расчеты)'!Z41</f>
        <v>3586862.5375912837</v>
      </c>
      <c r="AA13" s="78">
        <f ca="1">'ОПИУ (расчеты)'!AA41</f>
        <v>3779918.3339766725</v>
      </c>
      <c r="AB13" s="78">
        <f ca="1">'ОПИУ (расчеты)'!AB41</f>
        <v>3854277.2514324142</v>
      </c>
      <c r="AC13" s="78">
        <f ca="1">'ОПИУ (расчеты)'!AC41</f>
        <v>3866644.4640842532</v>
      </c>
      <c r="AD13" s="78">
        <f ca="1">'ОПИУ (расчеты)'!AD41</f>
        <v>3883056.8412491875</v>
      </c>
      <c r="AE13" s="78">
        <f ca="1">'ОПИУ (расчеты)'!AE41</f>
        <v>4057282.2758757081</v>
      </c>
      <c r="AF13" s="78">
        <f ca="1">'ОПИУ (расчеты)'!AF41</f>
        <v>4078418.6915840395</v>
      </c>
      <c r="AG13" s="78">
        <f ca="1">'ОПИУ (расчеты)'!AG41</f>
        <v>4153468.3999798736</v>
      </c>
      <c r="AH13" s="78">
        <f ca="1">'ОПИУ (расчеты)'!AH41</f>
        <v>4162441.102227062</v>
      </c>
      <c r="AI13" s="78">
        <f ca="1">'ОПИУ (расчеты)'!AI41</f>
        <v>4168450.189911624</v>
      </c>
      <c r="AJ13" s="78">
        <f ca="1">'ОПИУ (расчеты)'!AJ41</f>
        <v>4338267.5057636565</v>
      </c>
      <c r="AK13" s="78">
        <f ca="1">'ОПИУ (расчеты)'!AK41</f>
        <v>4341487.1767081264</v>
      </c>
      <c r="AL13" s="78">
        <f ca="1">'ОПИУ (расчеты)'!AL41</f>
        <v>4348618.2552220132</v>
      </c>
    </row>
    <row r="14" spans="1:38" x14ac:dyDescent="0.2">
      <c r="A14" s="3"/>
      <c r="B14" s="5" t="s">
        <v>42</v>
      </c>
      <c r="C14" s="72">
        <f>'ОПИУ (расчеты)'!C42</f>
        <v>60000</v>
      </c>
      <c r="D14" s="72">
        <f>'ОПИУ (расчеты)'!D42</f>
        <v>60000</v>
      </c>
      <c r="E14" s="72">
        <f ca="1">'ОПИУ (расчеты)'!E42</f>
        <v>120000</v>
      </c>
      <c r="F14" s="72">
        <f ca="1">'ОПИУ (расчеты)'!F42</f>
        <v>120000</v>
      </c>
      <c r="G14" s="72">
        <f ca="1">'ОПИУ (расчеты)'!G42</f>
        <v>180000</v>
      </c>
      <c r="H14" s="72">
        <f ca="1">'ОПИУ (расчеты)'!H42</f>
        <v>180000</v>
      </c>
      <c r="I14" s="72">
        <f ca="1">'ОПИУ (расчеты)'!I42</f>
        <v>240000</v>
      </c>
      <c r="J14" s="72">
        <f ca="1">'ОПИУ (расчеты)'!J42</f>
        <v>240000</v>
      </c>
      <c r="K14" s="72">
        <f ca="1">'ОПИУ (расчеты)'!K42</f>
        <v>300000</v>
      </c>
      <c r="L14" s="72">
        <f ca="1">'ОПИУ (расчеты)'!L42</f>
        <v>300000</v>
      </c>
      <c r="M14" s="72">
        <f ca="1">'ОПИУ (расчеты)'!M42</f>
        <v>360000</v>
      </c>
      <c r="N14" s="73">
        <f ca="1">'ОПИУ (расчеты)'!N42</f>
        <v>420000</v>
      </c>
      <c r="O14" s="72">
        <f ca="1">'ОПИУ (расчеты)'!O42</f>
        <v>420000</v>
      </c>
      <c r="P14" s="72">
        <f ca="1">'ОПИУ (расчеты)'!P42</f>
        <v>480000</v>
      </c>
      <c r="Q14" s="72">
        <f ca="1">'ОПИУ (расчеты)'!Q42</f>
        <v>540000</v>
      </c>
      <c r="R14" s="72">
        <f ca="1">'ОПИУ (расчеты)'!R42</f>
        <v>540000</v>
      </c>
      <c r="S14" s="72">
        <f ca="1">'ОПИУ (расчеты)'!S42</f>
        <v>600000</v>
      </c>
      <c r="T14" s="72">
        <f ca="1">'ОПИУ (расчеты)'!T42</f>
        <v>660000</v>
      </c>
      <c r="U14" s="72">
        <f ca="1">'ОПИУ (расчеты)'!U42</f>
        <v>660000</v>
      </c>
      <c r="V14" s="72">
        <f ca="1">'ОПИУ (расчеты)'!V42</f>
        <v>720000</v>
      </c>
      <c r="W14" s="72">
        <f ca="1">'ОПИУ (расчеты)'!W42</f>
        <v>780000</v>
      </c>
      <c r="X14" s="72">
        <f ca="1">'ОПИУ (расчеты)'!X42</f>
        <v>780000</v>
      </c>
      <c r="Y14" s="72">
        <f ca="1">'ОПИУ (расчеты)'!Y42</f>
        <v>840000</v>
      </c>
      <c r="Z14" s="73">
        <f ca="1">'ОПИУ (расчеты)'!Z42</f>
        <v>840000</v>
      </c>
      <c r="AA14" s="72">
        <f ca="1">'ОПИУ (расчеты)'!AA42</f>
        <v>900000</v>
      </c>
      <c r="AB14" s="72">
        <f ca="1">'ОПИУ (расчеты)'!AB42</f>
        <v>960000</v>
      </c>
      <c r="AC14" s="72">
        <f ca="1">'ОПИУ (расчеты)'!AC42</f>
        <v>960000</v>
      </c>
      <c r="AD14" s="72">
        <f ca="1">'ОПИУ (расчеты)'!AD42</f>
        <v>960000</v>
      </c>
      <c r="AE14" s="72">
        <f ca="1">'ОПИУ (расчеты)'!AE42</f>
        <v>1020000</v>
      </c>
      <c r="AF14" s="72">
        <f ca="1">'ОПИУ (расчеты)'!AF42</f>
        <v>1020000</v>
      </c>
      <c r="AG14" s="72">
        <f ca="1">'ОПИУ (расчеты)'!AG42</f>
        <v>1080000</v>
      </c>
      <c r="AH14" s="72">
        <f ca="1">'ОПИУ (расчеты)'!AH42</f>
        <v>1080000</v>
      </c>
      <c r="AI14" s="72">
        <f ca="1">'ОПИУ (расчеты)'!AI42</f>
        <v>1080000</v>
      </c>
      <c r="AJ14" s="72">
        <f ca="1">'ОПИУ (расчеты)'!AJ42</f>
        <v>1140000</v>
      </c>
      <c r="AK14" s="72">
        <f ca="1">'ОПИУ (расчеты)'!AK42</f>
        <v>1140000</v>
      </c>
      <c r="AL14" s="72">
        <f ca="1">'ОПИУ (расчеты)'!AL42</f>
        <v>1140000</v>
      </c>
    </row>
    <row r="15" spans="1:38" x14ac:dyDescent="0.2">
      <c r="A15" s="3"/>
      <c r="B15" s="7" t="s">
        <v>46</v>
      </c>
      <c r="C15" s="72">
        <f>'ОПИУ (расчеты)'!C43</f>
        <v>604581</v>
      </c>
      <c r="D15" s="72">
        <f>'ОПИУ (расчеты)'!D43</f>
        <v>612886.54094387603</v>
      </c>
      <c r="E15" s="72">
        <f ca="1">'ОПИУ (расчеты)'!E43</f>
        <v>620317.65205368167</v>
      </c>
      <c r="F15" s="72">
        <f ca="1">'ОПИУ (расчеты)'!F43</f>
        <v>628577.39460661844</v>
      </c>
      <c r="G15" s="72">
        <f ca="1">'ОПИУ (расчеты)'!G43</f>
        <v>637871.46231670014</v>
      </c>
      <c r="H15" s="72">
        <f ca="1">'ОПИУ (расчеты)'!H43</f>
        <v>647626.78475862846</v>
      </c>
      <c r="I15" s="72">
        <f ca="1">'ОПИУ (расчеты)'!I43</f>
        <v>657812.91612276132</v>
      </c>
      <c r="J15" s="72">
        <f ca="1">'ОПИУ (расчеты)'!J43</f>
        <v>667435.66113721672</v>
      </c>
      <c r="K15" s="72">
        <f ca="1">'ОПИУ (расчеты)'!K43</f>
        <v>676549.80923813418</v>
      </c>
      <c r="L15" s="72">
        <f ca="1">'ОПИУ (расчеты)'!L43</f>
        <v>689884.11011724791</v>
      </c>
      <c r="M15" s="72">
        <f ca="1">'ОПИУ (расчеты)'!M43</f>
        <v>701787.8123803084</v>
      </c>
      <c r="N15" s="73">
        <f ca="1">'ОПИУ (расчеты)'!N43</f>
        <v>715293.85367244063</v>
      </c>
      <c r="O15" s="72">
        <f ca="1">'ОПИУ (расчеты)'!O43</f>
        <v>729777.47421931534</v>
      </c>
      <c r="P15" s="72">
        <f ca="1">'ОПИУ (расчеты)'!P43</f>
        <v>743469.78909201571</v>
      </c>
      <c r="Q15" s="72">
        <f ca="1">'ОПИУ (расчеты)'!Q43</f>
        <v>757817.78759660746</v>
      </c>
      <c r="R15" s="72">
        <f ca="1">'ОПИУ (расчеты)'!R43</f>
        <v>770847.96691354609</v>
      </c>
      <c r="S15" s="72">
        <f ca="1">'ОПИУ (расчеты)'!S43</f>
        <v>780592.96915817051</v>
      </c>
      <c r="T15" s="72">
        <f ca="1">'ОПИУ (расчеты)'!T43</f>
        <v>797680.54254443059</v>
      </c>
      <c r="U15" s="72">
        <f ca="1">'ОПИУ (расчеты)'!U43</f>
        <v>810741.48303868563</v>
      </c>
      <c r="V15" s="72">
        <f ca="1">'ОПИУ (расчеты)'!V43</f>
        <v>823352.72621014831</v>
      </c>
      <c r="W15" s="72">
        <f ca="1">'ОПИУ (расчеты)'!W43</f>
        <v>833270.54394454556</v>
      </c>
      <c r="X15" s="72">
        <f ca="1">'ОПИУ (расчеты)'!X43</f>
        <v>845255.29165308981</v>
      </c>
      <c r="Y15" s="72">
        <f ca="1">'ОПИУ (расчеты)'!Y43</f>
        <v>860501.09705282119</v>
      </c>
      <c r="Z15" s="73">
        <f ca="1">'ОПИУ (расчеты)'!Z43</f>
        <v>868117.52255477011</v>
      </c>
      <c r="AA15" s="72">
        <f ca="1">'ОПИУ (расчеты)'!AA43</f>
        <v>887951.00038600364</v>
      </c>
      <c r="AB15" s="72">
        <f ca="1">'ОПИУ (расчеты)'!AB43</f>
        <v>896566.35085944855</v>
      </c>
      <c r="AC15" s="72">
        <f ca="1">'ОПИУ (расчеты)'!AC43</f>
        <v>903986.67845055182</v>
      </c>
      <c r="AD15" s="72">
        <f ca="1">'ОПИУ (расчеты)'!AD43</f>
        <v>913834.10474951239</v>
      </c>
      <c r="AE15" s="72">
        <f ca="1">'ОПИУ (расчеты)'!AE43</f>
        <v>922369.36552542483</v>
      </c>
      <c r="AF15" s="72">
        <f ca="1">'ОПИУ (расчеты)'!AF43</f>
        <v>935051.21495042345</v>
      </c>
      <c r="AG15" s="72">
        <f ca="1">'ОПИУ (расчеты)'!AG43</f>
        <v>944081.03998792416</v>
      </c>
      <c r="AH15" s="72">
        <f ca="1">'ОПИУ (расчеты)'!AH43</f>
        <v>949464.66133623698</v>
      </c>
      <c r="AI15" s="72">
        <f ca="1">'ОПИУ (расчеты)'!AI43</f>
        <v>953070.11394697451</v>
      </c>
      <c r="AJ15" s="72">
        <f ca="1">'ОПИУ (расчеты)'!AJ43</f>
        <v>958960.50345819409</v>
      </c>
      <c r="AK15" s="72">
        <f ca="1">'ОПИУ (расчеты)'!AK43</f>
        <v>960892.30602487596</v>
      </c>
      <c r="AL15" s="72">
        <f ca="1">'ОПИУ (расчеты)'!AL43</f>
        <v>965170.95313320821</v>
      </c>
    </row>
    <row r="16" spans="1:38" x14ac:dyDescent="0.2">
      <c r="A16" s="3"/>
      <c r="B16" s="7" t="s">
        <v>50</v>
      </c>
      <c r="C16" s="72">
        <f>'ОПИУ (расчеты)'!C44</f>
        <v>1100000</v>
      </c>
      <c r="D16" s="72">
        <f>'ОПИУ (расчеты)'!D44</f>
        <v>1100000</v>
      </c>
      <c r="E16" s="72">
        <f ca="1">'ОПИУ (расчеты)'!E44</f>
        <v>1100000</v>
      </c>
      <c r="F16" s="72">
        <f ca="1">'ОПИУ (расчеты)'!F44</f>
        <v>1100000</v>
      </c>
      <c r="G16" s="72">
        <f ca="1">'ОПИУ (расчеты)'!G44</f>
        <v>1200000</v>
      </c>
      <c r="H16" s="72">
        <f ca="1">'ОПИУ (расчеты)'!H44</f>
        <v>1200000</v>
      </c>
      <c r="I16" s="72">
        <f ca="1">'ОПИУ (расчеты)'!I44</f>
        <v>1200000</v>
      </c>
      <c r="J16" s="72">
        <f ca="1">'ОПИУ (расчеты)'!J44</f>
        <v>1200000</v>
      </c>
      <c r="K16" s="72">
        <f ca="1">'ОПИУ (расчеты)'!K44</f>
        <v>1300000</v>
      </c>
      <c r="L16" s="72">
        <f ca="1">'ОПИУ (расчеты)'!L44</f>
        <v>1300000</v>
      </c>
      <c r="M16" s="72">
        <f ca="1">'ОПИУ (расчеты)'!M44</f>
        <v>1300000</v>
      </c>
      <c r="N16" s="73">
        <f ca="1">'ОПИУ (расчеты)'!N44</f>
        <v>1400000</v>
      </c>
      <c r="O16" s="72">
        <f ca="1">'ОПИУ (расчеты)'!O44</f>
        <v>1400000</v>
      </c>
      <c r="P16" s="72">
        <f ca="1">'ОПИУ (расчеты)'!P44</f>
        <v>1400000</v>
      </c>
      <c r="Q16" s="72">
        <f ca="1">'ОПИУ (расчеты)'!Q44</f>
        <v>1500000</v>
      </c>
      <c r="R16" s="72">
        <f ca="1">'ОПИУ (расчеты)'!R44</f>
        <v>1500000</v>
      </c>
      <c r="S16" s="72">
        <f ca="1">'ОПИУ (расчеты)'!S44</f>
        <v>1500000</v>
      </c>
      <c r="T16" s="72">
        <f ca="1">'ОПИУ (расчеты)'!T44</f>
        <v>1600000</v>
      </c>
      <c r="U16" s="72">
        <f ca="1">'ОПИУ (расчеты)'!U44</f>
        <v>1600000</v>
      </c>
      <c r="V16" s="72">
        <f ca="1">'ОПИУ (расчеты)'!V44</f>
        <v>1600000</v>
      </c>
      <c r="W16" s="72">
        <f ca="1">'ОПИУ (расчеты)'!W44</f>
        <v>1700000</v>
      </c>
      <c r="X16" s="72">
        <f ca="1">'ОПИУ (расчеты)'!X44</f>
        <v>1700000</v>
      </c>
      <c r="Y16" s="72">
        <f ca="1">'ОПИУ (расчеты)'!Y44</f>
        <v>1700000</v>
      </c>
      <c r="Z16" s="73">
        <f ca="1">'ОПИУ (расчеты)'!Z44</f>
        <v>1700000</v>
      </c>
      <c r="AA16" s="72">
        <f ca="1">'ОПИУ (расчеты)'!AA44</f>
        <v>1800000</v>
      </c>
      <c r="AB16" s="72">
        <f ca="1">'ОПИУ (расчеты)'!AB44</f>
        <v>1800000</v>
      </c>
      <c r="AC16" s="72">
        <f ca="1">'ОПИУ (расчеты)'!AC44</f>
        <v>1800000</v>
      </c>
      <c r="AD16" s="72">
        <f ca="1">'ОПИУ (расчеты)'!AD44</f>
        <v>1800000</v>
      </c>
      <c r="AE16" s="72">
        <f ca="1">'ОПИУ (расчеты)'!AE44</f>
        <v>1900000</v>
      </c>
      <c r="AF16" s="72">
        <f ca="1">'ОПИУ (расчеты)'!AF44</f>
        <v>1900000</v>
      </c>
      <c r="AG16" s="72">
        <f ca="1">'ОПИУ (расчеты)'!AG44</f>
        <v>1900000</v>
      </c>
      <c r="AH16" s="72">
        <f ca="1">'ОПИУ (расчеты)'!AH44</f>
        <v>1900000</v>
      </c>
      <c r="AI16" s="72">
        <f ca="1">'ОПИУ (расчеты)'!AI44</f>
        <v>1900000</v>
      </c>
      <c r="AJ16" s="72">
        <f ca="1">'ОПИУ (расчеты)'!AJ44</f>
        <v>2000000</v>
      </c>
      <c r="AK16" s="72">
        <f ca="1">'ОПИУ (расчеты)'!AK44</f>
        <v>2000000</v>
      </c>
      <c r="AL16" s="72">
        <f ca="1">'ОПИУ (расчеты)'!AL44</f>
        <v>2000000</v>
      </c>
    </row>
    <row r="17" spans="1:38" s="98" customFormat="1" x14ac:dyDescent="0.2">
      <c r="A17" s="97"/>
      <c r="B17" s="149" t="s">
        <v>43</v>
      </c>
      <c r="C17" s="126">
        <f>'ОПИУ (расчеты)'!C45</f>
        <v>3054</v>
      </c>
      <c r="D17" s="126">
        <f>'ОПИУ (расчеты)'!D45</f>
        <v>8591.0272959173199</v>
      </c>
      <c r="E17" s="126">
        <f ca="1">'ОПИУ (расчеты)'!E45</f>
        <v>13545.101369121128</v>
      </c>
      <c r="F17" s="126">
        <f ca="1">'ОПИУ (расчеты)'!F45</f>
        <v>19051.596404412296</v>
      </c>
      <c r="G17" s="126">
        <f ca="1">'ОПИУ (расчеты)'!G45</f>
        <v>25247.641544466755</v>
      </c>
      <c r="H17" s="126">
        <f ca="1">'ОПИУ (расчеты)'!H45</f>
        <v>31751.189839085662</v>
      </c>
      <c r="I17" s="126">
        <f ca="1">'ОПИУ (расчеты)'!I45</f>
        <v>38541.944081840898</v>
      </c>
      <c r="J17" s="126">
        <f ca="1">'ОПИУ (расчеты)'!J45</f>
        <v>44957.107424811169</v>
      </c>
      <c r="K17" s="126">
        <f ca="1">'ОПИУ (расчеты)'!K45</f>
        <v>51033.206158756147</v>
      </c>
      <c r="L17" s="126">
        <f ca="1">'ОПИУ (расчеты)'!L45</f>
        <v>59922.740078165269</v>
      </c>
      <c r="M17" s="126">
        <f ca="1">'ОПИУ (расчеты)'!M45</f>
        <v>67858.541586872307</v>
      </c>
      <c r="N17" s="127">
        <f ca="1">'ОПИУ (расчеты)'!N45</f>
        <v>76862.569114960381</v>
      </c>
      <c r="O17" s="126">
        <f ca="1">'ОПИУ (расчеты)'!O45</f>
        <v>86518.316146210229</v>
      </c>
      <c r="P17" s="126">
        <f ca="1">'ОПИУ (расчеты)'!P45</f>
        <v>95646.526061343815</v>
      </c>
      <c r="Q17" s="126">
        <f ca="1">'ОПИУ (расчеты)'!Q45</f>
        <v>105211.85839773831</v>
      </c>
      <c r="R17" s="126">
        <f ca="1">'ОПИУ (расчеты)'!R45</f>
        <v>113898.64460903071</v>
      </c>
      <c r="S17" s="126">
        <f ca="1">'ОПИУ (расчеты)'!S45</f>
        <v>120395.31277211367</v>
      </c>
      <c r="T17" s="126">
        <f ca="1">'ОПИУ (расчеты)'!T45</f>
        <v>131787.02836295377</v>
      </c>
      <c r="U17" s="126">
        <f ca="1">'ОПИУ (расчеты)'!U45</f>
        <v>140494.3220257904</v>
      </c>
      <c r="V17" s="126">
        <f ca="1">'ОПИУ (расчеты)'!V45</f>
        <v>148901.81747343225</v>
      </c>
      <c r="W17" s="126">
        <f ca="1">'ОПИУ (расчеты)'!W45</f>
        <v>155513.69596303042</v>
      </c>
      <c r="X17" s="126">
        <f ca="1">'ОПИУ (расчеты)'!X45</f>
        <v>163503.52776872655</v>
      </c>
      <c r="Y17" s="126">
        <f ca="1">'ОПИУ (расчеты)'!Y45</f>
        <v>173667.39803521417</v>
      </c>
      <c r="Z17" s="127">
        <f ca="1">'ОПИУ (расчеты)'!Z45</f>
        <v>178745.01503651336</v>
      </c>
      <c r="AA17" s="126">
        <f ca="1">'ОПИУ (расчеты)'!AA45</f>
        <v>191967.33359066912</v>
      </c>
      <c r="AB17" s="126">
        <f ca="1">'ОПИУ (расчеты)'!AB45</f>
        <v>197710.90057296568</v>
      </c>
      <c r="AC17" s="126">
        <f ca="1">'ОПИУ (расчеты)'!AC45</f>
        <v>202657.78563370116</v>
      </c>
      <c r="AD17" s="126">
        <f ca="1">'ОПИУ (расчеты)'!AD45</f>
        <v>209222.736499675</v>
      </c>
      <c r="AE17" s="126">
        <f ca="1">'ОПИУ (расчеты)'!AE45</f>
        <v>214912.91035028323</v>
      </c>
      <c r="AF17" s="126">
        <f ca="1">'ОПИУ (расчеты)'!AF45</f>
        <v>223367.47663361562</v>
      </c>
      <c r="AG17" s="126">
        <f ca="1">'ОПИУ (расчеты)'!AG45</f>
        <v>229387.35999194946</v>
      </c>
      <c r="AH17" s="126">
        <f ca="1">'ОПИУ (расчеты)'!AH45</f>
        <v>232976.44089082468</v>
      </c>
      <c r="AI17" s="126">
        <f ca="1">'ОПИУ (расчеты)'!AI45</f>
        <v>235380.0759646497</v>
      </c>
      <c r="AJ17" s="126">
        <f ca="1">'ОПИУ (расчеты)'!AJ45</f>
        <v>239307.00230546272</v>
      </c>
      <c r="AK17" s="126">
        <f ca="1">'ОПИУ (расчеты)'!AK45</f>
        <v>240594.87068325069</v>
      </c>
      <c r="AL17" s="126">
        <f ca="1">'ОПИУ (расчеты)'!AL45</f>
        <v>243447.30208880545</v>
      </c>
    </row>
    <row r="18" spans="1:38" s="101" customFormat="1" ht="15.75" customHeight="1" x14ac:dyDescent="0.25">
      <c r="A18" s="100"/>
      <c r="B18" s="102" t="s">
        <v>21</v>
      </c>
      <c r="C18" s="78">
        <f>'ОПИУ (расчеты)'!C48</f>
        <v>6283000</v>
      </c>
      <c r="D18" s="78">
        <f>'ОПИУ (расчеты)'!D48</f>
        <v>6383000</v>
      </c>
      <c r="E18" s="78">
        <f>'ОПИУ (расчеты)'!E48</f>
        <v>6483000</v>
      </c>
      <c r="F18" s="78">
        <f>'ОПИУ (расчеты)'!F48</f>
        <v>6583000</v>
      </c>
      <c r="G18" s="78">
        <f>'ОПИУ (расчеты)'!G48</f>
        <v>6683000</v>
      </c>
      <c r="H18" s="78">
        <f>'ОПИУ (расчеты)'!H48</f>
        <v>6783000</v>
      </c>
      <c r="I18" s="78">
        <f>'ОПИУ (расчеты)'!I48</f>
        <v>4883000</v>
      </c>
      <c r="J18" s="78">
        <f>'ОПИУ (расчеты)'!J48</f>
        <v>4983000</v>
      </c>
      <c r="K18" s="78">
        <f>'ОПИУ (расчеты)'!K48</f>
        <v>5083000</v>
      </c>
      <c r="L18" s="78">
        <f>'ОПИУ (расчеты)'!L48</f>
        <v>5183000</v>
      </c>
      <c r="M18" s="78">
        <f>'ОПИУ (расчеты)'!M48</f>
        <v>5283000</v>
      </c>
      <c r="N18" s="79">
        <f>'ОПИУ (расчеты)'!N48</f>
        <v>5383000</v>
      </c>
      <c r="O18" s="78">
        <f>'ОПИУ (расчеты)'!O48</f>
        <v>5483000</v>
      </c>
      <c r="P18" s="78">
        <f>'ОПИУ (расчеты)'!P48</f>
        <v>5583000</v>
      </c>
      <c r="Q18" s="78">
        <f>'ОПИУ (расчеты)'!Q48</f>
        <v>5683000</v>
      </c>
      <c r="R18" s="78">
        <f>'ОПИУ (расчеты)'!R48</f>
        <v>5783000</v>
      </c>
      <c r="S18" s="78">
        <f>'ОПИУ (расчеты)'!S48</f>
        <v>5883000</v>
      </c>
      <c r="T18" s="78">
        <f>'ОПИУ (расчеты)'!T48</f>
        <v>5983000</v>
      </c>
      <c r="U18" s="78">
        <f>'ОПИУ (расчеты)'!U48</f>
        <v>6083000</v>
      </c>
      <c r="V18" s="78">
        <f>'ОПИУ (расчеты)'!V48</f>
        <v>6183000</v>
      </c>
      <c r="W18" s="78">
        <f>'ОПИУ (расчеты)'!W48</f>
        <v>6283000</v>
      </c>
      <c r="X18" s="78">
        <f>'ОПИУ (расчеты)'!X48</f>
        <v>6283000</v>
      </c>
      <c r="Y18" s="78">
        <f>'ОПИУ (расчеты)'!Y48</f>
        <v>6283000</v>
      </c>
      <c r="Z18" s="79">
        <f>'ОПИУ (расчеты)'!Z48</f>
        <v>6283000</v>
      </c>
      <c r="AA18" s="78">
        <f>'ОПИУ (расчеты)'!AA48</f>
        <v>6283000</v>
      </c>
      <c r="AB18" s="78">
        <f>'ОПИУ (расчеты)'!AB48</f>
        <v>6283000</v>
      </c>
      <c r="AC18" s="78">
        <f>'ОПИУ (расчеты)'!AC48</f>
        <v>6283000</v>
      </c>
      <c r="AD18" s="78">
        <f>'ОПИУ (расчеты)'!AD48</f>
        <v>6283000</v>
      </c>
      <c r="AE18" s="78">
        <f>'ОПИУ (расчеты)'!AE48</f>
        <v>6283000</v>
      </c>
      <c r="AF18" s="78">
        <f>'ОПИУ (расчеты)'!AF48</f>
        <v>6283000</v>
      </c>
      <c r="AG18" s="78">
        <f>'ОПИУ (расчеты)'!AG48</f>
        <v>6283000</v>
      </c>
      <c r="AH18" s="78">
        <f>'ОПИУ (расчеты)'!AH48</f>
        <v>6283000</v>
      </c>
      <c r="AI18" s="78">
        <f>'ОПИУ (расчеты)'!AI48</f>
        <v>6283000</v>
      </c>
      <c r="AJ18" s="78">
        <f>'ОПИУ (расчеты)'!AJ48</f>
        <v>6283000</v>
      </c>
      <c r="AK18" s="78">
        <f>'ОПИУ (расчеты)'!AK48</f>
        <v>6283000</v>
      </c>
      <c r="AL18" s="78">
        <f>'ОПИУ (расчеты)'!AL48</f>
        <v>6283000</v>
      </c>
    </row>
    <row r="19" spans="1:38" ht="15.75" customHeight="1" x14ac:dyDescent="0.2">
      <c r="A19" s="3"/>
      <c r="B19" s="11" t="s">
        <v>22</v>
      </c>
      <c r="C19" s="75">
        <f>'ОПИУ (расчеты)'!C49</f>
        <v>350000</v>
      </c>
      <c r="D19" s="75">
        <f>'ОПИУ (расчеты)'!D49</f>
        <v>350000</v>
      </c>
      <c r="E19" s="75">
        <f>'ОПИУ (расчеты)'!E49</f>
        <v>350000</v>
      </c>
      <c r="F19" s="75">
        <f>'ОПИУ (расчеты)'!F49</f>
        <v>350000</v>
      </c>
      <c r="G19" s="75">
        <f>'ОПИУ (расчеты)'!G49</f>
        <v>350000</v>
      </c>
      <c r="H19" s="75">
        <f>'ОПИУ (расчеты)'!H49</f>
        <v>350000</v>
      </c>
      <c r="I19" s="75">
        <f>'ОПИУ (расчеты)'!I49</f>
        <v>350000</v>
      </c>
      <c r="J19" s="75">
        <f>'ОПИУ (расчеты)'!J49</f>
        <v>350000</v>
      </c>
      <c r="K19" s="75">
        <f>'ОПИУ (расчеты)'!K49</f>
        <v>350000</v>
      </c>
      <c r="L19" s="75">
        <f>'ОПИУ (расчеты)'!L49</f>
        <v>350000</v>
      </c>
      <c r="M19" s="75">
        <f>'ОПИУ (расчеты)'!M49</f>
        <v>350000</v>
      </c>
      <c r="N19" s="76">
        <f>'ОПИУ (расчеты)'!N49</f>
        <v>350000</v>
      </c>
      <c r="O19" s="75">
        <f>'ОПИУ (расчеты)'!O49</f>
        <v>350000</v>
      </c>
      <c r="P19" s="75">
        <f>'ОПИУ (расчеты)'!P49</f>
        <v>350000</v>
      </c>
      <c r="Q19" s="75">
        <f>'ОПИУ (расчеты)'!Q49</f>
        <v>350000</v>
      </c>
      <c r="R19" s="75">
        <f>'ОПИУ (расчеты)'!R49</f>
        <v>350000</v>
      </c>
      <c r="S19" s="75">
        <f>'ОПИУ (расчеты)'!S49</f>
        <v>350000</v>
      </c>
      <c r="T19" s="75">
        <f>'ОПИУ (расчеты)'!T49</f>
        <v>350000</v>
      </c>
      <c r="U19" s="75">
        <f>'ОПИУ (расчеты)'!U49</f>
        <v>350000</v>
      </c>
      <c r="V19" s="75">
        <f>'ОПИУ (расчеты)'!V49</f>
        <v>350000</v>
      </c>
      <c r="W19" s="75">
        <f>'ОПИУ (расчеты)'!W49</f>
        <v>350000</v>
      </c>
      <c r="X19" s="75">
        <f>'ОПИУ (расчеты)'!X49</f>
        <v>350000</v>
      </c>
      <c r="Y19" s="75">
        <f>'ОПИУ (расчеты)'!Y49</f>
        <v>350000</v>
      </c>
      <c r="Z19" s="76">
        <f>'ОПИУ (расчеты)'!Z49</f>
        <v>350000</v>
      </c>
      <c r="AA19" s="75">
        <f>'ОПИУ (расчеты)'!AA49</f>
        <v>350000</v>
      </c>
      <c r="AB19" s="75">
        <f>'ОПИУ (расчеты)'!AB49</f>
        <v>350000</v>
      </c>
      <c r="AC19" s="75">
        <f>'ОПИУ (расчеты)'!AC49</f>
        <v>350000</v>
      </c>
      <c r="AD19" s="75">
        <f>'ОПИУ (расчеты)'!AD49</f>
        <v>350000</v>
      </c>
      <c r="AE19" s="75">
        <f>'ОПИУ (расчеты)'!AE49</f>
        <v>350000</v>
      </c>
      <c r="AF19" s="75">
        <f>'ОПИУ (расчеты)'!AF49</f>
        <v>350000</v>
      </c>
      <c r="AG19" s="75">
        <f>'ОПИУ (расчеты)'!AG49</f>
        <v>350000</v>
      </c>
      <c r="AH19" s="75">
        <f>'ОПИУ (расчеты)'!AH49</f>
        <v>350000</v>
      </c>
      <c r="AI19" s="75">
        <f>'ОПИУ (расчеты)'!AI49</f>
        <v>350000</v>
      </c>
      <c r="AJ19" s="75">
        <f>'ОПИУ (расчеты)'!AJ49</f>
        <v>350000</v>
      </c>
      <c r="AK19" s="75">
        <f>'ОПИУ (расчеты)'!AK49</f>
        <v>350000</v>
      </c>
      <c r="AL19" s="75">
        <f>'ОПИУ (расчеты)'!AL49</f>
        <v>350000</v>
      </c>
    </row>
    <row r="20" spans="1:38" ht="15.75" customHeight="1" x14ac:dyDescent="0.2">
      <c r="A20" s="3"/>
      <c r="B20" s="11" t="s">
        <v>44</v>
      </c>
      <c r="C20" s="75">
        <f>'ОПИУ (расчеты)'!C50</f>
        <v>3000000</v>
      </c>
      <c r="D20" s="75">
        <f>'ОПИУ (расчеты)'!D50</f>
        <v>3000000</v>
      </c>
      <c r="E20" s="75">
        <f>'ОПИУ (расчеты)'!E50</f>
        <v>3000000</v>
      </c>
      <c r="F20" s="75">
        <f>'ОПИУ (расчеты)'!F50</f>
        <v>3000000</v>
      </c>
      <c r="G20" s="75">
        <f>'ОПИУ (расчеты)'!G50</f>
        <v>3000000</v>
      </c>
      <c r="H20" s="75">
        <f>'ОПИУ (расчеты)'!H50</f>
        <v>3000000</v>
      </c>
      <c r="I20" s="75">
        <f>'ОПИУ (расчеты)'!I50</f>
        <v>1000000</v>
      </c>
      <c r="J20" s="75">
        <f>'ОПИУ (расчеты)'!J50</f>
        <v>1000000</v>
      </c>
      <c r="K20" s="75">
        <f>'ОПИУ (расчеты)'!K50</f>
        <v>1000000</v>
      </c>
      <c r="L20" s="75">
        <f>'ОПИУ (расчеты)'!L50</f>
        <v>1000000</v>
      </c>
      <c r="M20" s="75">
        <f>'ОПИУ (расчеты)'!M50</f>
        <v>1000000</v>
      </c>
      <c r="N20" s="76">
        <f>'ОПИУ (расчеты)'!N50</f>
        <v>1000000</v>
      </c>
      <c r="O20" s="75">
        <f>'ОПИУ (расчеты)'!O50</f>
        <v>1000000</v>
      </c>
      <c r="P20" s="75">
        <f>'ОПИУ (расчеты)'!P50</f>
        <v>1000000</v>
      </c>
      <c r="Q20" s="75">
        <f>'ОПИУ (расчеты)'!Q50</f>
        <v>1000000</v>
      </c>
      <c r="R20" s="75">
        <f>'ОПИУ (расчеты)'!R50</f>
        <v>1000000</v>
      </c>
      <c r="S20" s="75">
        <f>'ОПИУ (расчеты)'!S50</f>
        <v>1000000</v>
      </c>
      <c r="T20" s="75">
        <f>'ОПИУ (расчеты)'!T50</f>
        <v>1000000</v>
      </c>
      <c r="U20" s="75">
        <f>'ОПИУ (расчеты)'!U50</f>
        <v>1000000</v>
      </c>
      <c r="V20" s="75">
        <f>'ОПИУ (расчеты)'!V50</f>
        <v>1000000</v>
      </c>
      <c r="W20" s="75">
        <f>'ОПИУ (расчеты)'!W50</f>
        <v>1000000</v>
      </c>
      <c r="X20" s="75">
        <f>'ОПИУ (расчеты)'!X50</f>
        <v>1000000</v>
      </c>
      <c r="Y20" s="75">
        <f>'ОПИУ (расчеты)'!Y50</f>
        <v>1000000</v>
      </c>
      <c r="Z20" s="76">
        <f>'ОПИУ (расчеты)'!Z50</f>
        <v>1000000</v>
      </c>
      <c r="AA20" s="75">
        <f>'ОПИУ (расчеты)'!AA50</f>
        <v>1000000</v>
      </c>
      <c r="AB20" s="75">
        <f>'ОПИУ (расчеты)'!AB50</f>
        <v>1000000</v>
      </c>
      <c r="AC20" s="75">
        <f>'ОПИУ (расчеты)'!AC50</f>
        <v>1000000</v>
      </c>
      <c r="AD20" s="75">
        <f>'ОПИУ (расчеты)'!AD50</f>
        <v>1000000</v>
      </c>
      <c r="AE20" s="75">
        <f>'ОПИУ (расчеты)'!AE50</f>
        <v>1000000</v>
      </c>
      <c r="AF20" s="75">
        <f>'ОПИУ (расчеты)'!AF50</f>
        <v>1000000</v>
      </c>
      <c r="AG20" s="75">
        <f>'ОПИУ (расчеты)'!AG50</f>
        <v>1000000</v>
      </c>
      <c r="AH20" s="75">
        <f>'ОПИУ (расчеты)'!AH50</f>
        <v>1000000</v>
      </c>
      <c r="AI20" s="75">
        <f>'ОПИУ (расчеты)'!AI50</f>
        <v>1000000</v>
      </c>
      <c r="AJ20" s="75">
        <f>'ОПИУ (расчеты)'!AJ50</f>
        <v>1000000</v>
      </c>
      <c r="AK20" s="75">
        <f>'ОПИУ (расчеты)'!AK50</f>
        <v>1000000</v>
      </c>
      <c r="AL20" s="75">
        <f>'ОПИУ (расчеты)'!AL50</f>
        <v>1000000</v>
      </c>
    </row>
    <row r="21" spans="1:38" ht="15.75" customHeight="1" x14ac:dyDescent="0.2">
      <c r="A21" s="3"/>
      <c r="B21" s="11" t="s">
        <v>45</v>
      </c>
      <c r="C21" s="75">
        <f>'ОПИУ (расчеты)'!C51</f>
        <v>1350000</v>
      </c>
      <c r="D21" s="75">
        <f>'ОПИУ (расчеты)'!D51</f>
        <v>1350000</v>
      </c>
      <c r="E21" s="75">
        <f>'ОПИУ (расчеты)'!E51</f>
        <v>1350000</v>
      </c>
      <c r="F21" s="75">
        <f>'ОПИУ (расчеты)'!F51</f>
        <v>1350000</v>
      </c>
      <c r="G21" s="75">
        <f>'ОПИУ (расчеты)'!G51</f>
        <v>1350000</v>
      </c>
      <c r="H21" s="75">
        <f>'ОПИУ (расчеты)'!H51</f>
        <v>1350000</v>
      </c>
      <c r="I21" s="75">
        <f>'ОПИУ (расчеты)'!I51</f>
        <v>1350000</v>
      </c>
      <c r="J21" s="75">
        <f>'ОПИУ (расчеты)'!J51</f>
        <v>1350000</v>
      </c>
      <c r="K21" s="75">
        <f>'ОПИУ (расчеты)'!K51</f>
        <v>1350000</v>
      </c>
      <c r="L21" s="75">
        <f>'ОПИУ (расчеты)'!L51</f>
        <v>1350000</v>
      </c>
      <c r="M21" s="75">
        <f>'ОПИУ (расчеты)'!M51</f>
        <v>1350000</v>
      </c>
      <c r="N21" s="76">
        <f>'ОПИУ (расчеты)'!N51</f>
        <v>1350000</v>
      </c>
      <c r="O21" s="75">
        <f>'ОПИУ (расчеты)'!O51</f>
        <v>1350000</v>
      </c>
      <c r="P21" s="75">
        <f>'ОПИУ (расчеты)'!P51</f>
        <v>1350000</v>
      </c>
      <c r="Q21" s="75">
        <f>'ОПИУ (расчеты)'!Q51</f>
        <v>1350000</v>
      </c>
      <c r="R21" s="75">
        <f>'ОПИУ (расчеты)'!R51</f>
        <v>1350000</v>
      </c>
      <c r="S21" s="75">
        <f>'ОПИУ (расчеты)'!S51</f>
        <v>1350000</v>
      </c>
      <c r="T21" s="75">
        <f>'ОПИУ (расчеты)'!T51</f>
        <v>1350000</v>
      </c>
      <c r="U21" s="75">
        <f>'ОПИУ (расчеты)'!U51</f>
        <v>1350000</v>
      </c>
      <c r="V21" s="75">
        <f>'ОПИУ (расчеты)'!V51</f>
        <v>1350000</v>
      </c>
      <c r="W21" s="75">
        <f>'ОПИУ (расчеты)'!W51</f>
        <v>1350000</v>
      </c>
      <c r="X21" s="75">
        <f>'ОПИУ (расчеты)'!X51</f>
        <v>1350000</v>
      </c>
      <c r="Y21" s="75">
        <f>'ОПИУ (расчеты)'!Y51</f>
        <v>1350000</v>
      </c>
      <c r="Z21" s="76">
        <f>'ОПИУ (расчеты)'!Z51</f>
        <v>1350000</v>
      </c>
      <c r="AA21" s="75">
        <f>'ОПИУ (расчеты)'!AA51</f>
        <v>1350000</v>
      </c>
      <c r="AB21" s="75">
        <f>'ОПИУ (расчеты)'!AB51</f>
        <v>1350000</v>
      </c>
      <c r="AC21" s="75">
        <f>'ОПИУ (расчеты)'!AC51</f>
        <v>1350000</v>
      </c>
      <c r="AD21" s="75">
        <f>'ОПИУ (расчеты)'!AD51</f>
        <v>1350000</v>
      </c>
      <c r="AE21" s="75">
        <f>'ОПИУ (расчеты)'!AE51</f>
        <v>1350000</v>
      </c>
      <c r="AF21" s="75">
        <f>'ОПИУ (расчеты)'!AF51</f>
        <v>1350000</v>
      </c>
      <c r="AG21" s="75">
        <f>'ОПИУ (расчеты)'!AG51</f>
        <v>1350000</v>
      </c>
      <c r="AH21" s="75">
        <f>'ОПИУ (расчеты)'!AH51</f>
        <v>1350000</v>
      </c>
      <c r="AI21" s="75">
        <f>'ОПИУ (расчеты)'!AI51</f>
        <v>1350000</v>
      </c>
      <c r="AJ21" s="75">
        <f>'ОПИУ (расчеты)'!AJ51</f>
        <v>1350000</v>
      </c>
      <c r="AK21" s="75">
        <f>'ОПИУ (расчеты)'!AK51</f>
        <v>1350000</v>
      </c>
      <c r="AL21" s="75">
        <f>'ОПИУ (расчеты)'!AL51</f>
        <v>1350000</v>
      </c>
    </row>
    <row r="22" spans="1:38" ht="15.75" customHeight="1" x14ac:dyDescent="0.2">
      <c r="A22" s="3"/>
      <c r="B22" s="11" t="s">
        <v>47</v>
      </c>
      <c r="C22" s="75">
        <f>'ОПИУ (расчеты)'!C52</f>
        <v>333000</v>
      </c>
      <c r="D22" s="75">
        <f>'ОПИУ (расчеты)'!D52</f>
        <v>333000</v>
      </c>
      <c r="E22" s="75">
        <f>'ОПИУ (расчеты)'!E52</f>
        <v>333000</v>
      </c>
      <c r="F22" s="75">
        <f>'ОПИУ (расчеты)'!F52</f>
        <v>333000</v>
      </c>
      <c r="G22" s="75">
        <f>'ОПИУ (расчеты)'!G52</f>
        <v>333000</v>
      </c>
      <c r="H22" s="75">
        <f>'ОПИУ (расчеты)'!H52</f>
        <v>333000</v>
      </c>
      <c r="I22" s="75">
        <f>'ОПИУ (расчеты)'!I52</f>
        <v>333000</v>
      </c>
      <c r="J22" s="75">
        <f>'ОПИУ (расчеты)'!J52</f>
        <v>333000</v>
      </c>
      <c r="K22" s="75">
        <f>'ОПИУ (расчеты)'!K52</f>
        <v>333000</v>
      </c>
      <c r="L22" s="75">
        <f>'ОПИУ (расчеты)'!L52</f>
        <v>333000</v>
      </c>
      <c r="M22" s="75">
        <f>'ОПИУ (расчеты)'!M52</f>
        <v>333000</v>
      </c>
      <c r="N22" s="76">
        <f>'ОПИУ (расчеты)'!N52</f>
        <v>333000</v>
      </c>
      <c r="O22" s="75">
        <f>'ОПИУ (расчеты)'!O52</f>
        <v>333000</v>
      </c>
      <c r="P22" s="75">
        <f>'ОПИУ (расчеты)'!P52</f>
        <v>333000</v>
      </c>
      <c r="Q22" s="75">
        <f>'ОПИУ (расчеты)'!Q52</f>
        <v>333000</v>
      </c>
      <c r="R22" s="75">
        <f>'ОПИУ (расчеты)'!R52</f>
        <v>333000</v>
      </c>
      <c r="S22" s="75">
        <f>'ОПИУ (расчеты)'!S52</f>
        <v>333000</v>
      </c>
      <c r="T22" s="75">
        <f>'ОПИУ (расчеты)'!T52</f>
        <v>333000</v>
      </c>
      <c r="U22" s="75">
        <f>'ОПИУ (расчеты)'!U52</f>
        <v>333000</v>
      </c>
      <c r="V22" s="75">
        <f>'ОПИУ (расчеты)'!V52</f>
        <v>333000</v>
      </c>
      <c r="W22" s="75">
        <f>'ОПИУ (расчеты)'!W52</f>
        <v>333000</v>
      </c>
      <c r="X22" s="75">
        <f>'ОПИУ (расчеты)'!X52</f>
        <v>333000</v>
      </c>
      <c r="Y22" s="75">
        <f>'ОПИУ (расчеты)'!Y52</f>
        <v>333000</v>
      </c>
      <c r="Z22" s="76">
        <f>'ОПИУ (расчеты)'!Z52</f>
        <v>333000</v>
      </c>
      <c r="AA22" s="75">
        <f>'ОПИУ (расчеты)'!AA52</f>
        <v>333000</v>
      </c>
      <c r="AB22" s="75">
        <f>'ОПИУ (расчеты)'!AB52</f>
        <v>333000</v>
      </c>
      <c r="AC22" s="75">
        <f>'ОПИУ (расчеты)'!AC52</f>
        <v>333000</v>
      </c>
      <c r="AD22" s="75">
        <f>'ОПИУ (расчеты)'!AD52</f>
        <v>333000</v>
      </c>
      <c r="AE22" s="75">
        <f>'ОПИУ (расчеты)'!AE52</f>
        <v>333000</v>
      </c>
      <c r="AF22" s="75">
        <f>'ОПИУ (расчеты)'!AF52</f>
        <v>333000</v>
      </c>
      <c r="AG22" s="75">
        <f>'ОПИУ (расчеты)'!AG52</f>
        <v>333000</v>
      </c>
      <c r="AH22" s="75">
        <f>'ОПИУ (расчеты)'!AH52</f>
        <v>333000</v>
      </c>
      <c r="AI22" s="75">
        <f>'ОПИУ (расчеты)'!AI52</f>
        <v>333000</v>
      </c>
      <c r="AJ22" s="75">
        <f>'ОПИУ (расчеты)'!AJ52</f>
        <v>333000</v>
      </c>
      <c r="AK22" s="75">
        <f>'ОПИУ (расчеты)'!AK52</f>
        <v>333000</v>
      </c>
      <c r="AL22" s="75">
        <f>'ОПИУ (расчеты)'!AL52</f>
        <v>333000</v>
      </c>
    </row>
    <row r="23" spans="1:38" ht="15.75" customHeight="1" x14ac:dyDescent="0.2">
      <c r="A23" s="3"/>
      <c r="B23" s="11" t="s">
        <v>39</v>
      </c>
      <c r="C23" s="75">
        <f>'ОПИУ (расчеты)'!C53</f>
        <v>1000000</v>
      </c>
      <c r="D23" s="75">
        <f>'ОПИУ (расчеты)'!D53</f>
        <v>1100000</v>
      </c>
      <c r="E23" s="75">
        <f>'ОПИУ (расчеты)'!E53</f>
        <v>1200000</v>
      </c>
      <c r="F23" s="75">
        <f>'ОПИУ (расчеты)'!F53</f>
        <v>1300000</v>
      </c>
      <c r="G23" s="75">
        <f>'ОПИУ (расчеты)'!G53</f>
        <v>1400000</v>
      </c>
      <c r="H23" s="75">
        <f>'ОПИУ (расчеты)'!H53</f>
        <v>1500000</v>
      </c>
      <c r="I23" s="75">
        <f>'ОПИУ (расчеты)'!I53</f>
        <v>1600000</v>
      </c>
      <c r="J23" s="75">
        <f>'ОПИУ (расчеты)'!J53</f>
        <v>1700000</v>
      </c>
      <c r="K23" s="75">
        <f>'ОПИУ (расчеты)'!K53</f>
        <v>1800000</v>
      </c>
      <c r="L23" s="75">
        <f>'ОПИУ (расчеты)'!L53</f>
        <v>1900000</v>
      </c>
      <c r="M23" s="75">
        <f>'ОПИУ (расчеты)'!M53</f>
        <v>2000000</v>
      </c>
      <c r="N23" s="76">
        <f>'ОПИУ (расчеты)'!N53</f>
        <v>2100000</v>
      </c>
      <c r="O23" s="75">
        <f>'ОПИУ (расчеты)'!O53</f>
        <v>2200000</v>
      </c>
      <c r="P23" s="75">
        <f>'ОПИУ (расчеты)'!P53</f>
        <v>2300000</v>
      </c>
      <c r="Q23" s="75">
        <f>'ОПИУ (расчеты)'!Q53</f>
        <v>2400000</v>
      </c>
      <c r="R23" s="75">
        <f>'ОПИУ (расчеты)'!R53</f>
        <v>2500000</v>
      </c>
      <c r="S23" s="75">
        <f>'ОПИУ (расчеты)'!S53</f>
        <v>2600000</v>
      </c>
      <c r="T23" s="75">
        <f>'ОПИУ (расчеты)'!T53</f>
        <v>2700000</v>
      </c>
      <c r="U23" s="75">
        <f>'ОПИУ (расчеты)'!U53</f>
        <v>2800000</v>
      </c>
      <c r="V23" s="75">
        <f>'ОПИУ (расчеты)'!V53</f>
        <v>2900000</v>
      </c>
      <c r="W23" s="75">
        <f>'ОПИУ (расчеты)'!W53</f>
        <v>3000000</v>
      </c>
      <c r="X23" s="75">
        <f>'ОПИУ (расчеты)'!X53</f>
        <v>3000000</v>
      </c>
      <c r="Y23" s="75">
        <f>'ОПИУ (расчеты)'!Y53</f>
        <v>3000000</v>
      </c>
      <c r="Z23" s="76">
        <f>'ОПИУ (расчеты)'!Z53</f>
        <v>3000000</v>
      </c>
      <c r="AA23" s="75">
        <f>'ОПИУ (расчеты)'!AA53</f>
        <v>3000000</v>
      </c>
      <c r="AB23" s="75">
        <f>'ОПИУ (расчеты)'!AB53</f>
        <v>3000000</v>
      </c>
      <c r="AC23" s="75">
        <f>'ОПИУ (расчеты)'!AC53</f>
        <v>3000000</v>
      </c>
      <c r="AD23" s="75">
        <f>'ОПИУ (расчеты)'!AD53</f>
        <v>3000000</v>
      </c>
      <c r="AE23" s="75">
        <f>'ОПИУ (расчеты)'!AE53</f>
        <v>3000000</v>
      </c>
      <c r="AF23" s="75">
        <f>'ОПИУ (расчеты)'!AF53</f>
        <v>3000000</v>
      </c>
      <c r="AG23" s="75">
        <f>'ОПИУ (расчеты)'!AG53</f>
        <v>3000000</v>
      </c>
      <c r="AH23" s="75">
        <f>'ОПИУ (расчеты)'!AH53</f>
        <v>3000000</v>
      </c>
      <c r="AI23" s="75">
        <f>'ОПИУ (расчеты)'!AI53</f>
        <v>3000000</v>
      </c>
      <c r="AJ23" s="75">
        <f>'ОПИУ (расчеты)'!AJ53</f>
        <v>3000000</v>
      </c>
      <c r="AK23" s="75">
        <f>'ОПИУ (расчеты)'!AK53</f>
        <v>3000000</v>
      </c>
      <c r="AL23" s="75">
        <f>'ОПИУ (расчеты)'!AL53</f>
        <v>3000000</v>
      </c>
    </row>
    <row r="24" spans="1:38" s="98" customFormat="1" ht="15.75" customHeight="1" x14ac:dyDescent="0.2">
      <c r="A24" s="97"/>
      <c r="B24" s="62" t="s">
        <v>48</v>
      </c>
      <c r="C24" s="81">
        <f>'ОПИУ (расчеты)'!C54</f>
        <v>250000</v>
      </c>
      <c r="D24" s="81">
        <f>'ОПИУ (расчеты)'!D54</f>
        <v>250000</v>
      </c>
      <c r="E24" s="81">
        <f>'ОПИУ (расчеты)'!E54</f>
        <v>250000</v>
      </c>
      <c r="F24" s="81">
        <f>'ОПИУ (расчеты)'!F54</f>
        <v>250000</v>
      </c>
      <c r="G24" s="81">
        <f>'ОПИУ (расчеты)'!G54</f>
        <v>250000</v>
      </c>
      <c r="H24" s="81">
        <f>'ОПИУ (расчеты)'!H54</f>
        <v>250000</v>
      </c>
      <c r="I24" s="81">
        <f>'ОПИУ (расчеты)'!I54</f>
        <v>250000</v>
      </c>
      <c r="J24" s="81">
        <f>'ОПИУ (расчеты)'!J54</f>
        <v>250000</v>
      </c>
      <c r="K24" s="81">
        <f>'ОПИУ (расчеты)'!K54</f>
        <v>250000</v>
      </c>
      <c r="L24" s="81">
        <f>'ОПИУ (расчеты)'!L54</f>
        <v>250000</v>
      </c>
      <c r="M24" s="81">
        <f>'ОПИУ (расчеты)'!M54</f>
        <v>250000</v>
      </c>
      <c r="N24" s="82">
        <f>'ОПИУ (расчеты)'!N54</f>
        <v>250000</v>
      </c>
      <c r="O24" s="81">
        <f>'ОПИУ (расчеты)'!O54</f>
        <v>250000</v>
      </c>
      <c r="P24" s="81">
        <f>'ОПИУ (расчеты)'!P54</f>
        <v>250000</v>
      </c>
      <c r="Q24" s="81">
        <f>'ОПИУ (расчеты)'!Q54</f>
        <v>250000</v>
      </c>
      <c r="R24" s="81">
        <f>'ОПИУ (расчеты)'!R54</f>
        <v>250000</v>
      </c>
      <c r="S24" s="81">
        <f>'ОПИУ (расчеты)'!S54</f>
        <v>250000</v>
      </c>
      <c r="T24" s="81">
        <f>'ОПИУ (расчеты)'!T54</f>
        <v>250000</v>
      </c>
      <c r="U24" s="81">
        <f>'ОПИУ (расчеты)'!U54</f>
        <v>250000</v>
      </c>
      <c r="V24" s="81">
        <f>'ОПИУ (расчеты)'!V54</f>
        <v>250000</v>
      </c>
      <c r="W24" s="81">
        <f>'ОПИУ (расчеты)'!W54</f>
        <v>250000</v>
      </c>
      <c r="X24" s="81">
        <f>'ОПИУ (расчеты)'!X54</f>
        <v>250000</v>
      </c>
      <c r="Y24" s="81">
        <f>'ОПИУ (расчеты)'!Y54</f>
        <v>250000</v>
      </c>
      <c r="Z24" s="82">
        <f>'ОПИУ (расчеты)'!Z54</f>
        <v>250000</v>
      </c>
      <c r="AA24" s="81">
        <f>'ОПИУ (расчеты)'!AA54</f>
        <v>250000</v>
      </c>
      <c r="AB24" s="81">
        <f>'ОПИУ (расчеты)'!AB54</f>
        <v>250000</v>
      </c>
      <c r="AC24" s="81">
        <f>'ОПИУ (расчеты)'!AC54</f>
        <v>250000</v>
      </c>
      <c r="AD24" s="81">
        <f>'ОПИУ (расчеты)'!AD54</f>
        <v>250000</v>
      </c>
      <c r="AE24" s="81">
        <f>'ОПИУ (расчеты)'!AE54</f>
        <v>250000</v>
      </c>
      <c r="AF24" s="81">
        <f>'ОПИУ (расчеты)'!AF54</f>
        <v>250000</v>
      </c>
      <c r="AG24" s="81">
        <f>'ОПИУ (расчеты)'!AG54</f>
        <v>250000</v>
      </c>
      <c r="AH24" s="81">
        <f>'ОПИУ (расчеты)'!AH54</f>
        <v>250000</v>
      </c>
      <c r="AI24" s="81">
        <f>'ОПИУ (расчеты)'!AI54</f>
        <v>250000</v>
      </c>
      <c r="AJ24" s="81">
        <f>'ОПИУ (расчеты)'!AJ54</f>
        <v>250000</v>
      </c>
      <c r="AK24" s="81">
        <f>'ОПИУ (расчеты)'!AK54</f>
        <v>250000</v>
      </c>
      <c r="AL24" s="81">
        <f>'ОПИУ (расчеты)'!AL54</f>
        <v>250000</v>
      </c>
    </row>
    <row r="25" spans="1:38" s="111" customFormat="1" ht="15.75" customHeight="1" x14ac:dyDescent="0.25">
      <c r="A25" s="106"/>
      <c r="B25" s="131" t="s">
        <v>81</v>
      </c>
      <c r="C25" s="132">
        <v>80000000</v>
      </c>
      <c r="D25" s="133"/>
      <c r="E25" s="133"/>
      <c r="F25" s="133"/>
      <c r="G25" s="133"/>
      <c r="H25" s="133"/>
      <c r="I25" s="133"/>
      <c r="J25" s="133"/>
      <c r="K25" s="133"/>
      <c r="L25" s="133"/>
      <c r="M25" s="133"/>
      <c r="N25" s="134"/>
      <c r="O25" s="135"/>
      <c r="P25" s="136"/>
      <c r="Q25" s="136"/>
      <c r="R25" s="136"/>
      <c r="S25" s="136"/>
      <c r="T25" s="136"/>
      <c r="U25" s="136"/>
      <c r="V25" s="136"/>
      <c r="W25" s="136"/>
      <c r="X25" s="136"/>
      <c r="Y25" s="136"/>
      <c r="Z25" s="137"/>
      <c r="AA25" s="136"/>
      <c r="AB25" s="136"/>
      <c r="AC25" s="136"/>
      <c r="AD25" s="136"/>
      <c r="AE25" s="136"/>
      <c r="AF25" s="136"/>
      <c r="AG25" s="136"/>
      <c r="AH25" s="136"/>
      <c r="AI25" s="136"/>
      <c r="AJ25" s="136"/>
      <c r="AK25" s="136"/>
      <c r="AL25" s="136"/>
    </row>
    <row r="26" spans="1:38" ht="15.75" customHeight="1" x14ac:dyDescent="0.25">
      <c r="A26" s="3"/>
      <c r="B26" s="96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4"/>
      <c r="O26" s="119"/>
      <c r="P26" s="114"/>
      <c r="Q26" s="114"/>
      <c r="R26" s="114"/>
      <c r="S26" s="114"/>
      <c r="T26" s="114"/>
      <c r="U26" s="114"/>
      <c r="V26" s="114"/>
      <c r="W26" s="114"/>
      <c r="X26" s="114"/>
      <c r="Y26" s="114"/>
      <c r="Z26" s="115"/>
      <c r="AA26" s="114"/>
      <c r="AB26" s="114"/>
      <c r="AC26" s="114"/>
      <c r="AD26" s="116"/>
      <c r="AE26" s="116"/>
      <c r="AF26" s="116"/>
      <c r="AG26" s="116"/>
      <c r="AH26" s="116"/>
      <c r="AI26" s="116"/>
      <c r="AJ26" s="116"/>
      <c r="AK26" s="116"/>
      <c r="AL26" s="116"/>
    </row>
    <row r="27" spans="1:38" s="142" customFormat="1" ht="15.75" customHeight="1" x14ac:dyDescent="0.25">
      <c r="A27" s="138"/>
      <c r="B27" s="139" t="s">
        <v>33</v>
      </c>
      <c r="C27" s="140">
        <f t="shared" ref="C27:AL27" si="2">C5+C6+C25</f>
        <v>72102065</v>
      </c>
      <c r="D27" s="140">
        <f t="shared" si="2"/>
        <v>64367138.79655607</v>
      </c>
      <c r="E27" s="140">
        <f t="shared" ca="1" si="2"/>
        <v>56707531.111589327</v>
      </c>
      <c r="F27" s="140">
        <f t="shared" ca="1" si="2"/>
        <v>49209481.940798908</v>
      </c>
      <c r="G27" s="140">
        <f t="shared" ca="1" si="2"/>
        <v>41745744.914161079</v>
      </c>
      <c r="H27" s="140">
        <f t="shared" ca="1" si="2"/>
        <v>34490926.431517646</v>
      </c>
      <c r="I27" s="140">
        <f t="shared" ca="1" si="2"/>
        <v>29398668.775405087</v>
      </c>
      <c r="J27" s="140">
        <f t="shared" ca="1" si="2"/>
        <v>24511131.378083616</v>
      </c>
      <c r="K27" s="140">
        <f t="shared" ca="1" si="2"/>
        <v>19652208.670624532</v>
      </c>
      <c r="L27" s="140">
        <f t="shared" ca="1" si="2"/>
        <v>15115538.824337382</v>
      </c>
      <c r="M27" s="140">
        <f t="shared" ca="1" si="2"/>
        <v>10795819.549713816</v>
      </c>
      <c r="N27" s="141">
        <f t="shared" ca="1" si="2"/>
        <v>6643791.5826744344</v>
      </c>
      <c r="O27" s="140">
        <f t="shared" ca="1" si="2"/>
        <v>2850411.5996194202</v>
      </c>
      <c r="P27" s="140">
        <f t="shared" ca="1" si="2"/>
        <v>-669378.41246674862</v>
      </c>
      <c r="Q27" s="140">
        <f t="shared" ca="1" si="2"/>
        <v>-3994815.1385741793</v>
      </c>
      <c r="R27" s="140">
        <f t="shared" ca="1" si="2"/>
        <v>-7007629.5196452206</v>
      </c>
      <c r="S27" s="140">
        <f t="shared" ca="1" si="2"/>
        <v>-9871852.1629698221</v>
      </c>
      <c r="T27" s="140">
        <f t="shared" ca="1" si="2"/>
        <v>-12454968.315729517</v>
      </c>
      <c r="U27" s="140">
        <f t="shared" ca="1" si="2"/>
        <v>-14724488.019504473</v>
      </c>
      <c r="V27" s="140">
        <f t="shared" ca="1" si="2"/>
        <v>-16754651.68951644</v>
      </c>
      <c r="W27" s="140">
        <f t="shared" ca="1" si="2"/>
        <v>-18730751.131272495</v>
      </c>
      <c r="X27" s="140">
        <f t="shared" ca="1" si="2"/>
        <v>-20327333.562257983</v>
      </c>
      <c r="Y27" s="140">
        <f t="shared" ca="1" si="2"/>
        <v>-21501132.155585311</v>
      </c>
      <c r="Z27" s="141">
        <f t="shared" ca="1" si="2"/>
        <v>-22433743.941350929</v>
      </c>
      <c r="AA27" s="140">
        <f t="shared" ca="1" si="2"/>
        <v>-22898295.595794149</v>
      </c>
      <c r="AB27" s="140">
        <f t="shared" ca="1" si="2"/>
        <v>-23150027.818578281</v>
      </c>
      <c r="AC27" s="140">
        <f t="shared" ca="1" si="2"/>
        <v>-23166783.000977475</v>
      </c>
      <c r="AD27" s="140">
        <f t="shared" ca="1" si="2"/>
        <v>-22871703.017242912</v>
      </c>
      <c r="AE27" s="140">
        <f t="shared" ca="1" si="2"/>
        <v>-22466339.775604457</v>
      </c>
      <c r="AF27" s="140">
        <f t="shared" ca="1" si="2"/>
        <v>-21659384.635507718</v>
      </c>
      <c r="AG27" s="140">
        <f t="shared" ca="1" si="2"/>
        <v>-20626485.035890117</v>
      </c>
      <c r="AH27" s="140">
        <f t="shared" ca="1" si="2"/>
        <v>-19423104.093575947</v>
      </c>
      <c r="AI27" s="140">
        <f t="shared" ca="1" si="2"/>
        <v>-18105550.485255085</v>
      </c>
      <c r="AJ27" s="140">
        <f t="shared" ca="1" si="2"/>
        <v>-16761467.875745606</v>
      </c>
      <c r="AK27" s="140">
        <f t="shared" ca="1" si="2"/>
        <v>-15356211.518291198</v>
      </c>
      <c r="AL27" s="140">
        <f t="shared" ca="1" si="2"/>
        <v>-13815464.669072939</v>
      </c>
    </row>
    <row r="28" spans="1:38" s="8" customFormat="1" ht="15.75" customHeight="1" x14ac:dyDescent="0.25">
      <c r="A28" s="6"/>
      <c r="B28" s="96" t="s">
        <v>91</v>
      </c>
      <c r="C28" s="83">
        <f>C5+C27</f>
        <v>72102065</v>
      </c>
      <c r="D28" s="83">
        <f>D27</f>
        <v>64367138.79655607</v>
      </c>
      <c r="E28" s="83">
        <f t="shared" ref="E28:AL28" ca="1" si="3">E27</f>
        <v>56707531.111589327</v>
      </c>
      <c r="F28" s="83">
        <f t="shared" ca="1" si="3"/>
        <v>49209481.940798908</v>
      </c>
      <c r="G28" s="83">
        <f t="shared" ca="1" si="3"/>
        <v>41745744.914161079</v>
      </c>
      <c r="H28" s="83">
        <f t="shared" ca="1" si="3"/>
        <v>34490926.431517646</v>
      </c>
      <c r="I28" s="83">
        <f t="shared" ca="1" si="3"/>
        <v>29398668.775405087</v>
      </c>
      <c r="J28" s="83">
        <f t="shared" ca="1" si="3"/>
        <v>24511131.378083616</v>
      </c>
      <c r="K28" s="83">
        <f t="shared" ca="1" si="3"/>
        <v>19652208.670624532</v>
      </c>
      <c r="L28" s="83">
        <f t="shared" ca="1" si="3"/>
        <v>15115538.824337382</v>
      </c>
      <c r="M28" s="83">
        <f t="shared" ca="1" si="3"/>
        <v>10795819.549713816</v>
      </c>
      <c r="N28" s="84">
        <f t="shared" ca="1" si="3"/>
        <v>6643791.5826744344</v>
      </c>
      <c r="O28" s="83">
        <f t="shared" ca="1" si="3"/>
        <v>2850411.5996194202</v>
      </c>
      <c r="P28" s="83">
        <f t="shared" ca="1" si="3"/>
        <v>-669378.41246674862</v>
      </c>
      <c r="Q28" s="83">
        <f t="shared" ca="1" si="3"/>
        <v>-3994815.1385741793</v>
      </c>
      <c r="R28" s="83">
        <f t="shared" ca="1" si="3"/>
        <v>-7007629.5196452206</v>
      </c>
      <c r="S28" s="83">
        <f t="shared" ca="1" si="3"/>
        <v>-9871852.1629698221</v>
      </c>
      <c r="T28" s="83">
        <f t="shared" ca="1" si="3"/>
        <v>-12454968.315729517</v>
      </c>
      <c r="U28" s="83">
        <f t="shared" ca="1" si="3"/>
        <v>-14724488.019504473</v>
      </c>
      <c r="V28" s="83">
        <f t="shared" ca="1" si="3"/>
        <v>-16754651.68951644</v>
      </c>
      <c r="W28" s="83">
        <f t="shared" ca="1" si="3"/>
        <v>-18730751.131272495</v>
      </c>
      <c r="X28" s="83">
        <f t="shared" ca="1" si="3"/>
        <v>-20327333.562257983</v>
      </c>
      <c r="Y28" s="83">
        <f t="shared" ca="1" si="3"/>
        <v>-21501132.155585311</v>
      </c>
      <c r="Z28" s="84">
        <f t="shared" ca="1" si="3"/>
        <v>-22433743.941350929</v>
      </c>
      <c r="AA28" s="83">
        <f t="shared" ca="1" si="3"/>
        <v>-22898295.595794149</v>
      </c>
      <c r="AB28" s="83">
        <f t="shared" ca="1" si="3"/>
        <v>-23150027.818578281</v>
      </c>
      <c r="AC28" s="83">
        <f t="shared" ca="1" si="3"/>
        <v>-23166783.000977475</v>
      </c>
      <c r="AD28" s="83">
        <f t="shared" ca="1" si="3"/>
        <v>-22871703.017242912</v>
      </c>
      <c r="AE28" s="83">
        <f t="shared" ca="1" si="3"/>
        <v>-22466339.775604457</v>
      </c>
      <c r="AF28" s="83">
        <f t="shared" ca="1" si="3"/>
        <v>-21659384.635507718</v>
      </c>
      <c r="AG28" s="83">
        <f t="shared" ca="1" si="3"/>
        <v>-20626485.035890117</v>
      </c>
      <c r="AH28" s="83">
        <f t="shared" ca="1" si="3"/>
        <v>-19423104.093575947</v>
      </c>
      <c r="AI28" s="83">
        <f t="shared" ca="1" si="3"/>
        <v>-18105550.485255085</v>
      </c>
      <c r="AJ28" s="83">
        <f t="shared" ca="1" si="3"/>
        <v>-16761467.875745606</v>
      </c>
      <c r="AK28" s="83">
        <f t="shared" ca="1" si="3"/>
        <v>-15356211.518291198</v>
      </c>
      <c r="AL28" s="83">
        <f t="shared" ca="1" si="3"/>
        <v>-13815464.669072939</v>
      </c>
    </row>
    <row r="29" spans="1:38" ht="15.75" customHeight="1" x14ac:dyDescent="0.2">
      <c r="A29" s="3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</row>
    <row r="30" spans="1:38" ht="15.75" customHeight="1" x14ac:dyDescent="0.2">
      <c r="A30" s="3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</row>
    <row r="31" spans="1:38" ht="15.75" customHeight="1" x14ac:dyDescent="0.2">
      <c r="A31" s="3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</row>
    <row r="32" spans="1:38" ht="15.75" customHeight="1" x14ac:dyDescent="0.2">
      <c r="A32" s="3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</row>
    <row r="33" spans="1:29" ht="15.75" customHeight="1" x14ac:dyDescent="0.2">
      <c r="A33" s="3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</row>
    <row r="34" spans="1:29" ht="15.75" customHeight="1" x14ac:dyDescent="0.2">
      <c r="A34" s="3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</row>
    <row r="35" spans="1:29" ht="15.75" customHeight="1" x14ac:dyDescent="0.2">
      <c r="A35" s="3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</row>
    <row r="36" spans="1:29" ht="15.75" customHeight="1" x14ac:dyDescent="0.2">
      <c r="A36" s="3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</row>
    <row r="37" spans="1:29" ht="15.75" customHeight="1" x14ac:dyDescent="0.2">
      <c r="A37" s="3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</row>
    <row r="38" spans="1:29" ht="15.75" customHeight="1" x14ac:dyDescent="0.2">
      <c r="A38" s="3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</row>
    <row r="39" spans="1:29" ht="15.75" customHeight="1" x14ac:dyDescent="0.2">
      <c r="A39" s="3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</row>
    <row r="40" spans="1:29" ht="15.75" customHeight="1" x14ac:dyDescent="0.2">
      <c r="A40" s="3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</row>
    <row r="41" spans="1:29" ht="15.75" customHeight="1" x14ac:dyDescent="0.2">
      <c r="A41" s="3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</row>
    <row r="42" spans="1:29" ht="15.75" customHeight="1" x14ac:dyDescent="0.2">
      <c r="A42" s="3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</row>
    <row r="43" spans="1:29" ht="15.75" customHeight="1" x14ac:dyDescent="0.2">
      <c r="A43" s="3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</row>
    <row r="44" spans="1:29" ht="15.75" customHeight="1" x14ac:dyDescent="0.2">
      <c r="A44" s="3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</row>
    <row r="45" spans="1:29" ht="15.75" customHeight="1" x14ac:dyDescent="0.2">
      <c r="A45" s="3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</row>
    <row r="46" spans="1:29" ht="15.75" customHeight="1" x14ac:dyDescent="0.2">
      <c r="A46" s="3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</row>
    <row r="47" spans="1:29" ht="15.75" customHeight="1" x14ac:dyDescent="0.2">
      <c r="A47" s="3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</row>
    <row r="48" spans="1:29" ht="15.75" customHeight="1" x14ac:dyDescent="0.2">
      <c r="A48" s="3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</row>
    <row r="49" spans="1:29" ht="15.75" customHeight="1" x14ac:dyDescent="0.2">
      <c r="A49" s="3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</row>
    <row r="50" spans="1:29" ht="15.75" customHeight="1" x14ac:dyDescent="0.2">
      <c r="A50" s="3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</row>
    <row r="51" spans="1:29" ht="15.75" customHeight="1" x14ac:dyDescent="0.2">
      <c r="A51" s="3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</row>
    <row r="52" spans="1:29" ht="15.75" customHeight="1" x14ac:dyDescent="0.2">
      <c r="A52" s="3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</row>
    <row r="53" spans="1:29" ht="15.75" customHeight="1" x14ac:dyDescent="0.2">
      <c r="A53" s="3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</row>
    <row r="54" spans="1:29" ht="15.75" customHeight="1" x14ac:dyDescent="0.2">
      <c r="A54" s="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</row>
    <row r="55" spans="1:29" ht="15.75" customHeight="1" x14ac:dyDescent="0.2">
      <c r="A55" s="3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</row>
    <row r="56" spans="1:29" ht="15.75" customHeight="1" x14ac:dyDescent="0.2">
      <c r="A56" s="3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</row>
    <row r="57" spans="1:29" ht="15.75" customHeight="1" x14ac:dyDescent="0.2">
      <c r="A57" s="3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</row>
    <row r="58" spans="1:29" ht="15.75" customHeight="1" x14ac:dyDescent="0.2">
      <c r="A58" s="3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</row>
    <row r="59" spans="1:29" ht="15.75" customHeight="1" x14ac:dyDescent="0.2">
      <c r="A59" s="3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</row>
    <row r="60" spans="1:29" ht="15.75" customHeight="1" x14ac:dyDescent="0.2">
      <c r="A60" s="3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</row>
    <row r="61" spans="1:29" ht="15.75" customHeight="1" x14ac:dyDescent="0.2">
      <c r="A61" s="3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</row>
    <row r="62" spans="1:29" ht="15.75" customHeight="1" x14ac:dyDescent="0.2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</row>
    <row r="63" spans="1:29" ht="15.75" customHeight="1" x14ac:dyDescent="0.2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</row>
    <row r="64" spans="1:29" ht="15.75" customHeight="1" x14ac:dyDescent="0.2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</row>
    <row r="65" spans="2:29" ht="15.75" customHeight="1" x14ac:dyDescent="0.2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</row>
    <row r="66" spans="2:29" ht="15.75" customHeight="1" x14ac:dyDescent="0.2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</row>
    <row r="67" spans="2:29" ht="15.75" customHeight="1" x14ac:dyDescent="0.2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</row>
    <row r="68" spans="2:29" ht="15.75" customHeight="1" x14ac:dyDescent="0.2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</row>
    <row r="69" spans="2:29" ht="15.75" customHeight="1" x14ac:dyDescent="0.2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</row>
    <row r="70" spans="2:29" ht="15.75" customHeight="1" x14ac:dyDescent="0.2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</row>
    <row r="71" spans="2:29" ht="15.75" customHeight="1" x14ac:dyDescent="0.2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</row>
    <row r="72" spans="2:29" ht="15.75" customHeight="1" x14ac:dyDescent="0.2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</row>
    <row r="73" spans="2:29" ht="15.75" customHeight="1" x14ac:dyDescent="0.2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</row>
    <row r="74" spans="2:29" ht="15.75" customHeight="1" x14ac:dyDescent="0.2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</row>
    <row r="75" spans="2:29" ht="15.75" customHeight="1" x14ac:dyDescent="0.2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</row>
    <row r="76" spans="2:29" ht="15.75" customHeight="1" x14ac:dyDescent="0.2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</row>
    <row r="77" spans="2:29" ht="15.75" customHeight="1" x14ac:dyDescent="0.2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</row>
    <row r="78" spans="2:29" ht="15.75" customHeight="1" x14ac:dyDescent="0.2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</row>
    <row r="79" spans="2:29" ht="15.75" customHeight="1" x14ac:dyDescent="0.2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</row>
    <row r="80" spans="2:29" ht="15.75" customHeight="1" x14ac:dyDescent="0.2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</row>
    <row r="81" spans="2:29" ht="15.75" customHeight="1" x14ac:dyDescent="0.2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</row>
    <row r="82" spans="2:29" ht="15.75" customHeight="1" x14ac:dyDescent="0.2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</row>
    <row r="83" spans="2:29" ht="15.75" customHeight="1" x14ac:dyDescent="0.2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</row>
    <row r="84" spans="2:29" ht="15.75" customHeight="1" x14ac:dyDescent="0.2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</row>
    <row r="85" spans="2:29" ht="15.75" customHeight="1" x14ac:dyDescent="0.2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</row>
    <row r="86" spans="2:29" ht="15.75" customHeight="1" x14ac:dyDescent="0.2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</row>
    <row r="87" spans="2:29" ht="15.75" customHeight="1" x14ac:dyDescent="0.2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</row>
    <row r="88" spans="2:29" ht="15.75" customHeight="1" x14ac:dyDescent="0.2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</row>
    <row r="89" spans="2:29" ht="15.75" customHeight="1" x14ac:dyDescent="0.2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</row>
    <row r="90" spans="2:29" ht="15.75" customHeight="1" x14ac:dyDescent="0.2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</row>
    <row r="91" spans="2:29" ht="15.75" customHeight="1" x14ac:dyDescent="0.2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</row>
    <row r="92" spans="2:29" ht="15.75" customHeight="1" x14ac:dyDescent="0.2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</row>
    <row r="93" spans="2:29" ht="15.75" customHeight="1" x14ac:dyDescent="0.2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</row>
    <row r="94" spans="2:29" ht="15.75" customHeight="1" x14ac:dyDescent="0.2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</row>
    <row r="95" spans="2:29" ht="15.75" customHeight="1" x14ac:dyDescent="0.2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</row>
    <row r="96" spans="2:29" ht="15.75" customHeight="1" x14ac:dyDescent="0.2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</row>
    <row r="97" spans="2:29" ht="15.75" customHeight="1" x14ac:dyDescent="0.2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</row>
    <row r="98" spans="2:29" ht="15.75" customHeight="1" x14ac:dyDescent="0.2"/>
    <row r="99" spans="2:29" ht="15.75" customHeight="1" x14ac:dyDescent="0.2"/>
    <row r="100" spans="2:29" ht="15.75" customHeight="1" x14ac:dyDescent="0.2"/>
    <row r="101" spans="2:29" ht="15.75" customHeight="1" x14ac:dyDescent="0.2"/>
    <row r="102" spans="2:29" ht="15.75" customHeight="1" x14ac:dyDescent="0.2"/>
    <row r="103" spans="2:29" ht="15.75" customHeight="1" x14ac:dyDescent="0.2"/>
    <row r="104" spans="2:29" ht="15.75" customHeight="1" x14ac:dyDescent="0.2"/>
    <row r="105" spans="2:29" ht="15.75" customHeight="1" x14ac:dyDescent="0.2"/>
    <row r="106" spans="2:29" ht="15.75" customHeight="1" x14ac:dyDescent="0.2"/>
    <row r="107" spans="2:29" ht="15.75" customHeight="1" x14ac:dyDescent="0.2"/>
    <row r="108" spans="2:29" ht="15.75" customHeight="1" x14ac:dyDescent="0.2"/>
    <row r="109" spans="2:29" ht="15.75" customHeight="1" x14ac:dyDescent="0.2"/>
    <row r="110" spans="2:29" ht="15.75" customHeight="1" x14ac:dyDescent="0.2"/>
    <row r="111" spans="2:29" ht="15.75" customHeight="1" x14ac:dyDescent="0.2"/>
    <row r="112" spans="2:29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</sheetData>
  <mergeCells count="3">
    <mergeCell ref="C2:N2"/>
    <mergeCell ref="O2:Z2"/>
    <mergeCell ref="AA2:AL2"/>
  </mergeCells>
  <conditionalFormatting sqref="D5:AL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Ответы на вопросы</vt:lpstr>
      <vt:lpstr>ОПИУ (расчеты)</vt:lpstr>
      <vt:lpstr>ОДДС (хватит ли 80 млн)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Ethicalt</dc:creator>
  <cp:lastModifiedBy>Софья Зименкова</cp:lastModifiedBy>
  <dcterms:created xsi:type="dcterms:W3CDTF">2026-05-03T18:30:12Z</dcterms:created>
  <dcterms:modified xsi:type="dcterms:W3CDTF">2026-05-03T20:56:24Z</dcterms:modified>
</cp:coreProperties>
</file>