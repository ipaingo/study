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дел продаж" sheetId="1" r:id="rId5"/>
    <sheet state="visible" name="Отдел маркетинга" sheetId="2" r:id="rId6"/>
    <sheet state="visible" name="Отдел финансов" sheetId="3" r:id="rId7"/>
    <sheet state="visible" name="Кол-центр" sheetId="4" r:id="rId8"/>
  </sheets>
  <definedNames/>
  <calcPr/>
</workbook>
</file>

<file path=xl/sharedStrings.xml><?xml version="1.0" encoding="utf-8"?>
<sst xmlns="http://schemas.openxmlformats.org/spreadsheetml/2006/main" count="137" uniqueCount="76">
  <si>
    <t>ОТДЕЛ ПРОДАЖ</t>
  </si>
  <si>
    <t>По отделу</t>
  </si>
  <si>
    <t>Факт встречи новые</t>
  </si>
  <si>
    <t>Договоров штук</t>
  </si>
  <si>
    <t>Договора сумма</t>
  </si>
  <si>
    <t>Факт повторные встречи</t>
  </si>
  <si>
    <t>Договора с повторных встреч</t>
  </si>
  <si>
    <t>Целевая конверсия визит-договор 35%</t>
  </si>
  <si>
    <t>Целевая конверсия лид-договор 5%</t>
  </si>
  <si>
    <t>ОТДЕЛ МАРКЕТИНГА</t>
  </si>
  <si>
    <t>KPI</t>
  </si>
  <si>
    <t>Июль</t>
  </si>
  <si>
    <t>Показатели план</t>
  </si>
  <si>
    <t>Сб.</t>
  </si>
  <si>
    <t>Вс.</t>
  </si>
  <si>
    <t>Пн.</t>
  </si>
  <si>
    <t>Вт.</t>
  </si>
  <si>
    <t>Ср.</t>
  </si>
  <si>
    <t>Чт.</t>
  </si>
  <si>
    <t>Пт.</t>
  </si>
  <si>
    <t>Отдел маркетинга</t>
  </si>
  <si>
    <t>Посещения на сайт</t>
  </si>
  <si>
    <t>Посещения на сайт: сайт 1</t>
  </si>
  <si>
    <t>Посещения на сайт: сайт 2</t>
  </si>
  <si>
    <t>Посещения на сайт: сайт 3</t>
  </si>
  <si>
    <t>Лиды</t>
  </si>
  <si>
    <t>Лиды: сайт 1</t>
  </si>
  <si>
    <t>Лиды: сайт 2</t>
  </si>
  <si>
    <t>Лиды: сайт 3</t>
  </si>
  <si>
    <t>Без номера визита</t>
  </si>
  <si>
    <t>План 35 000 посещений/мес</t>
  </si>
  <si>
    <t>План 2500 лидов/мес</t>
  </si>
  <si>
    <t>Целевая конверсия посещение-лид 5%</t>
  </si>
  <si>
    <t>Целевой CPO 300 рублей</t>
  </si>
  <si>
    <t>ОТДЕЛ ФИНАНСОВ</t>
  </si>
  <si>
    <t>Налоговая нагрузка — 10% от выручки.</t>
  </si>
  <si>
    <t>Себестоимость — 50% в среднем.</t>
  </si>
  <si>
    <t>Постоянные расходы — 1,5 млн рублей.</t>
  </si>
  <si>
    <t>ФОТ отдела продаж — 300 тыс + 2% с поступлений.</t>
  </si>
  <si>
    <t>ФОТ остальной компании — 1 млн рублей.</t>
  </si>
  <si>
    <t>Расход рекламного бюджета</t>
  </si>
  <si>
    <t>Сайт 1</t>
  </si>
  <si>
    <t>Сайт 2</t>
  </si>
  <si>
    <t>Сайт 3</t>
  </si>
  <si>
    <t>Факт поступления денег</t>
  </si>
  <si>
    <t>КОЛ-ЦЕНТР</t>
  </si>
  <si>
    <t>Показатели</t>
  </si>
  <si>
    <t>Мотивация</t>
  </si>
  <si>
    <t>Мотривация</t>
  </si>
  <si>
    <t>Операторы</t>
  </si>
  <si>
    <t>З/П</t>
  </si>
  <si>
    <t>45 000р.</t>
  </si>
  <si>
    <t>Обработано лидов</t>
  </si>
  <si>
    <t>Алексей Пряхин</t>
  </si>
  <si>
    <t>27 150р.</t>
  </si>
  <si>
    <t>Некачественных лидов</t>
  </si>
  <si>
    <t>Алексей Конобеев</t>
  </si>
  <si>
    <t>55 250р.</t>
  </si>
  <si>
    <t>Качественных лидов</t>
  </si>
  <si>
    <t>Алексей Лукин</t>
  </si>
  <si>
    <t>17 600р.</t>
  </si>
  <si>
    <t>Назначено встреч</t>
  </si>
  <si>
    <t>Оператор №5</t>
  </si>
  <si>
    <t>Визитов состоялось</t>
  </si>
  <si>
    <t>Оператор №6</t>
  </si>
  <si>
    <t>Визиты с улицы</t>
  </si>
  <si>
    <t>-</t>
  </si>
  <si>
    <t>Оператор №7</t>
  </si>
  <si>
    <t>Оператор №8</t>
  </si>
  <si>
    <t>Оператор №9</t>
  </si>
  <si>
    <t>Целевые показатели</t>
  </si>
  <si>
    <t>Оператор №10</t>
  </si>
  <si>
    <t>Конверсия лид-назначение</t>
  </si>
  <si>
    <t>Конверсия лид-визит</t>
  </si>
  <si>
    <t>Конверсия назначение-визит</t>
  </si>
  <si>
    <t>Доля квал. лидов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</si>
</sst>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&quot;.&quot;mm"/>
    <numFmt numFmtId="166" formatCode="dd.mm"/>
    <numFmt numFmtId="167" formatCode="#,##0[$р.]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vertical="bottom"/>
    </xf>
    <xf borderId="1" fillId="2" fontId="3" numFmtId="164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left" readingOrder="0" shrinkToFit="0" vertical="bottom" wrapText="1"/>
    </xf>
    <xf borderId="0" fillId="0" fontId="5" numFmtId="0" xfId="0" applyAlignment="1" applyFont="1">
      <alignment readingOrder="0"/>
    </xf>
    <xf borderId="0" fillId="0" fontId="5" numFmtId="3" xfId="0" applyFont="1" applyNumberFormat="1"/>
    <xf borderId="0" fillId="0" fontId="5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horizontal="right"/>
    </xf>
    <xf borderId="0" fillId="3" fontId="7" numFmtId="0" xfId="0" applyAlignment="1" applyFill="1" applyFont="1">
      <alignment horizontal="center" shrinkToFit="0" wrapText="1"/>
    </xf>
    <xf borderId="0" fillId="3" fontId="7" numFmtId="0" xfId="0" applyAlignment="1" applyFont="1">
      <alignment horizontal="center" shrinkToFit="0" vertical="bottom" wrapText="1"/>
    </xf>
    <xf borderId="0" fillId="4" fontId="8" numFmtId="0" xfId="0" applyAlignment="1" applyFill="1" applyFont="1">
      <alignment horizontal="center"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4" fontId="8" numFmtId="165" xfId="0" applyAlignment="1" applyFont="1" applyNumberFormat="1">
      <alignment horizontal="center" shrinkToFit="0" vertical="bottom" wrapText="1"/>
    </xf>
    <xf borderId="0" fillId="3" fontId="8" numFmtId="165" xfId="0" applyAlignment="1" applyFont="1" applyNumberFormat="1">
      <alignment horizontal="center" shrinkToFit="0" vertical="bottom" wrapText="1"/>
    </xf>
    <xf borderId="2" fillId="5" fontId="9" numFmtId="0" xfId="0" applyAlignment="1" applyBorder="1" applyFill="1" applyFont="1">
      <alignment horizontal="center" readingOrder="0" shrinkToFit="0" vertical="bottom" wrapText="1"/>
    </xf>
    <xf borderId="3" fillId="0" fontId="10" numFmtId="0" xfId="0" applyBorder="1" applyFont="1"/>
    <xf borderId="4" fillId="0" fontId="10" numFmtId="0" xfId="0" applyBorder="1" applyFont="1"/>
    <xf borderId="5" fillId="6" fontId="9" numFmtId="3" xfId="0" applyAlignment="1" applyBorder="1" applyFill="1" applyFont="1" applyNumberFormat="1">
      <alignment shrinkToFit="0" vertical="bottom" wrapText="1"/>
    </xf>
    <xf borderId="6" fillId="6" fontId="11" numFmtId="3" xfId="0" applyAlignment="1" applyBorder="1" applyFont="1" applyNumberFormat="1">
      <alignment horizontal="center" shrinkToFit="0" vertical="bottom" wrapText="1"/>
    </xf>
    <xf borderId="2" fillId="6" fontId="9" numFmtId="3" xfId="0" applyAlignment="1" applyBorder="1" applyFont="1" applyNumberFormat="1">
      <alignment horizontal="right" shrinkToFit="0" vertical="bottom" wrapText="1"/>
    </xf>
    <xf borderId="3" fillId="6" fontId="7" numFmtId="3" xfId="0" applyAlignment="1" applyBorder="1" applyFont="1" applyNumberFormat="1">
      <alignment horizontal="right" shrinkToFit="0" vertical="bottom" wrapText="1"/>
    </xf>
    <xf borderId="7" fillId="0" fontId="11" numFmtId="3" xfId="0" applyAlignment="1" applyBorder="1" applyFont="1" applyNumberFormat="1">
      <alignment readingOrder="0" shrinkToFit="0" vertical="bottom" wrapText="1"/>
    </xf>
    <xf borderId="0" fillId="0" fontId="11" numFmtId="0" xfId="0" applyAlignment="1" applyFont="1">
      <alignment horizontal="center" shrinkToFit="0" vertical="bottom" wrapText="1"/>
    </xf>
    <xf borderId="2" fillId="0" fontId="9" numFmtId="3" xfId="0" applyAlignment="1" applyBorder="1" applyFont="1" applyNumberFormat="1">
      <alignment horizontal="right" shrinkToFit="0" vertical="bottom" wrapText="1"/>
    </xf>
    <xf borderId="3" fillId="0" fontId="7" numFmtId="3" xfId="0" applyAlignment="1" applyBorder="1" applyFont="1" applyNumberFormat="1">
      <alignment horizontal="right" shrinkToFit="0" vertical="bottom" wrapText="1"/>
    </xf>
    <xf borderId="8" fillId="0" fontId="9" numFmtId="3" xfId="0" applyAlignment="1" applyBorder="1" applyFont="1" applyNumberFormat="1">
      <alignment horizontal="right" shrinkToFit="0" vertical="bottom" wrapText="1"/>
    </xf>
    <xf borderId="0" fillId="0" fontId="7" numFmtId="3" xfId="0" applyAlignment="1" applyFont="1" applyNumberFormat="1">
      <alignment horizontal="right" shrinkToFit="0" vertical="bottom" wrapText="1"/>
    </xf>
    <xf borderId="9" fillId="6" fontId="9" numFmtId="3" xfId="0" applyAlignment="1" applyBorder="1" applyFont="1" applyNumberFormat="1">
      <alignment horizontal="right" shrinkToFit="0" vertical="bottom" wrapText="1"/>
    </xf>
    <xf borderId="6" fillId="6" fontId="7" numFmtId="3" xfId="0" applyAlignment="1" applyBorder="1" applyFont="1" applyNumberFormat="1">
      <alignment horizontal="right" readingOrder="0" shrinkToFit="0" vertical="bottom" wrapText="1"/>
    </xf>
    <xf borderId="0" fillId="7" fontId="11" numFmtId="0" xfId="0" applyAlignment="1" applyFill="1" applyFont="1">
      <alignment horizontal="center" shrinkToFit="0" vertical="bottom" wrapText="1"/>
    </xf>
    <xf borderId="3" fillId="0" fontId="7" numFmtId="3" xfId="0" applyAlignment="1" applyBorder="1" applyFont="1" applyNumberFormat="1">
      <alignment horizontal="right" readingOrder="0" shrinkToFit="0" vertical="bottom" wrapText="1"/>
    </xf>
    <xf borderId="10" fillId="0" fontId="11" numFmtId="1" xfId="0" applyAlignment="1" applyBorder="1" applyFont="1" applyNumberFormat="1">
      <alignment shrinkToFit="0" vertical="bottom" wrapText="1"/>
    </xf>
    <xf borderId="11" fillId="0" fontId="11" numFmtId="0" xfId="0" applyAlignment="1" applyBorder="1" applyFont="1">
      <alignment horizontal="center" shrinkToFit="0" vertical="bottom" wrapText="1"/>
    </xf>
    <xf borderId="11" fillId="7" fontId="11" numFmtId="0" xfId="0" applyAlignment="1" applyBorder="1" applyFont="1">
      <alignment horizontal="center" shrinkToFit="0" vertical="bottom" wrapText="1"/>
    </xf>
    <xf borderId="12" fillId="7" fontId="11" numFmtId="1" xfId="0" applyAlignment="1" applyBorder="1" applyFont="1" applyNumberFormat="1">
      <alignment vertical="bottom"/>
    </xf>
    <xf borderId="11" fillId="7" fontId="11" numFmtId="1" xfId="0" applyAlignment="1" applyBorder="1" applyFont="1" applyNumberFormat="1">
      <alignment vertical="bottom"/>
    </xf>
    <xf borderId="0" fillId="0" fontId="11" numFmtId="10" xfId="0" applyAlignment="1" applyFont="1" applyNumberFormat="1">
      <alignment horizontal="center" readingOrder="0" shrinkToFit="0" vertical="bottom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0" fontId="8" numFmtId="165" xfId="0" applyAlignment="1" applyBorder="1" applyFont="1" applyNumberFormat="1">
      <alignment horizontal="center" shrinkToFit="0" vertical="bottom" wrapText="1"/>
    </xf>
    <xf borderId="1" fillId="0" fontId="11" numFmtId="3" xfId="0" applyAlignment="1" applyBorder="1" applyFont="1" applyNumberFormat="1">
      <alignment horizontal="center" shrinkToFit="0" vertical="bottom" wrapText="1"/>
    </xf>
    <xf borderId="1" fillId="0" fontId="11" numFmtId="3" xfId="0" applyAlignment="1" applyBorder="1" applyFont="1" applyNumberFormat="1">
      <alignment horizontal="center" readingOrder="0" shrinkToFit="0" vertical="bottom" wrapText="1"/>
    </xf>
    <xf borderId="2" fillId="8" fontId="3" numFmtId="0" xfId="0" applyAlignment="1" applyBorder="1" applyFill="1" applyFon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3" fillId="8" fontId="3" numFmtId="0" xfId="0" applyAlignment="1" applyBorder="1" applyFont="1">
      <alignment horizontal="center" readingOrder="0" vertical="bottom"/>
    </xf>
    <xf borderId="3" fillId="8" fontId="3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4" fillId="8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2" fillId="8" fontId="3" numFmtId="0" xfId="0" applyAlignment="1" applyBorder="1" applyFont="1">
      <alignment horizontal="center" vertical="bottom"/>
    </xf>
    <xf borderId="11" fillId="4" fontId="3" numFmtId="166" xfId="0" applyAlignment="1" applyBorder="1" applyFont="1" applyNumberFormat="1">
      <alignment horizontal="center" readingOrder="0" vertical="bottom"/>
    </xf>
    <xf borderId="11" fillId="8" fontId="3" numFmtId="166" xfId="0" applyAlignment="1" applyBorder="1" applyFont="1" applyNumberFormat="1">
      <alignment horizontal="center" readingOrder="0" vertical="bottom"/>
    </xf>
    <xf borderId="11" fillId="8" fontId="3" numFmtId="166" xfId="0" applyAlignment="1" applyBorder="1" applyFont="1" applyNumberFormat="1">
      <alignment horizontal="center" readingOrder="0" vertical="bottom"/>
    </xf>
    <xf borderId="11" fillId="4" fontId="3" numFmtId="166" xfId="0" applyAlignment="1" applyBorder="1" applyFont="1" applyNumberFormat="1">
      <alignment horizontal="center" readingOrder="0" vertical="bottom"/>
    </xf>
    <xf borderId="13" fillId="8" fontId="3" numFmtId="166" xfId="0" applyAlignment="1" applyBorder="1" applyFont="1" applyNumberFormat="1">
      <alignment horizontal="center" readingOrder="0" vertical="bottom"/>
    </xf>
    <xf borderId="0" fillId="0" fontId="3" numFmtId="167" xfId="0" applyAlignment="1" applyFont="1" applyNumberFormat="1">
      <alignment horizontal="center" readingOrder="0" vertical="bottom"/>
    </xf>
    <xf borderId="0" fillId="0" fontId="3" numFmtId="167" xfId="0" applyAlignment="1" applyFont="1" applyNumberFormat="1">
      <alignment horizontal="center" vertical="bottom"/>
    </xf>
    <xf borderId="14" fillId="0" fontId="3" numFmtId="0" xfId="0" applyAlignment="1" applyBorder="1" applyFont="1">
      <alignment readingOrder="0" vertical="bottom"/>
    </xf>
    <xf borderId="15" fillId="0" fontId="4" numFmtId="3" xfId="0" applyAlignment="1" applyBorder="1" applyFont="1" applyNumberFormat="1">
      <alignment horizontal="center" vertical="bottom"/>
    </xf>
    <xf borderId="15" fillId="0" fontId="4" numFmtId="3" xfId="0" applyAlignment="1" applyBorder="1" applyFont="1" applyNumberFormat="1">
      <alignment horizontal="center" readingOrder="0" vertical="bottom"/>
    </xf>
    <xf borderId="16" fillId="0" fontId="4" numFmtId="3" xfId="0" applyAlignment="1" applyBorder="1" applyFont="1" applyNumberFormat="1">
      <alignment horizontal="center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4" numFmtId="167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4" numFmtId="3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readingOrder="0" vertical="bottom"/>
    </xf>
    <xf borderId="17" fillId="0" fontId="4" numFmtId="3" xfId="0" applyAlignment="1" applyBorder="1" applyFont="1" applyNumberFormat="1">
      <alignment horizontal="center" readingOrder="0" vertical="bottom"/>
    </xf>
    <xf borderId="17" fillId="0" fontId="4" numFmtId="3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8" fillId="2" fontId="3" numFmtId="0" xfId="0" applyAlignment="1" applyBorder="1" applyFont="1">
      <alignment readingOrder="0" vertical="bottom"/>
    </xf>
    <xf borderId="19" fillId="2" fontId="3" numFmtId="3" xfId="0" applyAlignment="1" applyBorder="1" applyFont="1" applyNumberFormat="1">
      <alignment horizontal="center" vertical="bottom"/>
    </xf>
    <xf borderId="19" fillId="2" fontId="3" numFmtId="3" xfId="0" applyAlignment="1" applyBorder="1" applyFont="1" applyNumberFormat="1">
      <alignment horizontal="center" readingOrder="0" vertical="bottom"/>
    </xf>
    <xf borderId="20" fillId="2" fontId="3" numFmtId="3" xfId="0" applyAlignment="1" applyBorder="1" applyFont="1" applyNumberFormat="1">
      <alignment horizontal="center" vertical="bottom"/>
    </xf>
    <xf borderId="0" fillId="0" fontId="5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0.5"/>
    <col customWidth="1" min="3" max="12" width="9.13"/>
    <col customWidth="1" min="13" max="13" width="9.0"/>
    <col customWidth="1" min="14" max="33" width="9.13"/>
  </cols>
  <sheetData>
    <row r="1">
      <c r="B1" s="1"/>
    </row>
    <row r="2">
      <c r="B2" s="1" t="s">
        <v>0</v>
      </c>
    </row>
    <row r="4">
      <c r="B4" s="2" t="s">
        <v>1</v>
      </c>
      <c r="C4" s="3">
        <v>42917.0</v>
      </c>
      <c r="D4" s="3">
        <v>42918.0</v>
      </c>
      <c r="E4" s="3">
        <v>42919.0</v>
      </c>
      <c r="F4" s="3">
        <v>42920.0</v>
      </c>
      <c r="G4" s="3">
        <v>42921.0</v>
      </c>
      <c r="H4" s="3">
        <v>42922.0</v>
      </c>
      <c r="I4" s="3">
        <v>42923.0</v>
      </c>
      <c r="J4" s="3">
        <v>42924.0</v>
      </c>
      <c r="K4" s="3">
        <v>42925.0</v>
      </c>
      <c r="L4" s="3">
        <v>42926.0</v>
      </c>
      <c r="M4" s="3">
        <v>42927.0</v>
      </c>
      <c r="N4" s="3">
        <v>42928.0</v>
      </c>
      <c r="O4" s="3">
        <v>42929.0</v>
      </c>
      <c r="P4" s="3">
        <v>42930.0</v>
      </c>
      <c r="Q4" s="3">
        <v>42931.0</v>
      </c>
      <c r="R4" s="3">
        <v>42932.0</v>
      </c>
      <c r="S4" s="3">
        <v>42933.0</v>
      </c>
      <c r="T4" s="3">
        <v>42934.0</v>
      </c>
      <c r="U4" s="3">
        <v>42935.0</v>
      </c>
      <c r="V4" s="3">
        <v>42936.0</v>
      </c>
      <c r="W4" s="3">
        <v>42937.0</v>
      </c>
      <c r="X4" s="3">
        <v>42938.0</v>
      </c>
      <c r="Y4" s="3">
        <v>42939.0</v>
      </c>
      <c r="Z4" s="3">
        <v>42940.0</v>
      </c>
      <c r="AA4" s="3">
        <v>42941.0</v>
      </c>
      <c r="AB4" s="3">
        <v>42942.0</v>
      </c>
      <c r="AC4" s="3">
        <v>42943.0</v>
      </c>
      <c r="AD4" s="3">
        <v>42944.0</v>
      </c>
      <c r="AE4" s="3">
        <v>42945.0</v>
      </c>
      <c r="AF4" s="3">
        <v>42946.0</v>
      </c>
      <c r="AG4" s="3">
        <v>42947.0</v>
      </c>
    </row>
    <row r="5">
      <c r="B5" s="4" t="s">
        <v>2</v>
      </c>
      <c r="C5" s="5">
        <v>5.0</v>
      </c>
      <c r="D5" s="6">
        <v>4.0</v>
      </c>
      <c r="E5" s="6">
        <v>13.0</v>
      </c>
      <c r="F5" s="6">
        <v>10.0</v>
      </c>
      <c r="G5" s="6">
        <v>13.0</v>
      </c>
      <c r="H5" s="6">
        <v>6.0</v>
      </c>
      <c r="I5" s="6">
        <v>13.0</v>
      </c>
      <c r="J5" s="6">
        <v>11.0</v>
      </c>
      <c r="K5" s="6">
        <v>14.0</v>
      </c>
      <c r="L5" s="6">
        <v>4.0</v>
      </c>
      <c r="M5" s="6">
        <v>12.0</v>
      </c>
      <c r="N5" s="6">
        <v>7.0</v>
      </c>
      <c r="O5" s="6">
        <v>13.0</v>
      </c>
      <c r="P5" s="6">
        <v>5.0</v>
      </c>
      <c r="Q5" s="5">
        <v>9.0</v>
      </c>
      <c r="R5" s="6">
        <v>4.0</v>
      </c>
      <c r="S5" s="6">
        <v>11.0</v>
      </c>
      <c r="T5" s="6">
        <v>7.0</v>
      </c>
      <c r="U5" s="6">
        <v>12.0</v>
      </c>
      <c r="V5" s="6">
        <v>11.0</v>
      </c>
      <c r="W5" s="6">
        <v>11.0</v>
      </c>
      <c r="X5" s="6">
        <v>5.0</v>
      </c>
      <c r="Y5" s="5">
        <v>2.0</v>
      </c>
      <c r="Z5" s="5">
        <v>4.0</v>
      </c>
      <c r="AA5" s="6">
        <v>6.0</v>
      </c>
      <c r="AB5" s="6">
        <v>8.0</v>
      </c>
      <c r="AC5" s="6">
        <v>8.0</v>
      </c>
      <c r="AD5" s="6">
        <v>6.0</v>
      </c>
      <c r="AE5" s="6">
        <v>13.0</v>
      </c>
      <c r="AF5" s="6">
        <v>10.0</v>
      </c>
      <c r="AG5" s="6">
        <v>11.0</v>
      </c>
    </row>
    <row r="6">
      <c r="B6" s="4" t="s">
        <v>3</v>
      </c>
      <c r="C6" s="5">
        <v>1.0</v>
      </c>
      <c r="D6" s="5">
        <v>2.0</v>
      </c>
      <c r="E6" s="6">
        <v>3.0</v>
      </c>
      <c r="F6" s="6">
        <v>1.0</v>
      </c>
      <c r="G6" s="5">
        <v>3.0</v>
      </c>
      <c r="H6" s="5">
        <v>3.0</v>
      </c>
      <c r="I6" s="5">
        <v>2.0</v>
      </c>
      <c r="J6" s="5">
        <v>0.0</v>
      </c>
      <c r="K6" s="6">
        <v>3.0</v>
      </c>
      <c r="L6" s="5">
        <v>1.0</v>
      </c>
      <c r="M6" s="5">
        <v>4.0</v>
      </c>
      <c r="N6" s="5">
        <v>1.0</v>
      </c>
      <c r="O6" s="6">
        <v>3.0</v>
      </c>
      <c r="P6" s="5">
        <v>2.0</v>
      </c>
      <c r="Q6" s="5">
        <v>2.0</v>
      </c>
      <c r="R6" s="5">
        <v>0.0</v>
      </c>
      <c r="S6" s="6">
        <v>1.0</v>
      </c>
      <c r="T6" s="5">
        <v>0.0</v>
      </c>
      <c r="U6" s="5">
        <v>3.0</v>
      </c>
      <c r="V6" s="5">
        <v>5.0</v>
      </c>
      <c r="W6" s="5">
        <v>3.0</v>
      </c>
      <c r="X6" s="6">
        <v>2.0</v>
      </c>
      <c r="Y6" s="6">
        <v>0.0</v>
      </c>
      <c r="Z6" s="5">
        <v>0.0</v>
      </c>
      <c r="AA6" s="5">
        <v>2.0</v>
      </c>
      <c r="AB6" s="5">
        <v>6.0</v>
      </c>
      <c r="AC6" s="6">
        <v>2.0</v>
      </c>
      <c r="AD6" s="5">
        <v>1.0</v>
      </c>
      <c r="AE6" s="6">
        <v>5.0</v>
      </c>
      <c r="AF6" s="6">
        <v>5.0</v>
      </c>
      <c r="AG6" s="5">
        <v>3.0</v>
      </c>
    </row>
    <row r="7">
      <c r="B7" s="4" t="s">
        <v>4</v>
      </c>
      <c r="C7" s="7">
        <v>149953.5</v>
      </c>
      <c r="D7" s="7">
        <v>570795.0</v>
      </c>
      <c r="E7" s="7">
        <v>620925.0</v>
      </c>
      <c r="F7" s="7">
        <v>416134.5</v>
      </c>
      <c r="G7" s="7">
        <v>44640.0</v>
      </c>
      <c r="H7" s="7">
        <v>750255.0</v>
      </c>
      <c r="I7" s="7">
        <v>439575.0</v>
      </c>
      <c r="J7" s="8">
        <v>0.0</v>
      </c>
      <c r="K7" s="7">
        <v>101640.0</v>
      </c>
      <c r="L7" s="7">
        <v>256350.0</v>
      </c>
      <c r="M7" s="7">
        <v>1497240.0</v>
      </c>
      <c r="N7" s="7">
        <v>266055.0</v>
      </c>
      <c r="O7" s="7">
        <v>839610.0</v>
      </c>
      <c r="P7" s="7">
        <v>462360.0</v>
      </c>
      <c r="Q7" s="7">
        <v>513720.0</v>
      </c>
      <c r="R7" s="8">
        <v>0.0</v>
      </c>
      <c r="S7" s="7">
        <v>499680.0</v>
      </c>
      <c r="T7" s="8">
        <v>0.0</v>
      </c>
      <c r="U7" s="7">
        <v>634708.5</v>
      </c>
      <c r="V7" s="7">
        <v>603900.0</v>
      </c>
      <c r="W7" s="7">
        <v>159570.0</v>
      </c>
      <c r="X7" s="7">
        <v>223680.0</v>
      </c>
      <c r="Y7" s="8">
        <v>0.0</v>
      </c>
      <c r="Z7" s="7">
        <v>0.0</v>
      </c>
      <c r="AA7" s="7">
        <v>212130.0</v>
      </c>
      <c r="AB7" s="7">
        <v>1745580.0</v>
      </c>
      <c r="AC7" s="7">
        <v>489615.0</v>
      </c>
      <c r="AD7" s="7">
        <v>240750.0</v>
      </c>
      <c r="AE7" s="7">
        <v>922470.0</v>
      </c>
      <c r="AF7" s="7">
        <v>417945.0</v>
      </c>
      <c r="AG7" s="7">
        <v>727455.0</v>
      </c>
    </row>
    <row r="8">
      <c r="B8" s="4" t="s">
        <v>5</v>
      </c>
      <c r="C8" s="6">
        <v>0.0</v>
      </c>
      <c r="D8" s="6">
        <v>1.0</v>
      </c>
      <c r="E8" s="6">
        <v>0.0</v>
      </c>
      <c r="F8" s="6">
        <v>0.0</v>
      </c>
      <c r="G8" s="6">
        <v>1.0</v>
      </c>
      <c r="H8" s="6">
        <v>0.0</v>
      </c>
      <c r="I8" s="6">
        <v>0.0</v>
      </c>
      <c r="J8" s="6">
        <v>0.0</v>
      </c>
      <c r="K8" s="6">
        <v>0.0</v>
      </c>
      <c r="L8" s="6">
        <v>2.0</v>
      </c>
      <c r="M8" s="6">
        <v>1.0</v>
      </c>
      <c r="N8" s="5">
        <v>2.0</v>
      </c>
      <c r="O8" s="6">
        <v>1.0</v>
      </c>
      <c r="P8" s="6">
        <v>0.0</v>
      </c>
      <c r="Q8" s="6">
        <v>0.0</v>
      </c>
      <c r="R8" s="6">
        <v>0.0</v>
      </c>
      <c r="S8" s="5">
        <v>2.0</v>
      </c>
      <c r="T8" s="6">
        <v>0.0</v>
      </c>
      <c r="U8" s="6">
        <v>0.0</v>
      </c>
      <c r="V8" s="5">
        <v>1.0</v>
      </c>
      <c r="W8" s="6">
        <v>0.0</v>
      </c>
      <c r="X8" s="6">
        <v>0.0</v>
      </c>
      <c r="Y8" s="5">
        <v>1.0</v>
      </c>
      <c r="Z8" s="6">
        <v>0.0</v>
      </c>
      <c r="AA8" s="6">
        <v>0.0</v>
      </c>
      <c r="AB8" s="5">
        <v>1.0</v>
      </c>
      <c r="AC8" s="6">
        <v>0.0</v>
      </c>
      <c r="AD8" s="6">
        <v>0.0</v>
      </c>
      <c r="AE8" s="6">
        <v>0.0</v>
      </c>
      <c r="AF8" s="6">
        <v>0.0</v>
      </c>
      <c r="AG8" s="5">
        <v>0.0</v>
      </c>
    </row>
    <row r="9">
      <c r="B9" s="9" t="s">
        <v>6</v>
      </c>
      <c r="C9" s="5">
        <v>0.0</v>
      </c>
      <c r="D9" s="6">
        <v>1.0</v>
      </c>
      <c r="E9" s="6">
        <v>0.0</v>
      </c>
      <c r="F9" s="6">
        <v>0.0</v>
      </c>
      <c r="G9" s="6">
        <v>1.0</v>
      </c>
      <c r="H9" s="6">
        <v>0.0</v>
      </c>
      <c r="I9" s="6">
        <v>0.0</v>
      </c>
      <c r="J9" s="6">
        <v>0.0</v>
      </c>
      <c r="K9" s="6">
        <v>0.0</v>
      </c>
      <c r="L9" s="5">
        <v>1.0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5">
        <v>1.0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5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6">
        <v>0.0</v>
      </c>
      <c r="AF9" s="6">
        <v>0.0</v>
      </c>
      <c r="AG9" s="5">
        <v>0.0</v>
      </c>
    </row>
    <row r="11">
      <c r="B11" s="10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B12" s="10" t="s">
        <v>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B1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5.88"/>
    <col customWidth="1" min="3" max="33" width="5.38"/>
    <col customWidth="1" min="34" max="34" width="8.25"/>
    <col customWidth="1" min="35" max="35" width="10.25"/>
    <col customWidth="1" min="36" max="36" width="8.88"/>
  </cols>
  <sheetData>
    <row r="2">
      <c r="B2" s="1" t="s">
        <v>9</v>
      </c>
    </row>
    <row r="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3"/>
      <c r="AI4" s="13"/>
      <c r="AJ4" s="13"/>
    </row>
    <row r="5">
      <c r="B5" s="15" t="s">
        <v>10</v>
      </c>
      <c r="C5" s="16" t="s">
        <v>11</v>
      </c>
      <c r="AH5" s="15"/>
      <c r="AI5" s="15" t="s">
        <v>12</v>
      </c>
      <c r="AJ5" s="15"/>
    </row>
    <row r="6">
      <c r="C6" s="17" t="s">
        <v>13</v>
      </c>
      <c r="D6" s="17" t="s">
        <v>14</v>
      </c>
      <c r="E6" s="18" t="s">
        <v>15</v>
      </c>
      <c r="F6" s="18" t="s">
        <v>16</v>
      </c>
      <c r="G6" s="18" t="s">
        <v>17</v>
      </c>
      <c r="H6" s="18" t="s">
        <v>18</v>
      </c>
      <c r="I6" s="18" t="s">
        <v>19</v>
      </c>
      <c r="J6" s="17" t="s">
        <v>13</v>
      </c>
      <c r="K6" s="17" t="s">
        <v>14</v>
      </c>
      <c r="L6" s="18" t="s">
        <v>15</v>
      </c>
      <c r="M6" s="18" t="s">
        <v>16</v>
      </c>
      <c r="N6" s="18" t="s">
        <v>17</v>
      </c>
      <c r="O6" s="18" t="s">
        <v>18</v>
      </c>
      <c r="P6" s="18" t="s">
        <v>19</v>
      </c>
      <c r="Q6" s="17" t="s">
        <v>13</v>
      </c>
      <c r="R6" s="17" t="s">
        <v>14</v>
      </c>
      <c r="S6" s="18" t="s">
        <v>15</v>
      </c>
      <c r="T6" s="18" t="s">
        <v>16</v>
      </c>
      <c r="U6" s="18" t="s">
        <v>17</v>
      </c>
      <c r="V6" s="18" t="s">
        <v>18</v>
      </c>
      <c r="W6" s="18" t="s">
        <v>19</v>
      </c>
      <c r="X6" s="17" t="s">
        <v>13</v>
      </c>
      <c r="Y6" s="17" t="s">
        <v>14</v>
      </c>
      <c r="Z6" s="18" t="s">
        <v>15</v>
      </c>
      <c r="AA6" s="18" t="s">
        <v>16</v>
      </c>
      <c r="AB6" s="18" t="s">
        <v>17</v>
      </c>
      <c r="AC6" s="18" t="s">
        <v>18</v>
      </c>
      <c r="AD6" s="18" t="s">
        <v>19</v>
      </c>
      <c r="AE6" s="17" t="s">
        <v>13</v>
      </c>
      <c r="AF6" s="17" t="s">
        <v>14</v>
      </c>
      <c r="AG6" s="18" t="s">
        <v>15</v>
      </c>
    </row>
    <row r="7">
      <c r="C7" s="19">
        <v>42917.0</v>
      </c>
      <c r="D7" s="19">
        <v>42918.0</v>
      </c>
      <c r="E7" s="20">
        <v>42919.0</v>
      </c>
      <c r="F7" s="20">
        <v>42920.0</v>
      </c>
      <c r="G7" s="20">
        <v>42921.0</v>
      </c>
      <c r="H7" s="20">
        <v>42922.0</v>
      </c>
      <c r="I7" s="20">
        <v>42923.0</v>
      </c>
      <c r="J7" s="19">
        <v>42924.0</v>
      </c>
      <c r="K7" s="19">
        <v>42925.0</v>
      </c>
      <c r="L7" s="20">
        <v>42926.0</v>
      </c>
      <c r="M7" s="20">
        <v>42927.0</v>
      </c>
      <c r="N7" s="20">
        <v>42928.0</v>
      </c>
      <c r="O7" s="20">
        <v>42929.0</v>
      </c>
      <c r="P7" s="20">
        <v>42930.0</v>
      </c>
      <c r="Q7" s="19">
        <v>42931.0</v>
      </c>
      <c r="R7" s="19">
        <v>42932.0</v>
      </c>
      <c r="S7" s="20">
        <v>42933.0</v>
      </c>
      <c r="T7" s="20">
        <v>42934.0</v>
      </c>
      <c r="U7" s="20">
        <v>42935.0</v>
      </c>
      <c r="V7" s="20">
        <v>42936.0</v>
      </c>
      <c r="W7" s="20">
        <v>42937.0</v>
      </c>
      <c r="X7" s="19">
        <v>42938.0</v>
      </c>
      <c r="Y7" s="19">
        <v>42939.0</v>
      </c>
      <c r="Z7" s="20">
        <v>42940.0</v>
      </c>
      <c r="AA7" s="20">
        <v>42941.0</v>
      </c>
      <c r="AB7" s="20">
        <v>42942.0</v>
      </c>
      <c r="AC7" s="20">
        <v>42943.0</v>
      </c>
      <c r="AD7" s="20">
        <v>42944.0</v>
      </c>
      <c r="AE7" s="19">
        <v>42945.0</v>
      </c>
      <c r="AF7" s="19">
        <v>42946.0</v>
      </c>
      <c r="AG7" s="20">
        <v>42947.0</v>
      </c>
    </row>
    <row r="8">
      <c r="B8" s="21" t="s">
        <v>20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3"/>
    </row>
    <row r="9">
      <c r="B9" s="24" t="s">
        <v>21</v>
      </c>
      <c r="C9" s="25">
        <f t="shared" ref="C9:AG9" si="1">SUM(C10:C12)</f>
        <v>1559</v>
      </c>
      <c r="D9" s="25">
        <f t="shared" si="1"/>
        <v>1597</v>
      </c>
      <c r="E9" s="25">
        <f t="shared" si="1"/>
        <v>2197</v>
      </c>
      <c r="F9" s="25">
        <f t="shared" si="1"/>
        <v>1730</v>
      </c>
      <c r="G9" s="25">
        <f t="shared" si="1"/>
        <v>2062</v>
      </c>
      <c r="H9" s="25">
        <f t="shared" si="1"/>
        <v>1950</v>
      </c>
      <c r="I9" s="25">
        <f t="shared" si="1"/>
        <v>1436</v>
      </c>
      <c r="J9" s="25">
        <f t="shared" si="1"/>
        <v>768</v>
      </c>
      <c r="K9" s="25">
        <f t="shared" si="1"/>
        <v>1031</v>
      </c>
      <c r="L9" s="25">
        <f t="shared" si="1"/>
        <v>1151</v>
      </c>
      <c r="M9" s="25">
        <f t="shared" si="1"/>
        <v>1236</v>
      </c>
      <c r="N9" s="25">
        <f t="shared" si="1"/>
        <v>1095</v>
      </c>
      <c r="O9" s="25">
        <f t="shared" si="1"/>
        <v>1168</v>
      </c>
      <c r="P9" s="25">
        <f t="shared" si="1"/>
        <v>1076</v>
      </c>
      <c r="Q9" s="25">
        <f t="shared" si="1"/>
        <v>850</v>
      </c>
      <c r="R9" s="25">
        <f t="shared" si="1"/>
        <v>452</v>
      </c>
      <c r="S9" s="25">
        <f t="shared" si="1"/>
        <v>1176</v>
      </c>
      <c r="T9" s="25">
        <f t="shared" si="1"/>
        <v>1053</v>
      </c>
      <c r="U9" s="25">
        <f t="shared" si="1"/>
        <v>971</v>
      </c>
      <c r="V9" s="25">
        <f t="shared" si="1"/>
        <v>994</v>
      </c>
      <c r="W9" s="25">
        <f t="shared" si="1"/>
        <v>743</v>
      </c>
      <c r="X9" s="25">
        <f t="shared" si="1"/>
        <v>658</v>
      </c>
      <c r="Y9" s="25">
        <f t="shared" si="1"/>
        <v>1013</v>
      </c>
      <c r="Z9" s="25">
        <f t="shared" si="1"/>
        <v>1051</v>
      </c>
      <c r="AA9" s="25">
        <f t="shared" si="1"/>
        <v>1043</v>
      </c>
      <c r="AB9" s="25">
        <f t="shared" si="1"/>
        <v>1160</v>
      </c>
      <c r="AC9" s="25">
        <f t="shared" si="1"/>
        <v>1076</v>
      </c>
      <c r="AD9" s="25">
        <f t="shared" si="1"/>
        <v>1163</v>
      </c>
      <c r="AE9" s="25">
        <f t="shared" si="1"/>
        <v>856</v>
      </c>
      <c r="AF9" s="25">
        <f t="shared" si="1"/>
        <v>1114</v>
      </c>
      <c r="AG9" s="25">
        <f t="shared" si="1"/>
        <v>1327</v>
      </c>
      <c r="AH9" s="26"/>
      <c r="AI9" s="27" t="str">
        <f t="shared" ref="AI9:AI12" si="2">AI13/AI22</f>
        <v>#DIV/0!</v>
      </c>
      <c r="AJ9" s="15"/>
    </row>
    <row r="10">
      <c r="B10" s="28" t="s">
        <v>22</v>
      </c>
      <c r="C10" s="29">
        <v>689.0</v>
      </c>
      <c r="D10" s="29">
        <v>684.0</v>
      </c>
      <c r="E10" s="29">
        <v>851.0</v>
      </c>
      <c r="F10" s="29">
        <v>716.0</v>
      </c>
      <c r="G10" s="29">
        <v>866.0</v>
      </c>
      <c r="H10" s="29">
        <v>826.0</v>
      </c>
      <c r="I10" s="29">
        <v>485.0</v>
      </c>
      <c r="J10" s="29">
        <v>550.0</v>
      </c>
      <c r="K10" s="29">
        <v>787.0</v>
      </c>
      <c r="L10" s="29">
        <v>787.0</v>
      </c>
      <c r="M10" s="29">
        <v>1076.0</v>
      </c>
      <c r="N10" s="29">
        <v>1051.0</v>
      </c>
      <c r="O10" s="29">
        <v>971.0</v>
      </c>
      <c r="P10" s="29">
        <v>899.0</v>
      </c>
      <c r="Q10" s="29">
        <v>721.0</v>
      </c>
      <c r="R10" s="29">
        <v>354.0</v>
      </c>
      <c r="S10" s="29">
        <v>978.0</v>
      </c>
      <c r="T10" s="29">
        <v>848.0</v>
      </c>
      <c r="U10" s="29">
        <v>779.0</v>
      </c>
      <c r="V10" s="29">
        <v>822.0</v>
      </c>
      <c r="W10" s="29">
        <v>580.0</v>
      </c>
      <c r="X10" s="29">
        <v>505.0</v>
      </c>
      <c r="Y10" s="29">
        <v>634.0</v>
      </c>
      <c r="Z10" s="29">
        <v>676.0</v>
      </c>
      <c r="AA10" s="29">
        <v>586.0</v>
      </c>
      <c r="AB10" s="29">
        <v>778.0</v>
      </c>
      <c r="AC10" s="29">
        <v>694.0</v>
      </c>
      <c r="AD10" s="29">
        <v>784.0</v>
      </c>
      <c r="AE10" s="29">
        <v>536.0</v>
      </c>
      <c r="AF10" s="29">
        <v>659.0</v>
      </c>
      <c r="AG10" s="29">
        <v>940.0</v>
      </c>
      <c r="AH10" s="30"/>
      <c r="AI10" s="31" t="str">
        <f t="shared" si="2"/>
        <v>#DIV/0!</v>
      </c>
    </row>
    <row r="11">
      <c r="B11" s="28" t="s">
        <v>23</v>
      </c>
      <c r="C11" s="29">
        <v>113.0</v>
      </c>
      <c r="D11" s="29">
        <v>169.0</v>
      </c>
      <c r="E11" s="29">
        <v>361.0</v>
      </c>
      <c r="F11" s="29">
        <v>208.0</v>
      </c>
      <c r="G11" s="29">
        <v>349.0</v>
      </c>
      <c r="H11" s="29">
        <v>277.0</v>
      </c>
      <c r="I11" s="29">
        <v>161.0</v>
      </c>
      <c r="J11" s="29">
        <v>26.0</v>
      </c>
      <c r="K11" s="29">
        <v>14.0</v>
      </c>
      <c r="L11" s="29">
        <v>14.0</v>
      </c>
      <c r="M11" s="29">
        <v>11.0</v>
      </c>
      <c r="N11" s="29">
        <v>13.0</v>
      </c>
      <c r="O11" s="29">
        <v>70.0</v>
      </c>
      <c r="P11" s="29">
        <v>53.0</v>
      </c>
      <c r="Q11" s="29">
        <v>34.0</v>
      </c>
      <c r="R11" s="29">
        <v>26.0</v>
      </c>
      <c r="S11" s="29">
        <v>80.0</v>
      </c>
      <c r="T11" s="29">
        <v>77.0</v>
      </c>
      <c r="U11" s="29">
        <v>76.0</v>
      </c>
      <c r="V11" s="29">
        <v>72.0</v>
      </c>
      <c r="W11" s="29">
        <v>53.0</v>
      </c>
      <c r="X11" s="29">
        <v>43.0</v>
      </c>
      <c r="Y11" s="29">
        <v>177.0</v>
      </c>
      <c r="Z11" s="29">
        <v>183.0</v>
      </c>
      <c r="AA11" s="29">
        <v>192.0</v>
      </c>
      <c r="AB11" s="29">
        <v>202.0</v>
      </c>
      <c r="AC11" s="29">
        <v>194.0</v>
      </c>
      <c r="AD11" s="29">
        <v>187.0</v>
      </c>
      <c r="AE11" s="29">
        <v>153.0</v>
      </c>
      <c r="AF11" s="29">
        <v>192.0</v>
      </c>
      <c r="AG11" s="29">
        <v>171.0</v>
      </c>
      <c r="AH11" s="32"/>
      <c r="AI11" s="33" t="str">
        <f t="shared" si="2"/>
        <v>#DIV/0!</v>
      </c>
    </row>
    <row r="12">
      <c r="B12" s="28" t="s">
        <v>24</v>
      </c>
      <c r="C12" s="29">
        <v>757.0</v>
      </c>
      <c r="D12" s="29">
        <v>744.0</v>
      </c>
      <c r="E12" s="29">
        <v>985.0</v>
      </c>
      <c r="F12" s="29">
        <v>806.0</v>
      </c>
      <c r="G12" s="29">
        <v>847.0</v>
      </c>
      <c r="H12" s="29">
        <v>847.0</v>
      </c>
      <c r="I12" s="29">
        <v>790.0</v>
      </c>
      <c r="J12" s="29">
        <v>192.0</v>
      </c>
      <c r="K12" s="29">
        <v>230.0</v>
      </c>
      <c r="L12" s="29">
        <v>350.0</v>
      </c>
      <c r="M12" s="29">
        <v>149.0</v>
      </c>
      <c r="N12" s="29">
        <v>31.0</v>
      </c>
      <c r="O12" s="29">
        <v>127.0</v>
      </c>
      <c r="P12" s="29">
        <v>124.0</v>
      </c>
      <c r="Q12" s="29">
        <v>95.0</v>
      </c>
      <c r="R12" s="29">
        <v>72.0</v>
      </c>
      <c r="S12" s="29">
        <v>118.0</v>
      </c>
      <c r="T12" s="29">
        <v>128.0</v>
      </c>
      <c r="U12" s="29">
        <v>116.0</v>
      </c>
      <c r="V12" s="29">
        <v>100.0</v>
      </c>
      <c r="W12" s="29">
        <v>110.0</v>
      </c>
      <c r="X12" s="29">
        <v>110.0</v>
      </c>
      <c r="Y12" s="29">
        <v>202.0</v>
      </c>
      <c r="Z12" s="29">
        <v>192.0</v>
      </c>
      <c r="AA12" s="29">
        <v>265.0</v>
      </c>
      <c r="AB12" s="29">
        <v>180.0</v>
      </c>
      <c r="AC12" s="29">
        <v>188.0</v>
      </c>
      <c r="AD12" s="29">
        <v>192.0</v>
      </c>
      <c r="AE12" s="29">
        <v>167.0</v>
      </c>
      <c r="AF12" s="29">
        <v>263.0</v>
      </c>
      <c r="AG12" s="29">
        <v>216.0</v>
      </c>
      <c r="AH12" s="32"/>
      <c r="AI12" s="33" t="str">
        <f t="shared" si="2"/>
        <v>#DIV/0!</v>
      </c>
      <c r="AJ12" s="15"/>
    </row>
    <row r="13">
      <c r="B13" s="24" t="s">
        <v>25</v>
      </c>
      <c r="C13" s="25">
        <f t="shared" ref="C13:AG13" si="3">SUM(C14:C16)+C17</f>
        <v>81</v>
      </c>
      <c r="D13" s="25">
        <f t="shared" si="3"/>
        <v>101</v>
      </c>
      <c r="E13" s="25">
        <f t="shared" si="3"/>
        <v>69</v>
      </c>
      <c r="F13" s="25">
        <f t="shared" si="3"/>
        <v>71</v>
      </c>
      <c r="G13" s="25">
        <f t="shared" si="3"/>
        <v>105</v>
      </c>
      <c r="H13" s="25">
        <f t="shared" si="3"/>
        <v>76</v>
      </c>
      <c r="I13" s="25">
        <f t="shared" si="3"/>
        <v>66</v>
      </c>
      <c r="J13" s="25">
        <f t="shared" si="3"/>
        <v>45</v>
      </c>
      <c r="K13" s="25">
        <f t="shared" si="3"/>
        <v>51</v>
      </c>
      <c r="L13" s="25">
        <f t="shared" si="3"/>
        <v>76</v>
      </c>
      <c r="M13" s="25">
        <f t="shared" si="3"/>
        <v>71</v>
      </c>
      <c r="N13" s="25">
        <f t="shared" si="3"/>
        <v>87</v>
      </c>
      <c r="O13" s="25">
        <f t="shared" si="3"/>
        <v>49</v>
      </c>
      <c r="P13" s="25">
        <f t="shared" si="3"/>
        <v>44</v>
      </c>
      <c r="Q13" s="25">
        <f t="shared" si="3"/>
        <v>30</v>
      </c>
      <c r="R13" s="25">
        <f t="shared" si="3"/>
        <v>19</v>
      </c>
      <c r="S13" s="25">
        <f t="shared" si="3"/>
        <v>93</v>
      </c>
      <c r="T13" s="25">
        <f t="shared" si="3"/>
        <v>73</v>
      </c>
      <c r="U13" s="25">
        <f t="shared" si="3"/>
        <v>62</v>
      </c>
      <c r="V13" s="25">
        <f t="shared" si="3"/>
        <v>104</v>
      </c>
      <c r="W13" s="25">
        <f t="shared" si="3"/>
        <v>61</v>
      </c>
      <c r="X13" s="25">
        <f t="shared" si="3"/>
        <v>38</v>
      </c>
      <c r="Y13" s="25">
        <f t="shared" si="3"/>
        <v>64</v>
      </c>
      <c r="Z13" s="25">
        <f t="shared" si="3"/>
        <v>55</v>
      </c>
      <c r="AA13" s="25">
        <f t="shared" si="3"/>
        <v>53</v>
      </c>
      <c r="AB13" s="25">
        <f t="shared" si="3"/>
        <v>45</v>
      </c>
      <c r="AC13" s="25">
        <f t="shared" si="3"/>
        <v>55</v>
      </c>
      <c r="AD13" s="25">
        <f t="shared" si="3"/>
        <v>37</v>
      </c>
      <c r="AE13" s="25">
        <f t="shared" si="3"/>
        <v>45</v>
      </c>
      <c r="AF13" s="25">
        <f t="shared" si="3"/>
        <v>49</v>
      </c>
      <c r="AG13" s="25">
        <f t="shared" si="3"/>
        <v>50</v>
      </c>
      <c r="AH13" s="34"/>
      <c r="AI13" s="35">
        <v>2500.0</v>
      </c>
    </row>
    <row r="14">
      <c r="B14" s="28" t="s">
        <v>26</v>
      </c>
      <c r="C14" s="29">
        <v>30.0</v>
      </c>
      <c r="D14" s="29">
        <v>46.0</v>
      </c>
      <c r="E14" s="29">
        <v>34.0</v>
      </c>
      <c r="F14" s="29">
        <v>31.0</v>
      </c>
      <c r="G14" s="29">
        <v>30.0</v>
      </c>
      <c r="H14" s="29">
        <v>22.0</v>
      </c>
      <c r="I14" s="29">
        <v>20.0</v>
      </c>
      <c r="J14" s="29">
        <v>15.0</v>
      </c>
      <c r="K14" s="29">
        <v>12.0</v>
      </c>
      <c r="L14" s="29">
        <v>32.0</v>
      </c>
      <c r="M14" s="29">
        <v>15.0</v>
      </c>
      <c r="N14" s="29">
        <v>20.0</v>
      </c>
      <c r="O14" s="29">
        <v>12.0</v>
      </c>
      <c r="P14" s="36">
        <v>3.0</v>
      </c>
      <c r="Q14" s="36">
        <v>3.0</v>
      </c>
      <c r="R14" s="36">
        <v>0.0</v>
      </c>
      <c r="S14" s="36">
        <v>20.0</v>
      </c>
      <c r="T14" s="36">
        <v>20.0</v>
      </c>
      <c r="U14" s="36">
        <v>9.0</v>
      </c>
      <c r="V14" s="36">
        <v>13.0</v>
      </c>
      <c r="W14" s="36">
        <v>7.0</v>
      </c>
      <c r="X14" s="36">
        <v>4.0</v>
      </c>
      <c r="Y14" s="36">
        <v>8.0</v>
      </c>
      <c r="Z14" s="36">
        <v>7.0</v>
      </c>
      <c r="AA14" s="36">
        <v>8.0</v>
      </c>
      <c r="AB14" s="36">
        <v>6.0</v>
      </c>
      <c r="AC14" s="36">
        <v>7.0</v>
      </c>
      <c r="AD14" s="36">
        <v>4.0</v>
      </c>
      <c r="AE14" s="36">
        <v>2.0</v>
      </c>
      <c r="AF14" s="36">
        <v>2.0</v>
      </c>
      <c r="AG14" s="36">
        <v>7.0</v>
      </c>
      <c r="AH14" s="30"/>
      <c r="AI14" s="37">
        <v>833.0</v>
      </c>
    </row>
    <row r="15">
      <c r="B15" s="28" t="s">
        <v>27</v>
      </c>
      <c r="C15" s="29">
        <v>21.0</v>
      </c>
      <c r="D15" s="29">
        <v>5.0</v>
      </c>
      <c r="E15" s="29">
        <v>17.0</v>
      </c>
      <c r="F15" s="29">
        <v>20.0</v>
      </c>
      <c r="G15" s="29">
        <v>37.0</v>
      </c>
      <c r="H15" s="29">
        <v>30.0</v>
      </c>
      <c r="I15" s="29">
        <v>23.0</v>
      </c>
      <c r="J15" s="29">
        <v>22.0</v>
      </c>
      <c r="K15" s="29">
        <v>25.0</v>
      </c>
      <c r="L15" s="29">
        <v>27.0</v>
      </c>
      <c r="M15" s="29">
        <v>39.0</v>
      </c>
      <c r="N15" s="29">
        <v>38.0</v>
      </c>
      <c r="O15" s="29">
        <v>23.0</v>
      </c>
      <c r="P15" s="29">
        <v>32.0</v>
      </c>
      <c r="Q15" s="29">
        <v>22.0</v>
      </c>
      <c r="R15" s="29">
        <v>18.0</v>
      </c>
      <c r="S15" s="29">
        <v>39.0</v>
      </c>
      <c r="T15" s="29">
        <v>27.0</v>
      </c>
      <c r="U15" s="29">
        <v>30.0</v>
      </c>
      <c r="V15" s="29">
        <v>50.0</v>
      </c>
      <c r="W15" s="29">
        <v>21.0</v>
      </c>
      <c r="X15" s="29">
        <v>12.0</v>
      </c>
      <c r="Y15" s="29">
        <v>25.0</v>
      </c>
      <c r="Z15" s="29">
        <v>26.0</v>
      </c>
      <c r="AA15" s="29">
        <v>29.0</v>
      </c>
      <c r="AB15" s="29">
        <v>23.0</v>
      </c>
      <c r="AC15" s="29">
        <v>25.0</v>
      </c>
      <c r="AD15" s="29">
        <v>17.0</v>
      </c>
      <c r="AE15" s="29">
        <v>13.0</v>
      </c>
      <c r="AF15" s="29">
        <v>14.0</v>
      </c>
      <c r="AG15" s="29">
        <v>20.0</v>
      </c>
      <c r="AH15" s="32"/>
      <c r="AI15" s="37">
        <v>833.0</v>
      </c>
      <c r="AJ15" s="15"/>
    </row>
    <row r="16">
      <c r="B16" s="28" t="s">
        <v>28</v>
      </c>
      <c r="C16" s="29">
        <v>22.0</v>
      </c>
      <c r="D16" s="29">
        <v>4.0</v>
      </c>
      <c r="E16" s="29">
        <v>6.0</v>
      </c>
      <c r="F16" s="29">
        <v>11.0</v>
      </c>
      <c r="G16" s="29">
        <v>19.0</v>
      </c>
      <c r="H16" s="29">
        <v>13.0</v>
      </c>
      <c r="I16" s="29">
        <v>14.0</v>
      </c>
      <c r="J16" s="29">
        <v>4.0</v>
      </c>
      <c r="K16" s="29">
        <v>2.0</v>
      </c>
      <c r="L16" s="29">
        <v>2.0</v>
      </c>
      <c r="M16" s="29">
        <v>2.0</v>
      </c>
      <c r="N16" s="29">
        <v>9.0</v>
      </c>
      <c r="O16" s="29">
        <v>2.0</v>
      </c>
      <c r="P16" s="29">
        <v>6.0</v>
      </c>
      <c r="Q16" s="29">
        <v>2.0</v>
      </c>
      <c r="R16" s="29">
        <v>1.0</v>
      </c>
      <c r="S16" s="29">
        <v>3.0</v>
      </c>
      <c r="T16" s="29">
        <v>3.0</v>
      </c>
      <c r="U16" s="29">
        <v>2.0</v>
      </c>
      <c r="V16" s="29">
        <v>6.0</v>
      </c>
      <c r="W16" s="29">
        <v>4.0</v>
      </c>
      <c r="X16" s="29">
        <v>7.0</v>
      </c>
      <c r="Y16" s="29">
        <v>2.0</v>
      </c>
      <c r="Z16" s="29">
        <v>1.0</v>
      </c>
      <c r="AA16" s="29">
        <v>4.0</v>
      </c>
      <c r="AB16" s="29">
        <v>2.0</v>
      </c>
      <c r="AC16" s="29">
        <v>8.0</v>
      </c>
      <c r="AD16" s="29">
        <v>4.0</v>
      </c>
      <c r="AE16" s="29">
        <v>10.0</v>
      </c>
      <c r="AF16" s="29">
        <v>11.0</v>
      </c>
      <c r="AG16" s="29">
        <v>4.0</v>
      </c>
      <c r="AH16" s="32"/>
      <c r="AI16" s="37">
        <v>833.0</v>
      </c>
    </row>
    <row r="17">
      <c r="B17" s="38" t="s">
        <v>29</v>
      </c>
      <c r="C17" s="39">
        <v>8.0</v>
      </c>
      <c r="D17" s="39">
        <v>46.0</v>
      </c>
      <c r="E17" s="39">
        <v>12.0</v>
      </c>
      <c r="F17" s="39">
        <v>9.0</v>
      </c>
      <c r="G17" s="39">
        <v>19.0</v>
      </c>
      <c r="H17" s="39">
        <v>11.0</v>
      </c>
      <c r="I17" s="39">
        <v>9.0</v>
      </c>
      <c r="J17" s="39">
        <v>4.0</v>
      </c>
      <c r="K17" s="39">
        <v>12.0</v>
      </c>
      <c r="L17" s="39">
        <v>15.0</v>
      </c>
      <c r="M17" s="39">
        <v>15.0</v>
      </c>
      <c r="N17" s="39">
        <v>20.0</v>
      </c>
      <c r="O17" s="39">
        <v>12.0</v>
      </c>
      <c r="P17" s="40">
        <v>3.0</v>
      </c>
      <c r="Q17" s="40">
        <v>3.0</v>
      </c>
      <c r="R17" s="40">
        <v>0.0</v>
      </c>
      <c r="S17" s="40">
        <v>31.0</v>
      </c>
      <c r="T17" s="40">
        <v>23.0</v>
      </c>
      <c r="U17" s="40">
        <v>21.0</v>
      </c>
      <c r="V17" s="40">
        <v>35.0</v>
      </c>
      <c r="W17" s="40">
        <v>29.0</v>
      </c>
      <c r="X17" s="40">
        <v>15.0</v>
      </c>
      <c r="Y17" s="40">
        <v>29.0</v>
      </c>
      <c r="Z17" s="40">
        <v>21.0</v>
      </c>
      <c r="AA17" s="40">
        <v>12.0</v>
      </c>
      <c r="AB17" s="40">
        <v>14.0</v>
      </c>
      <c r="AC17" s="40">
        <v>15.0</v>
      </c>
      <c r="AD17" s="40">
        <v>12.0</v>
      </c>
      <c r="AE17" s="40">
        <v>20.0</v>
      </c>
      <c r="AF17" s="40">
        <v>22.0</v>
      </c>
      <c r="AG17" s="40">
        <v>19.0</v>
      </c>
      <c r="AH17" s="41"/>
      <c r="AI17" s="42"/>
    </row>
    <row r="18">
      <c r="AJ18" s="15"/>
    </row>
    <row r="19"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  <row r="21">
      <c r="B21" s="10" t="s">
        <v>30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J21" s="15"/>
    </row>
    <row r="22">
      <c r="B22" s="10" t="s">
        <v>31</v>
      </c>
      <c r="AH22" s="13"/>
      <c r="AI22" s="13"/>
    </row>
    <row r="23">
      <c r="AH23" s="13"/>
      <c r="AI23" s="13"/>
    </row>
    <row r="24">
      <c r="B24" s="10" t="s">
        <v>32</v>
      </c>
      <c r="AH24" s="13"/>
      <c r="AI24" s="13"/>
      <c r="AJ24" s="15"/>
    </row>
    <row r="25">
      <c r="B25" s="10" t="s">
        <v>33</v>
      </c>
      <c r="AH25" s="13"/>
      <c r="AI25" s="13"/>
    </row>
    <row r="26">
      <c r="AH26" s="13"/>
      <c r="AI26" s="13"/>
    </row>
    <row r="27">
      <c r="AH27" s="13"/>
      <c r="AI27" s="13"/>
      <c r="AJ27" s="15"/>
    </row>
    <row r="28">
      <c r="AH28" s="13"/>
      <c r="AI28" s="13"/>
    </row>
    <row r="29">
      <c r="AH29" s="13"/>
      <c r="AI29" s="13"/>
    </row>
    <row r="30">
      <c r="AH30" s="13"/>
      <c r="AI30" s="13"/>
      <c r="AJ30" s="15"/>
    </row>
    <row r="31">
      <c r="AH31" s="13"/>
      <c r="AI31" s="13"/>
    </row>
    <row r="32">
      <c r="AH32" s="13"/>
      <c r="AI32" s="13"/>
    </row>
    <row r="33">
      <c r="AH33" s="13"/>
      <c r="AI33" s="13"/>
      <c r="AJ33" s="15"/>
    </row>
    <row r="34">
      <c r="AH34" s="13"/>
      <c r="AI34" s="13"/>
    </row>
    <row r="3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</sheetData>
  <mergeCells count="15">
    <mergeCell ref="AJ12:AJ14"/>
    <mergeCell ref="AJ15:AJ17"/>
    <mergeCell ref="AJ18:AJ20"/>
    <mergeCell ref="AJ21:AJ23"/>
    <mergeCell ref="AJ24:AJ26"/>
    <mergeCell ref="AJ27:AJ29"/>
    <mergeCell ref="AJ30:AJ32"/>
    <mergeCell ref="AJ33:AJ35"/>
    <mergeCell ref="B5:B7"/>
    <mergeCell ref="C5:AG5"/>
    <mergeCell ref="AH5:AH7"/>
    <mergeCell ref="AI5:AI7"/>
    <mergeCell ref="AJ5:AJ7"/>
    <mergeCell ref="B8:AJ8"/>
    <mergeCell ref="AJ9:AJ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18.25"/>
    <col customWidth="1" min="6" max="6" width="25.63"/>
  </cols>
  <sheetData>
    <row r="1">
      <c r="B1" s="1" t="s">
        <v>34</v>
      </c>
    </row>
    <row r="3">
      <c r="B3" s="10" t="s">
        <v>35</v>
      </c>
    </row>
    <row r="4">
      <c r="B4" s="10" t="s">
        <v>36</v>
      </c>
    </row>
    <row r="5">
      <c r="B5" s="10" t="s">
        <v>37</v>
      </c>
    </row>
    <row r="6">
      <c r="B6" s="10" t="s">
        <v>38</v>
      </c>
    </row>
    <row r="7">
      <c r="B7" s="10" t="s">
        <v>39</v>
      </c>
    </row>
    <row r="10">
      <c r="B10" s="44" t="s">
        <v>40</v>
      </c>
      <c r="C10" s="44" t="s">
        <v>41</v>
      </c>
      <c r="D10" s="44" t="s">
        <v>42</v>
      </c>
      <c r="E10" s="44" t="s">
        <v>43</v>
      </c>
      <c r="F10" s="44" t="s">
        <v>44</v>
      </c>
    </row>
    <row r="11">
      <c r="B11" s="45">
        <v>42917.0</v>
      </c>
      <c r="C11" s="46">
        <v>5331.0</v>
      </c>
      <c r="D11" s="46">
        <v>17559.0</v>
      </c>
      <c r="E11" s="46">
        <v>11833.0</v>
      </c>
      <c r="F11" s="46">
        <v>504270.0</v>
      </c>
    </row>
    <row r="12">
      <c r="B12" s="45">
        <v>42918.0</v>
      </c>
      <c r="C12" s="46">
        <v>5825.0</v>
      </c>
      <c r="D12" s="46">
        <v>15155.0</v>
      </c>
      <c r="E12" s="46">
        <v>10419.0</v>
      </c>
      <c r="F12" s="46">
        <v>149954.0</v>
      </c>
    </row>
    <row r="13">
      <c r="B13" s="45">
        <v>42919.0</v>
      </c>
      <c r="C13" s="46">
        <v>17537.0</v>
      </c>
      <c r="D13" s="46">
        <v>23675.0</v>
      </c>
      <c r="E13" s="46">
        <v>17562.0</v>
      </c>
      <c r="F13" s="46">
        <v>570795.0</v>
      </c>
    </row>
    <row r="14">
      <c r="B14" s="45">
        <v>42920.0</v>
      </c>
      <c r="C14" s="46">
        <v>7859.0</v>
      </c>
      <c r="D14" s="46">
        <v>14252.0</v>
      </c>
      <c r="E14" s="46">
        <v>14454.0</v>
      </c>
      <c r="F14" s="46">
        <v>620925.0</v>
      </c>
    </row>
    <row r="15">
      <c r="B15" s="45">
        <v>42921.0</v>
      </c>
      <c r="C15" s="46">
        <v>16464.0</v>
      </c>
      <c r="D15" s="46">
        <v>20033.0</v>
      </c>
      <c r="E15" s="46">
        <v>16371.0</v>
      </c>
      <c r="F15" s="46">
        <v>416134.5</v>
      </c>
    </row>
    <row r="16">
      <c r="B16" s="45">
        <v>42922.0</v>
      </c>
      <c r="C16" s="46">
        <v>15559.0</v>
      </c>
      <c r="D16" s="46">
        <v>21742.0</v>
      </c>
      <c r="E16" s="46">
        <v>16463.0</v>
      </c>
      <c r="F16" s="46">
        <v>357450.0</v>
      </c>
    </row>
    <row r="17">
      <c r="B17" s="45">
        <v>42923.0</v>
      </c>
      <c r="C17" s="46">
        <v>7703.0</v>
      </c>
      <c r="D17" s="46">
        <v>11839.0</v>
      </c>
      <c r="E17" s="46">
        <v>15579.0</v>
      </c>
      <c r="F17" s="46">
        <v>479340.0</v>
      </c>
    </row>
    <row r="18">
      <c r="B18" s="45">
        <v>42924.0</v>
      </c>
      <c r="C18" s="46">
        <v>1210.0</v>
      </c>
      <c r="D18" s="46">
        <v>15853.0</v>
      </c>
      <c r="E18" s="46">
        <v>14238.0</v>
      </c>
      <c r="F18" s="46">
        <v>181935.0</v>
      </c>
    </row>
    <row r="19">
      <c r="B19" s="45">
        <v>42925.0</v>
      </c>
      <c r="C19" s="46">
        <v>134.0</v>
      </c>
      <c r="D19" s="46">
        <v>21243.0</v>
      </c>
      <c r="E19" s="46">
        <v>6270.0</v>
      </c>
      <c r="F19" s="46">
        <v>505125.0</v>
      </c>
    </row>
    <row r="20">
      <c r="B20" s="45">
        <v>42926.0</v>
      </c>
      <c r="C20" s="46">
        <v>1241.0</v>
      </c>
      <c r="D20" s="46">
        <v>25548.0</v>
      </c>
      <c r="E20" s="46">
        <v>6445.0</v>
      </c>
      <c r="F20" s="46">
        <v>605820.0</v>
      </c>
    </row>
    <row r="21">
      <c r="B21" s="45">
        <v>42927.0</v>
      </c>
      <c r="C21" s="46">
        <v>3866.0</v>
      </c>
      <c r="D21" s="46">
        <v>18900.0</v>
      </c>
      <c r="E21" s="46">
        <v>3208.0</v>
      </c>
      <c r="F21" s="46">
        <v>431010.0</v>
      </c>
    </row>
    <row r="22">
      <c r="B22" s="45">
        <v>42928.0</v>
      </c>
      <c r="C22" s="46">
        <v>3654.0</v>
      </c>
      <c r="D22" s="46">
        <v>33899.0</v>
      </c>
      <c r="E22" s="46">
        <v>3038.0</v>
      </c>
      <c r="F22" s="46">
        <v>366337.5</v>
      </c>
    </row>
    <row r="23">
      <c r="B23" s="45">
        <v>42929.0</v>
      </c>
      <c r="C23" s="46">
        <v>2765.0</v>
      </c>
      <c r="D23" s="46">
        <v>26096.0</v>
      </c>
      <c r="E23" s="46">
        <v>6327.0</v>
      </c>
      <c r="F23" s="46">
        <v>43425.0</v>
      </c>
    </row>
    <row r="24">
      <c r="B24" s="45">
        <v>42930.0</v>
      </c>
      <c r="C24" s="46">
        <v>2507.0</v>
      </c>
      <c r="D24" s="46">
        <v>26808.0</v>
      </c>
      <c r="E24" s="46">
        <v>786.0</v>
      </c>
      <c r="F24" s="46">
        <v>540217.5</v>
      </c>
    </row>
    <row r="25">
      <c r="B25" s="45">
        <v>42931.0</v>
      </c>
      <c r="C25" s="46">
        <v>1350.0</v>
      </c>
      <c r="D25" s="46">
        <v>20008.0</v>
      </c>
      <c r="E25" s="46">
        <v>603.0</v>
      </c>
      <c r="F25" s="46">
        <v>249664.5</v>
      </c>
    </row>
    <row r="26">
      <c r="B26" s="45">
        <v>42932.0</v>
      </c>
      <c r="C26" s="46">
        <v>781.0</v>
      </c>
      <c r="D26" s="46">
        <v>8947.0</v>
      </c>
      <c r="E26" s="46">
        <v>2303.0</v>
      </c>
      <c r="F26" s="46">
        <v>364609.5</v>
      </c>
    </row>
    <row r="27">
      <c r="B27" s="45">
        <v>42933.0</v>
      </c>
      <c r="C27" s="46">
        <v>3738.0</v>
      </c>
      <c r="D27" s="46">
        <v>32786.0</v>
      </c>
      <c r="E27" s="46">
        <v>2732.0</v>
      </c>
      <c r="F27" s="46">
        <v>268890.0</v>
      </c>
    </row>
    <row r="28">
      <c r="B28" s="45">
        <v>42934.0</v>
      </c>
      <c r="C28" s="46">
        <v>5520.0</v>
      </c>
      <c r="D28" s="46">
        <v>28830.0</v>
      </c>
      <c r="E28" s="46">
        <v>4710.0</v>
      </c>
      <c r="F28" s="46">
        <v>499680.0</v>
      </c>
    </row>
    <row r="29">
      <c r="B29" s="45">
        <v>42935.0</v>
      </c>
      <c r="C29" s="46">
        <v>4105.0</v>
      </c>
      <c r="D29" s="46">
        <v>27237.0</v>
      </c>
      <c r="E29" s="46">
        <v>2753.0</v>
      </c>
      <c r="F29" s="46">
        <v>0.0</v>
      </c>
    </row>
    <row r="30">
      <c r="B30" s="45">
        <v>42936.0</v>
      </c>
      <c r="C30" s="46">
        <v>4391.0</v>
      </c>
      <c r="D30" s="46">
        <v>28057.0</v>
      </c>
      <c r="E30" s="46">
        <v>4442.0</v>
      </c>
      <c r="F30" s="46">
        <v>634708.5</v>
      </c>
    </row>
    <row r="31">
      <c r="B31" s="45">
        <v>42937.0</v>
      </c>
      <c r="C31" s="46">
        <v>3216.0</v>
      </c>
      <c r="D31" s="46">
        <v>18919.0</v>
      </c>
      <c r="E31" s="46">
        <v>2634.0</v>
      </c>
      <c r="F31" s="46">
        <v>603900.0</v>
      </c>
    </row>
    <row r="32">
      <c r="B32" s="45">
        <v>42938.0</v>
      </c>
      <c r="C32" s="46">
        <v>2308.0</v>
      </c>
      <c r="D32" s="46">
        <v>16376.0</v>
      </c>
      <c r="E32" s="46">
        <v>814.0</v>
      </c>
      <c r="F32" s="46">
        <v>656025.0</v>
      </c>
    </row>
    <row r="33">
      <c r="B33" s="45">
        <v>42939.0</v>
      </c>
      <c r="C33" s="46">
        <v>12533.0</v>
      </c>
      <c r="D33" s="46">
        <v>20008.0</v>
      </c>
      <c r="E33" s="46">
        <v>3369.0</v>
      </c>
      <c r="F33" s="46">
        <v>156930.0</v>
      </c>
    </row>
    <row r="34">
      <c r="B34" s="45">
        <v>42940.0</v>
      </c>
      <c r="C34" s="46">
        <v>17242.0</v>
      </c>
      <c r="D34" s="46">
        <v>18379.0</v>
      </c>
      <c r="E34" s="46">
        <v>5130.0</v>
      </c>
      <c r="F34" s="46">
        <v>175455.0</v>
      </c>
    </row>
    <row r="35">
      <c r="B35" s="45">
        <v>42941.0</v>
      </c>
      <c r="C35" s="46">
        <v>20585.0</v>
      </c>
      <c r="D35" s="46">
        <v>16509.0</v>
      </c>
      <c r="E35" s="46">
        <v>1920.0</v>
      </c>
      <c r="F35" s="46">
        <v>120150.0</v>
      </c>
    </row>
    <row r="36">
      <c r="B36" s="45">
        <v>42942.0</v>
      </c>
      <c r="C36" s="46">
        <v>23941.0</v>
      </c>
      <c r="D36" s="46">
        <v>27190.0</v>
      </c>
      <c r="E36" s="46">
        <v>3162.0</v>
      </c>
      <c r="F36" s="47">
        <v>0.0</v>
      </c>
    </row>
    <row r="37">
      <c r="B37" s="45">
        <v>42943.0</v>
      </c>
      <c r="C37" s="46">
        <v>16778.0</v>
      </c>
      <c r="D37" s="46">
        <v>22847.0</v>
      </c>
      <c r="E37" s="46">
        <v>5147.0</v>
      </c>
      <c r="F37" s="46">
        <v>212130.0</v>
      </c>
    </row>
    <row r="38">
      <c r="B38" s="45">
        <v>42944.0</v>
      </c>
      <c r="C38" s="46">
        <v>17780.0</v>
      </c>
      <c r="D38" s="46">
        <v>25600.0</v>
      </c>
      <c r="E38" s="46">
        <v>5106.0</v>
      </c>
      <c r="F38" s="46">
        <v>1745580.0</v>
      </c>
    </row>
    <row r="39">
      <c r="B39" s="45">
        <v>42945.0</v>
      </c>
      <c r="C39" s="46">
        <v>13799.0</v>
      </c>
      <c r="D39" s="46">
        <v>14808.0</v>
      </c>
      <c r="E39" s="46">
        <v>5012.0</v>
      </c>
      <c r="F39" s="46">
        <v>489615.0</v>
      </c>
    </row>
    <row r="40">
      <c r="B40" s="45">
        <v>42946.0</v>
      </c>
      <c r="C40" s="46">
        <v>20641.0</v>
      </c>
      <c r="D40" s="46">
        <v>18905.0</v>
      </c>
      <c r="E40" s="46">
        <v>39004.0</v>
      </c>
      <c r="F40" s="46">
        <v>648615.0</v>
      </c>
    </row>
    <row r="41">
      <c r="B41" s="45">
        <v>42947.0</v>
      </c>
      <c r="C41" s="46">
        <v>10279.0</v>
      </c>
      <c r="D41" s="46">
        <v>28298.0</v>
      </c>
      <c r="E41" s="46">
        <v>1678.0</v>
      </c>
      <c r="F41" s="4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9.5"/>
    <col customWidth="1" min="3" max="33" width="7.13"/>
  </cols>
  <sheetData>
    <row r="1">
      <c r="B1" s="1" t="s">
        <v>45</v>
      </c>
    </row>
    <row r="3">
      <c r="B3" s="48" t="s">
        <v>46</v>
      </c>
      <c r="C3" s="49" t="s">
        <v>13</v>
      </c>
      <c r="D3" s="49" t="s">
        <v>14</v>
      </c>
      <c r="E3" s="50" t="s">
        <v>15</v>
      </c>
      <c r="F3" s="50" t="s">
        <v>16</v>
      </c>
      <c r="G3" s="50" t="s">
        <v>17</v>
      </c>
      <c r="H3" s="50" t="s">
        <v>18</v>
      </c>
      <c r="I3" s="50" t="s">
        <v>19</v>
      </c>
      <c r="J3" s="49" t="s">
        <v>13</v>
      </c>
      <c r="K3" s="49" t="s">
        <v>14</v>
      </c>
      <c r="L3" s="51" t="s">
        <v>15</v>
      </c>
      <c r="M3" s="51" t="s">
        <v>16</v>
      </c>
      <c r="N3" s="51" t="s">
        <v>17</v>
      </c>
      <c r="O3" s="51" t="s">
        <v>18</v>
      </c>
      <c r="P3" s="51" t="s">
        <v>19</v>
      </c>
      <c r="Q3" s="52" t="s">
        <v>13</v>
      </c>
      <c r="R3" s="52" t="s">
        <v>14</v>
      </c>
      <c r="S3" s="51" t="s">
        <v>15</v>
      </c>
      <c r="T3" s="51" t="s">
        <v>16</v>
      </c>
      <c r="U3" s="51" t="s">
        <v>17</v>
      </c>
      <c r="V3" s="51" t="s">
        <v>18</v>
      </c>
      <c r="W3" s="51" t="s">
        <v>19</v>
      </c>
      <c r="X3" s="52" t="s">
        <v>13</v>
      </c>
      <c r="Y3" s="52" t="s">
        <v>14</v>
      </c>
      <c r="Z3" s="51" t="s">
        <v>15</v>
      </c>
      <c r="AA3" s="51" t="s">
        <v>16</v>
      </c>
      <c r="AB3" s="51" t="s">
        <v>17</v>
      </c>
      <c r="AC3" s="51" t="s">
        <v>18</v>
      </c>
      <c r="AD3" s="51" t="s">
        <v>19</v>
      </c>
      <c r="AE3" s="52" t="s">
        <v>13</v>
      </c>
      <c r="AF3" s="52" t="s">
        <v>14</v>
      </c>
      <c r="AG3" s="53" t="s">
        <v>15</v>
      </c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 t="s">
        <v>47</v>
      </c>
      <c r="AV3" s="56"/>
      <c r="AW3" s="56"/>
      <c r="AX3" s="56"/>
      <c r="AY3" s="56"/>
      <c r="AZ3" s="56"/>
      <c r="BA3" s="56"/>
      <c r="BB3" s="56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5" t="s">
        <v>48</v>
      </c>
      <c r="BR3" s="56"/>
      <c r="BS3" s="56"/>
      <c r="BT3" s="56"/>
      <c r="BU3" s="56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</row>
    <row r="4">
      <c r="B4" s="57"/>
      <c r="C4" s="58">
        <v>45839.0</v>
      </c>
      <c r="D4" s="58">
        <v>45840.0</v>
      </c>
      <c r="E4" s="59">
        <v>45841.0</v>
      </c>
      <c r="F4" s="59">
        <v>45842.0</v>
      </c>
      <c r="G4" s="59">
        <v>45843.0</v>
      </c>
      <c r="H4" s="59">
        <v>45844.0</v>
      </c>
      <c r="I4" s="59">
        <v>45845.0</v>
      </c>
      <c r="J4" s="58">
        <v>45846.0</v>
      </c>
      <c r="K4" s="58">
        <v>45847.0</v>
      </c>
      <c r="L4" s="60">
        <v>45848.0</v>
      </c>
      <c r="M4" s="60">
        <v>45849.0</v>
      </c>
      <c r="N4" s="60">
        <v>45850.0</v>
      </c>
      <c r="O4" s="60">
        <v>45851.0</v>
      </c>
      <c r="P4" s="60">
        <v>45852.0</v>
      </c>
      <c r="Q4" s="61">
        <v>45853.0</v>
      </c>
      <c r="R4" s="61">
        <v>45854.0</v>
      </c>
      <c r="S4" s="60">
        <v>45855.0</v>
      </c>
      <c r="T4" s="60">
        <v>45856.0</v>
      </c>
      <c r="U4" s="60">
        <v>45857.0</v>
      </c>
      <c r="V4" s="60">
        <v>45858.0</v>
      </c>
      <c r="W4" s="60">
        <v>45859.0</v>
      </c>
      <c r="X4" s="61">
        <v>45860.0</v>
      </c>
      <c r="Y4" s="61">
        <v>45861.0</v>
      </c>
      <c r="Z4" s="60">
        <v>45862.0</v>
      </c>
      <c r="AA4" s="60">
        <v>45863.0</v>
      </c>
      <c r="AB4" s="60">
        <v>45864.0</v>
      </c>
      <c r="AC4" s="60">
        <v>45865.0</v>
      </c>
      <c r="AD4" s="60">
        <v>45866.0</v>
      </c>
      <c r="AE4" s="61">
        <v>45867.0</v>
      </c>
      <c r="AF4" s="61">
        <v>45868.0</v>
      </c>
      <c r="AG4" s="62">
        <v>45869.0</v>
      </c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5" t="s">
        <v>49</v>
      </c>
      <c r="AV4" s="56"/>
      <c r="AW4" s="56"/>
      <c r="AX4" s="56"/>
      <c r="AY4" s="55" t="s">
        <v>50</v>
      </c>
      <c r="AZ4" s="56"/>
      <c r="BA4" s="56"/>
      <c r="BB4" s="56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63" t="s">
        <v>51</v>
      </c>
      <c r="BR4" s="64"/>
      <c r="BS4" s="64"/>
      <c r="BT4" s="64"/>
      <c r="BU4" s="6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</row>
    <row r="5">
      <c r="B5" s="65" t="s">
        <v>52</v>
      </c>
      <c r="C5" s="66">
        <v>78.0</v>
      </c>
      <c r="D5" s="67">
        <v>112.0</v>
      </c>
      <c r="E5" s="66">
        <v>66.0</v>
      </c>
      <c r="F5" s="66">
        <v>68.0</v>
      </c>
      <c r="G5" s="66">
        <v>105.0</v>
      </c>
      <c r="H5" s="66">
        <v>76.0</v>
      </c>
      <c r="I5" s="66">
        <v>66.0</v>
      </c>
      <c r="J5" s="66">
        <v>47.0</v>
      </c>
      <c r="K5" s="66">
        <v>53.0</v>
      </c>
      <c r="L5" s="66">
        <v>78.0</v>
      </c>
      <c r="M5" s="66">
        <v>73.0</v>
      </c>
      <c r="N5" s="66">
        <v>80.0</v>
      </c>
      <c r="O5" s="66">
        <v>45.0</v>
      </c>
      <c r="P5" s="66">
        <v>44.0</v>
      </c>
      <c r="Q5" s="67">
        <v>35.0</v>
      </c>
      <c r="R5" s="67">
        <v>20.0</v>
      </c>
      <c r="S5" s="67">
        <v>98.0</v>
      </c>
      <c r="T5" s="67">
        <v>77.0</v>
      </c>
      <c r="U5" s="67">
        <v>80.0</v>
      </c>
      <c r="V5" s="67">
        <v>111.0</v>
      </c>
      <c r="W5" s="67">
        <v>68.0</v>
      </c>
      <c r="X5" s="66">
        <v>38.0</v>
      </c>
      <c r="Y5" s="66">
        <v>64.0</v>
      </c>
      <c r="Z5" s="66">
        <v>55.0</v>
      </c>
      <c r="AA5" s="66">
        <v>53.0</v>
      </c>
      <c r="AB5" s="66">
        <v>45.0</v>
      </c>
      <c r="AC5" s="66">
        <v>55.0</v>
      </c>
      <c r="AD5" s="66">
        <v>37.0</v>
      </c>
      <c r="AE5" s="66">
        <v>45.0</v>
      </c>
      <c r="AF5" s="66">
        <v>49.0</v>
      </c>
      <c r="AG5" s="68">
        <v>50.0</v>
      </c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69" t="s">
        <v>53</v>
      </c>
      <c r="AV5" s="70"/>
      <c r="AW5" s="70"/>
      <c r="AX5" s="70"/>
      <c r="AY5" s="71" t="s">
        <v>54</v>
      </c>
      <c r="AZ5" s="72"/>
      <c r="BA5" s="72"/>
      <c r="BB5" s="72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</row>
    <row r="6">
      <c r="B6" s="73" t="s">
        <v>55</v>
      </c>
      <c r="C6" s="74">
        <v>31.0</v>
      </c>
      <c r="D6" s="74">
        <v>51.0</v>
      </c>
      <c r="E6" s="74">
        <v>48.0</v>
      </c>
      <c r="F6" s="74">
        <v>64.0</v>
      </c>
      <c r="G6" s="74">
        <v>59.0</v>
      </c>
      <c r="H6" s="74">
        <v>66.0</v>
      </c>
      <c r="I6" s="74">
        <v>25.0</v>
      </c>
      <c r="J6" s="74">
        <v>21.0</v>
      </c>
      <c r="K6" s="74">
        <v>43.0</v>
      </c>
      <c r="L6" s="74">
        <v>33.0</v>
      </c>
      <c r="M6" s="74">
        <v>34.0</v>
      </c>
      <c r="N6" s="74">
        <v>36.0</v>
      </c>
      <c r="O6" s="75">
        <v>19.0</v>
      </c>
      <c r="P6" s="74">
        <v>21.0</v>
      </c>
      <c r="Q6" s="74">
        <v>16.0</v>
      </c>
      <c r="R6" s="75">
        <v>4.0</v>
      </c>
      <c r="S6" s="74">
        <v>52.0</v>
      </c>
      <c r="T6" s="74">
        <v>50.0</v>
      </c>
      <c r="U6" s="74">
        <v>32.0</v>
      </c>
      <c r="V6" s="75">
        <v>42.0</v>
      </c>
      <c r="W6" s="74">
        <v>24.0</v>
      </c>
      <c r="X6" s="74">
        <v>16.0</v>
      </c>
      <c r="Y6" s="75">
        <v>22.0</v>
      </c>
      <c r="Z6" s="74">
        <v>40.0</v>
      </c>
      <c r="AA6" s="75">
        <v>31.0</v>
      </c>
      <c r="AB6" s="75">
        <v>22.0</v>
      </c>
      <c r="AC6" s="74">
        <v>25.0</v>
      </c>
      <c r="AD6" s="74">
        <v>19.0</v>
      </c>
      <c r="AE6" s="74">
        <v>23.0</v>
      </c>
      <c r="AF6" s="75">
        <v>28.0</v>
      </c>
      <c r="AG6" s="76">
        <v>22.0</v>
      </c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69" t="s">
        <v>56</v>
      </c>
      <c r="AV6" s="70"/>
      <c r="AW6" s="70"/>
      <c r="AX6" s="70"/>
      <c r="AY6" s="71" t="s">
        <v>57</v>
      </c>
      <c r="AZ6" s="72"/>
      <c r="BA6" s="72"/>
      <c r="BB6" s="72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</row>
    <row r="7">
      <c r="B7" s="73" t="s">
        <v>58</v>
      </c>
      <c r="C7" s="74">
        <v>47.0</v>
      </c>
      <c r="D7" s="74">
        <v>47.0</v>
      </c>
      <c r="E7" s="74">
        <v>18.0</v>
      </c>
      <c r="F7" s="74">
        <v>4.0</v>
      </c>
      <c r="G7" s="74">
        <v>46.0</v>
      </c>
      <c r="H7" s="74">
        <v>10.0</v>
      </c>
      <c r="I7" s="74">
        <v>41.0</v>
      </c>
      <c r="J7" s="74">
        <v>26.0</v>
      </c>
      <c r="K7" s="74">
        <v>10.0</v>
      </c>
      <c r="L7" s="74">
        <v>45.0</v>
      </c>
      <c r="M7" s="74">
        <v>39.0</v>
      </c>
      <c r="N7" s="74">
        <v>44.0</v>
      </c>
      <c r="O7" s="74">
        <v>26.0</v>
      </c>
      <c r="P7" s="74">
        <v>23.0</v>
      </c>
      <c r="Q7" s="74">
        <v>14.0</v>
      </c>
      <c r="R7" s="74">
        <v>14.0</v>
      </c>
      <c r="S7" s="74">
        <v>40.0</v>
      </c>
      <c r="T7" s="74">
        <v>23.0</v>
      </c>
      <c r="U7" s="74">
        <v>28.0</v>
      </c>
      <c r="V7" s="74">
        <v>58.0</v>
      </c>
      <c r="W7" s="74">
        <v>37.0</v>
      </c>
      <c r="X7" s="74">
        <v>22.0</v>
      </c>
      <c r="Y7" s="74">
        <v>42.0</v>
      </c>
      <c r="Z7" s="74">
        <v>15.0</v>
      </c>
      <c r="AA7" s="74">
        <v>22.0</v>
      </c>
      <c r="AB7" s="74">
        <v>23.0</v>
      </c>
      <c r="AC7" s="74">
        <v>30.0</v>
      </c>
      <c r="AD7" s="74">
        <v>18.0</v>
      </c>
      <c r="AE7" s="74">
        <v>22.0</v>
      </c>
      <c r="AF7" s="74">
        <v>21.0</v>
      </c>
      <c r="AG7" s="77">
        <v>28.0</v>
      </c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69" t="s">
        <v>59</v>
      </c>
      <c r="AV7" s="70"/>
      <c r="AW7" s="70"/>
      <c r="AX7" s="70"/>
      <c r="AY7" s="71" t="s">
        <v>60</v>
      </c>
      <c r="AZ7" s="72"/>
      <c r="BA7" s="72"/>
      <c r="BB7" s="72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</row>
    <row r="8">
      <c r="B8" s="73" t="s">
        <v>61</v>
      </c>
      <c r="C8" s="74">
        <v>20.0</v>
      </c>
      <c r="D8" s="74">
        <v>16.0</v>
      </c>
      <c r="E8" s="75">
        <v>16.0</v>
      </c>
      <c r="F8" s="75">
        <v>3.0</v>
      </c>
      <c r="G8" s="75">
        <v>15.0</v>
      </c>
      <c r="H8" s="75">
        <v>12.0</v>
      </c>
      <c r="I8" s="75">
        <v>13.0</v>
      </c>
      <c r="J8" s="75">
        <v>15.0</v>
      </c>
      <c r="K8" s="75">
        <v>10.0</v>
      </c>
      <c r="L8" s="75">
        <v>10.0</v>
      </c>
      <c r="M8" s="75">
        <v>12.0</v>
      </c>
      <c r="N8" s="74">
        <v>7.0</v>
      </c>
      <c r="O8" s="74">
        <v>13.0</v>
      </c>
      <c r="P8" s="75">
        <v>6.0</v>
      </c>
      <c r="Q8" s="75">
        <v>11.0</v>
      </c>
      <c r="R8" s="75">
        <v>6.0</v>
      </c>
      <c r="S8" s="75">
        <v>12.0</v>
      </c>
      <c r="T8" s="75">
        <v>12.0</v>
      </c>
      <c r="U8" s="75">
        <v>20.0</v>
      </c>
      <c r="V8" s="75">
        <v>18.0</v>
      </c>
      <c r="W8" s="75">
        <v>16.0</v>
      </c>
      <c r="X8" s="74">
        <v>5.0</v>
      </c>
      <c r="Y8" s="75">
        <v>7.0</v>
      </c>
      <c r="Z8" s="74">
        <v>4.0</v>
      </c>
      <c r="AA8" s="75">
        <v>7.0</v>
      </c>
      <c r="AB8" s="75">
        <v>11.0</v>
      </c>
      <c r="AC8" s="74">
        <v>8.0</v>
      </c>
      <c r="AD8" s="75">
        <v>11.0</v>
      </c>
      <c r="AE8" s="75">
        <v>7.0</v>
      </c>
      <c r="AF8" s="75">
        <v>7.0</v>
      </c>
      <c r="AG8" s="76">
        <v>16.0</v>
      </c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78" t="s">
        <v>62</v>
      </c>
      <c r="AV8" s="54"/>
      <c r="AW8" s="54"/>
      <c r="AX8" s="54"/>
      <c r="AY8" s="71" t="s">
        <v>60</v>
      </c>
      <c r="AZ8" s="72"/>
      <c r="BA8" s="72"/>
      <c r="BB8" s="72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</row>
    <row r="9">
      <c r="B9" s="79" t="s">
        <v>63</v>
      </c>
      <c r="C9" s="80">
        <v>5.0</v>
      </c>
      <c r="D9" s="80">
        <v>4.0</v>
      </c>
      <c r="E9" s="80">
        <v>13.0</v>
      </c>
      <c r="F9" s="80">
        <v>10.0</v>
      </c>
      <c r="G9" s="80">
        <v>13.0</v>
      </c>
      <c r="H9" s="80">
        <v>6.0</v>
      </c>
      <c r="I9" s="80">
        <v>13.0</v>
      </c>
      <c r="J9" s="80">
        <v>11.0</v>
      </c>
      <c r="K9" s="81">
        <v>11.0</v>
      </c>
      <c r="L9" s="80">
        <v>4.0</v>
      </c>
      <c r="M9" s="80">
        <v>12.0</v>
      </c>
      <c r="N9" s="81">
        <v>9.0</v>
      </c>
      <c r="O9" s="81">
        <v>16.0</v>
      </c>
      <c r="P9" s="81">
        <v>16.0</v>
      </c>
      <c r="Q9" s="81">
        <v>16.0</v>
      </c>
      <c r="R9" s="81">
        <v>16.0</v>
      </c>
      <c r="S9" s="81">
        <v>15.0</v>
      </c>
      <c r="T9" s="81">
        <v>20.0</v>
      </c>
      <c r="U9" s="81">
        <v>33.0</v>
      </c>
      <c r="V9" s="80">
        <v>11.0</v>
      </c>
      <c r="W9" s="80">
        <v>11.0</v>
      </c>
      <c r="X9" s="80">
        <v>5.0</v>
      </c>
      <c r="Y9" s="80">
        <v>2.0</v>
      </c>
      <c r="Z9" s="80">
        <v>4.0</v>
      </c>
      <c r="AA9" s="80">
        <v>6.0</v>
      </c>
      <c r="AB9" s="80">
        <v>8.0</v>
      </c>
      <c r="AC9" s="80">
        <v>8.0</v>
      </c>
      <c r="AD9" s="80">
        <v>6.0</v>
      </c>
      <c r="AE9" s="80">
        <v>13.0</v>
      </c>
      <c r="AF9" s="80">
        <v>10.0</v>
      </c>
      <c r="AG9" s="82">
        <v>11.0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69" t="s">
        <v>64</v>
      </c>
      <c r="AV9" s="70"/>
      <c r="AW9" s="70"/>
      <c r="AX9" s="70"/>
      <c r="AY9" s="71" t="s">
        <v>60</v>
      </c>
      <c r="AZ9" s="72"/>
      <c r="BA9" s="72"/>
      <c r="BB9" s="72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</row>
    <row r="10">
      <c r="B10" s="73" t="s">
        <v>65</v>
      </c>
      <c r="C10" s="74">
        <v>2.0</v>
      </c>
      <c r="D10" s="75" t="s">
        <v>66</v>
      </c>
      <c r="E10" s="74">
        <v>2.0</v>
      </c>
      <c r="F10" s="74">
        <v>1.0</v>
      </c>
      <c r="G10" s="74">
        <v>1.0</v>
      </c>
      <c r="H10" s="74">
        <v>0.0</v>
      </c>
      <c r="I10" s="74">
        <v>0.0</v>
      </c>
      <c r="J10" s="74">
        <v>1.0</v>
      </c>
      <c r="K10" s="75">
        <v>0.0</v>
      </c>
      <c r="L10" s="74">
        <v>1.0</v>
      </c>
      <c r="M10" s="74">
        <v>1.0</v>
      </c>
      <c r="N10" s="74">
        <v>0.0</v>
      </c>
      <c r="O10" s="74">
        <v>2.0</v>
      </c>
      <c r="P10" s="74">
        <v>0.0</v>
      </c>
      <c r="Q10" s="74">
        <v>1.0</v>
      </c>
      <c r="R10" s="74">
        <v>0.0</v>
      </c>
      <c r="S10" s="74">
        <v>3.0</v>
      </c>
      <c r="T10" s="74">
        <v>2.0</v>
      </c>
      <c r="U10" s="74">
        <v>1.0</v>
      </c>
      <c r="V10" s="74">
        <v>0.0</v>
      </c>
      <c r="W10" s="74">
        <v>1.0</v>
      </c>
      <c r="X10" s="74">
        <v>0.0</v>
      </c>
      <c r="Y10" s="74">
        <v>2.0</v>
      </c>
      <c r="Z10" s="74">
        <v>2.0</v>
      </c>
      <c r="AA10" s="74">
        <v>1.0</v>
      </c>
      <c r="AB10" s="74">
        <v>1.0</v>
      </c>
      <c r="AC10" s="74">
        <v>1.0</v>
      </c>
      <c r="AD10" s="74">
        <v>1.0</v>
      </c>
      <c r="AE10" s="74">
        <v>1.0</v>
      </c>
      <c r="AF10" s="74">
        <v>0.0</v>
      </c>
      <c r="AG10" s="77">
        <v>0.0</v>
      </c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69" t="s">
        <v>67</v>
      </c>
      <c r="AV10" s="70"/>
      <c r="AW10" s="70"/>
      <c r="AX10" s="70"/>
      <c r="AY10" s="71" t="s">
        <v>60</v>
      </c>
      <c r="AZ10" s="72"/>
      <c r="BA10" s="72"/>
      <c r="BB10" s="72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</row>
    <row r="11">
      <c r="AQ11" s="54"/>
      <c r="AR11" s="54"/>
      <c r="AS11" s="54"/>
      <c r="AT11" s="54"/>
      <c r="AU11" s="69" t="s">
        <v>68</v>
      </c>
      <c r="AV11" s="70"/>
      <c r="AW11" s="70"/>
      <c r="AX11" s="70"/>
      <c r="AY11" s="71" t="s">
        <v>60</v>
      </c>
      <c r="AZ11" s="72"/>
      <c r="BA11" s="72"/>
      <c r="BB11" s="72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</row>
    <row r="12">
      <c r="AQ12" s="54"/>
      <c r="AR12" s="54"/>
      <c r="AS12" s="54"/>
      <c r="AT12" s="54"/>
      <c r="AU12" s="78" t="s">
        <v>69</v>
      </c>
      <c r="AV12" s="54"/>
      <c r="AW12" s="54"/>
      <c r="AX12" s="54"/>
      <c r="AY12" s="71" t="s">
        <v>60</v>
      </c>
      <c r="AZ12" s="72"/>
      <c r="BA12" s="72"/>
      <c r="BB12" s="72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</row>
    <row r="13">
      <c r="B13" s="1" t="s">
        <v>70</v>
      </c>
      <c r="AQ13" s="54"/>
      <c r="AR13" s="54"/>
      <c r="AS13" s="54"/>
      <c r="AT13" s="54"/>
      <c r="AU13" s="78" t="s">
        <v>71</v>
      </c>
      <c r="AV13" s="54"/>
      <c r="AW13" s="54"/>
      <c r="AX13" s="54"/>
      <c r="AY13" s="71" t="s">
        <v>60</v>
      </c>
      <c r="AZ13" s="72"/>
      <c r="BA13" s="72"/>
      <c r="BB13" s="72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</row>
    <row r="14">
      <c r="B14" s="10" t="s">
        <v>72</v>
      </c>
      <c r="C14" s="83">
        <v>0.5</v>
      </c>
    </row>
    <row r="15">
      <c r="B15" s="10" t="s">
        <v>73</v>
      </c>
      <c r="C15" s="83">
        <v>0.25</v>
      </c>
    </row>
    <row r="16">
      <c r="B16" s="10" t="s">
        <v>74</v>
      </c>
      <c r="C16" s="83">
        <v>0.5</v>
      </c>
    </row>
    <row r="17">
      <c r="B17" s="10" t="s">
        <v>75</v>
      </c>
      <c r="C17" s="83">
        <v>0.8</v>
      </c>
    </row>
  </sheetData>
  <drawing r:id="rId1"/>
</worksheet>
</file>