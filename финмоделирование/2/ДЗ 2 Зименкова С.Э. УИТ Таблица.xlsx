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ная таблица" sheetId="1" r:id="rId5"/>
    <sheet state="visible" name="ОПИУ" sheetId="2" r:id="rId6"/>
    <sheet state="visible" name="Ключевые метрики" sheetId="3" r:id="rId7"/>
    <sheet state="visible" name="Отдел продаж" sheetId="4" r:id="rId8"/>
    <sheet state="visible" name="Отдел маркетинга" sheetId="5" r:id="rId9"/>
    <sheet state="visible" name="Отдел финансов" sheetId="6" r:id="rId10"/>
    <sheet state="visible" name="Кол-центр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tc={555f61d0-022f-42b0-aa55-9e0cd2543d27}</author>
  </authors>
  <commentList>
    <comment authorId="0" xr:uid="{555f61d0-022f-42b0-aa55-9e0cd2543d27}" ref="S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Очень странный план. Почему?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tc={ce212196-a1ac-4966-b56d-882f4ae4fe54}</author>
  </authors>
  <commentList>
    <comment authorId="0" xr:uid="{ce212196-a1ac-4966-b56d-882f4ae4fe54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CPO? не CPL?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tc={06bc6fcb-6720-4558-b1a7-0766449a1c7e}</author>
  </authors>
  <commentList>
    <comment authorId="0" xr:uid="{06bc6fcb-6720-4558-b1a7-0766449a1c7e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произошло?
</t>
      </text>
    </comment>
  </commentList>
</comments>
</file>

<file path=xl/sharedStrings.xml><?xml version="1.0" encoding="utf-8"?>
<sst xmlns="http://schemas.openxmlformats.org/spreadsheetml/2006/main" count="271" uniqueCount="165">
  <si>
    <t>Сводная таблица данных по отделам</t>
  </si>
  <si>
    <t>Отдел маркетинга</t>
  </si>
  <si>
    <t>Колл-центр</t>
  </si>
  <si>
    <t>Отдел продаж</t>
  </si>
  <si>
    <t>Финансы</t>
  </si>
  <si>
    <t>Метрики</t>
  </si>
  <si>
    <t>Дата</t>
  </si>
  <si>
    <t>День недели</t>
  </si>
  <si>
    <t>Посещения</t>
  </si>
  <si>
    <t>Лиды</t>
  </si>
  <si>
    <t>Обработано</t>
  </si>
  <si>
    <t>Качественные</t>
  </si>
  <si>
    <t>% квал. лидов</t>
  </si>
  <si>
    <t>Назначено встреч</t>
  </si>
  <si>
    <t>Конверсия Лид-Назначение</t>
  </si>
  <si>
    <t>Встречи</t>
  </si>
  <si>
    <t>Конверсия Назначение-Встреча</t>
  </si>
  <si>
    <t>Договоров</t>
  </si>
  <si>
    <t>Конверсия Встреча-Договор</t>
  </si>
  <si>
    <t>Сумма договоров</t>
  </si>
  <si>
    <t>Реклама</t>
  </si>
  <si>
    <t>Поступления</t>
  </si>
  <si>
    <t>Стоимость лида</t>
  </si>
  <si>
    <t>ROI рекламы</t>
  </si>
  <si>
    <t>CPO</t>
  </si>
  <si>
    <t>Конверсия Лид-Договор</t>
  </si>
  <si>
    <t>Конверсия Посещение-Лид</t>
  </si>
  <si>
    <t>Конверсия Лид-Встреча</t>
  </si>
  <si>
    <t>суббота</t>
  </si>
  <si>
    <t>воскресенье</t>
  </si>
  <si>
    <t>понедельник</t>
  </si>
  <si>
    <t>вторник</t>
  </si>
  <si>
    <t>среда</t>
  </si>
  <si>
    <t>четверг</t>
  </si>
  <si>
    <t>пятница</t>
  </si>
  <si>
    <t>ИТОГО (сумма/среднее)</t>
  </si>
  <si>
    <t>План</t>
  </si>
  <si>
    <t>Относительно плана</t>
  </si>
  <si>
    <t>Отчет о прибылях и убытках</t>
  </si>
  <si>
    <t>Входные данные</t>
  </si>
  <si>
    <t>Налоговая нагрузка</t>
  </si>
  <si>
    <t>Себестоимость, % от выручки</t>
  </si>
  <si>
    <t>Постоянные расходы</t>
  </si>
  <si>
    <t>ФОТ отдела продаж (фиксированный)</t>
  </si>
  <si>
    <t>ФОТ отдела продаж (бонус)</t>
  </si>
  <si>
    <t>ФОТ остальных отделов</t>
  </si>
  <si>
    <t>Показатель</t>
  </si>
  <si>
    <t>Сумма</t>
  </si>
  <si>
    <t>% выручки</t>
  </si>
  <si>
    <t>Комментарий</t>
  </si>
  <si>
    <t>Выручка</t>
  </si>
  <si>
    <t>факт. приход за июль</t>
  </si>
  <si>
    <t>Выручка по договорам</t>
  </si>
  <si>
    <t>дебиторка 1,2 млн</t>
  </si>
  <si>
    <t>Себестоимость продаж</t>
  </si>
  <si>
    <t>входные данные</t>
  </si>
  <si>
    <t>Валовая прибыль</t>
  </si>
  <si>
    <t>Операционные расходы</t>
  </si>
  <si>
    <t>Реклама - сайт 1</t>
  </si>
  <si>
    <t>Реклама - сайт 2</t>
  </si>
  <si>
    <t>Реклама - сайт 3</t>
  </si>
  <si>
    <t>Итого реклама</t>
  </si>
  <si>
    <t>ФОТ отдела продаж</t>
  </si>
  <si>
    <t>ФОТ отдела продаж - бонус</t>
  </si>
  <si>
    <t>Операционная прибыль</t>
  </si>
  <si>
    <t>Ключевые метрики бизнеса</t>
  </si>
  <si>
    <t>Метрика</t>
  </si>
  <si>
    <t>Факт</t>
  </si>
  <si>
    <t>% выполнения</t>
  </si>
  <si>
    <t>Выполнено?</t>
  </si>
  <si>
    <t>Посещения сайта</t>
  </si>
  <si>
    <t>Да</t>
  </si>
  <si>
    <t>Нет</t>
  </si>
  <si>
    <t>Заметно меньше плана. Основные потрели на сайтах 1 и 2 во второй половине месяца.</t>
  </si>
  <si>
    <t>Конверсия посещение-лид</t>
  </si>
  <si>
    <t>Возможно, в таблице от Отдела маркетинга под CPO должна была подразумеваться стоимость лида, а не стоимость договора.</t>
  </si>
  <si>
    <t>% качественных лидов</t>
  </si>
  <si>
    <t>Значительно меньше плана! Половина лидов некачественные!</t>
  </si>
  <si>
    <t>Конверсия лид-назначение</t>
  </si>
  <si>
    <t>Очень узкая точка воронки продаж. Либо переоценили свои силы, либо нужно поработать над скриптами колл-центра.</t>
  </si>
  <si>
    <t>Конверсие назначение-встреча</t>
  </si>
  <si>
    <t>Высокий показатель. Клиенты, договорившиеся на визит, чаще всего приходят на встречу.</t>
  </si>
  <si>
    <t>Конверсия встреча-договор</t>
  </si>
  <si>
    <t>Конверсия лид-договор</t>
  </si>
  <si>
    <t>Договора</t>
  </si>
  <si>
    <t>Средняя сумма договора</t>
  </si>
  <si>
    <t>Отдел финансов</t>
  </si>
  <si>
    <t>Расходы на рекламу</t>
  </si>
  <si>
    <t>Примерно 9,3% от выручки. Большую часть занимает Сайт 2 - 57% бюджета.</t>
  </si>
  <si>
    <t>Доходы</t>
  </si>
  <si>
    <t>Разница с суммой договоров - 1 208 045,50 ₽. Дебиторская задолженность.</t>
  </si>
  <si>
    <t>Стоимость договора</t>
  </si>
  <si>
    <t>ОТДЕЛ ПРОДАЖ</t>
  </si>
  <si>
    <t>По отделу</t>
  </si>
  <si>
    <t>Факт встречи новые</t>
  </si>
  <si>
    <t>Договоров штук</t>
  </si>
  <si>
    <t>Договора сумма</t>
  </si>
  <si>
    <t>Факт повторные встречи</t>
  </si>
  <si>
    <t>Договора с повторных встреч</t>
  </si>
  <si>
    <t>Целевая конверсия визит-договор 35%</t>
  </si>
  <si>
    <t>Целевая конверсия лид-договор 5%</t>
  </si>
  <si>
    <t>ОТДЕЛ МАРКЕТИНГА</t>
  </si>
  <si>
    <t>KPI</t>
  </si>
  <si>
    <t>Июль</t>
  </si>
  <si>
    <t>Показатели план</t>
  </si>
  <si>
    <t>Сб.</t>
  </si>
  <si>
    <t>Вс.</t>
  </si>
  <si>
    <t>Пн.</t>
  </si>
  <si>
    <t>Вт.</t>
  </si>
  <si>
    <t>Ср.</t>
  </si>
  <si>
    <t>Чт.</t>
  </si>
  <si>
    <t>Пт.</t>
  </si>
  <si>
    <t>Посещения на сайт</t>
  </si>
  <si>
    <t>Посещения на сайт: сайт 1</t>
  </si>
  <si>
    <t>Посещения на сайт: сайт 2</t>
  </si>
  <si>
    <t>Посещения на сайт: сайт 3</t>
  </si>
  <si>
    <t>Лиды: сайт 1</t>
  </si>
  <si>
    <t>Лиды: сайт 2</t>
  </si>
  <si>
    <t>Лиды: сайт 3</t>
  </si>
  <si>
    <t>Без номера визита</t>
  </si>
  <si>
    <t>План 35 000 посещений/мес</t>
  </si>
  <si>
    <t>План 2500 лидов/мес</t>
  </si>
  <si>
    <t>Целевая конверсия посещение-лид 5%</t>
  </si>
  <si>
    <t>Целевой CPO 300 рублей</t>
  </si>
  <si>
    <t>ОТДЕЛ ФИНАНСОВ</t>
  </si>
  <si>
    <t>Налоговая нагрузка — 10% от выручки.</t>
  </si>
  <si>
    <t>Себестоимость — 50% в среднем.</t>
  </si>
  <si>
    <t>Постоянные расходы — 1,5 млн рублей.</t>
  </si>
  <si>
    <t>ФОТ отдела продаж — 300 тыс + 2% с поступлений.</t>
  </si>
  <si>
    <t>ФОТ остальной компании — 1 млн рублей.</t>
  </si>
  <si>
    <t>Расход рекламного бюджета</t>
  </si>
  <si>
    <t>Сайт 1</t>
  </si>
  <si>
    <t>Сайт 2</t>
  </si>
  <si>
    <t>Сайт 3</t>
  </si>
  <si>
    <t>Факт поступления денег</t>
  </si>
  <si>
    <t>Сумма расходов</t>
  </si>
  <si>
    <t>КОЛ-ЦЕНТР</t>
  </si>
  <si>
    <t>Показатели</t>
  </si>
  <si>
    <t>Мотивация</t>
  </si>
  <si>
    <t>Мотривация</t>
  </si>
  <si>
    <t>Операторы</t>
  </si>
  <si>
    <t>З/П</t>
  </si>
  <si>
    <t>45 000р.</t>
  </si>
  <si>
    <t>Обработано лидов</t>
  </si>
  <si>
    <t>Алексей Пряхин</t>
  </si>
  <si>
    <t>27 150р.</t>
  </si>
  <si>
    <t>Некачественных лидов</t>
  </si>
  <si>
    <t>Алексей Конобеев</t>
  </si>
  <si>
    <t>55 250р.</t>
  </si>
  <si>
    <t>Качественных лидов</t>
  </si>
  <si>
    <t>Алексей Лукин</t>
  </si>
  <si>
    <t>17 600р.</t>
  </si>
  <si>
    <t>Оператор №5</t>
  </si>
  <si>
    <t>Визитов состоялось</t>
  </si>
  <si>
    <t>Оператор №6</t>
  </si>
  <si>
    <t>Визиты с улицы</t>
  </si>
  <si>
    <t>-</t>
  </si>
  <si>
    <t>Оператор №7</t>
  </si>
  <si>
    <t>Оператор №8</t>
  </si>
  <si>
    <t>Оператор №9</t>
  </si>
  <si>
    <t>Целевые показатели</t>
  </si>
  <si>
    <t>Оператор №10</t>
  </si>
  <si>
    <t>Конверсия лид-визит</t>
  </si>
  <si>
    <t>Конверсия назначение-визит</t>
  </si>
  <si>
    <t>Доля квал. лидов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</si>
</sst>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yy"/>
    <numFmt numFmtId="165" formatCode="#,##0.00[$ ₽]"/>
    <numFmt numFmtId="166" formatCode="dd&quot;.&quot;mm"/>
    <numFmt numFmtId="167" formatCode="dd.mm"/>
    <numFmt numFmtId="168" formatCode="#,##0[$р.]"/>
  </numFmts>
  <fonts count="2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Arial"/>
      <scheme val="minor"/>
    </font>
    <font>
      <i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3.0"/>
      <color theme="1"/>
      <name val="Arial"/>
      <scheme val="minor"/>
    </font>
    <font>
      <i/>
      <sz val="13.0"/>
      <color theme="1"/>
      <name val="Arial"/>
      <scheme val="minor"/>
    </font>
    <font>
      <sz val="13.0"/>
      <color theme="1"/>
      <name val="Arial"/>
      <scheme val="minor"/>
    </font>
    <font>
      <sz val="10.0"/>
      <color theme="1"/>
      <name val="Arial"/>
      <scheme val="minor"/>
    </font>
    <font>
      <b/>
      <i/>
      <sz val="13.0"/>
      <color theme="1"/>
      <name val="Arial"/>
      <scheme val="minor"/>
    </font>
    <font>
      <b/>
      <i/>
      <sz val="13.0"/>
      <color rgb="FF38761D"/>
      <name val="Arial"/>
      <scheme val="minor"/>
    </font>
    <font>
      <b/>
      <i/>
      <sz val="13.0"/>
      <color rgb="FFE69138"/>
      <name val="Arial"/>
      <scheme val="minor"/>
    </font>
    <font>
      <b/>
      <i/>
      <sz val="13.0"/>
      <color rgb="FFCC0000"/>
      <name val="Arial"/>
      <scheme val="minor"/>
    </font>
    <font>
      <b/>
      <i/>
      <sz val="13.0"/>
      <color rgb="FF990000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>
      <sz val="9.0"/>
      <color theme="1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5EEFF"/>
        <bgColor rgb="FFE5EEFF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</border>
    <border>
      <left style="thin">
        <color rgb="FF000000"/>
      </left>
      <right style="dotted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2" numFmtId="0" xfId="0" applyBorder="1" applyFont="1"/>
    <xf borderId="1" fillId="0" fontId="2" numFmtId="0" xfId="0" applyAlignment="1" applyBorder="1" applyFont="1">
      <alignment horizontal="center" readingOrder="0"/>
    </xf>
    <xf borderId="3" fillId="0" fontId="3" numFmtId="0" xfId="0" applyBorder="1" applyFont="1"/>
    <xf borderId="2" fillId="0" fontId="3" numFmtId="0" xfId="0" applyBorder="1" applyFont="1"/>
    <xf borderId="0" fillId="0" fontId="2" numFmtId="0" xfId="0" applyFont="1"/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7" fillId="0" fontId="4" numFmtId="164" xfId="0" applyAlignment="1" applyBorder="1" applyFont="1" applyNumberFormat="1">
      <alignment readingOrder="0"/>
    </xf>
    <xf borderId="8" fillId="0" fontId="4" numFmtId="0" xfId="0" applyAlignment="1" applyBorder="1" applyFont="1">
      <alignment readingOrder="0"/>
    </xf>
    <xf borderId="7" fillId="0" fontId="4" numFmtId="3" xfId="0" applyBorder="1" applyFont="1" applyNumberFormat="1"/>
    <xf borderId="0" fillId="0" fontId="4" numFmtId="3" xfId="0" applyFont="1" applyNumberFormat="1"/>
    <xf borderId="0" fillId="0" fontId="4" numFmtId="10" xfId="0" applyFont="1" applyNumberFormat="1"/>
    <xf borderId="8" fillId="0" fontId="4" numFmtId="10" xfId="0" applyBorder="1" applyFont="1" applyNumberFormat="1"/>
    <xf borderId="7" fillId="0" fontId="4" numFmtId="0" xfId="0" applyBorder="1" applyFont="1"/>
    <xf borderId="0" fillId="0" fontId="4" numFmtId="0" xfId="0" applyFont="1"/>
    <xf borderId="8" fillId="0" fontId="4" numFmtId="1" xfId="0" applyBorder="1" applyFont="1" applyNumberFormat="1"/>
    <xf borderId="7" fillId="0" fontId="4" numFmtId="3" xfId="0" applyBorder="1" applyFont="1" applyNumberFormat="1"/>
    <xf borderId="8" fillId="0" fontId="4" numFmtId="3" xfId="0" applyBorder="1" applyFont="1" applyNumberFormat="1"/>
    <xf borderId="1" fillId="0" fontId="4" numFmtId="165" xfId="0" applyBorder="1" applyFont="1" applyNumberFormat="1"/>
    <xf borderId="3" fillId="0" fontId="4" numFmtId="4" xfId="0" applyBorder="1" applyFont="1" applyNumberFormat="1"/>
    <xf borderId="3" fillId="0" fontId="4" numFmtId="165" xfId="0" applyBorder="1" applyFont="1" applyNumberFormat="1"/>
    <xf borderId="3" fillId="0" fontId="4" numFmtId="10" xfId="0" applyBorder="1" applyFont="1" applyNumberFormat="1"/>
    <xf borderId="2" fillId="0" fontId="4" numFmtId="10" xfId="0" applyBorder="1" applyFont="1" applyNumberFormat="1"/>
    <xf borderId="7" fillId="0" fontId="4" numFmtId="165" xfId="0" applyBorder="1" applyFont="1" applyNumberFormat="1"/>
    <xf borderId="0" fillId="0" fontId="4" numFmtId="4" xfId="0" applyFont="1" applyNumberFormat="1"/>
    <xf borderId="0" fillId="0" fontId="4" numFmtId="165" xfId="0" applyFont="1" applyNumberFormat="1"/>
    <xf borderId="4" fillId="0" fontId="4" numFmtId="164" xfId="0" applyAlignment="1" applyBorder="1" applyFont="1" applyNumberFormat="1">
      <alignment readingOrder="0"/>
    </xf>
    <xf borderId="5" fillId="0" fontId="4" numFmtId="0" xfId="0" applyAlignment="1" applyBorder="1" applyFont="1">
      <alignment readingOrder="0"/>
    </xf>
    <xf borderId="4" fillId="0" fontId="4" numFmtId="3" xfId="0" applyBorder="1" applyFont="1" applyNumberFormat="1"/>
    <xf borderId="6" fillId="0" fontId="4" numFmtId="3" xfId="0" applyBorder="1" applyFont="1" applyNumberFormat="1"/>
    <xf borderId="6" fillId="0" fontId="4" numFmtId="10" xfId="0" applyBorder="1" applyFont="1" applyNumberFormat="1"/>
    <xf borderId="5" fillId="0" fontId="4" numFmtId="10" xfId="0" applyBorder="1" applyFont="1" applyNumberFormat="1"/>
    <xf borderId="4" fillId="0" fontId="4" numFmtId="0" xfId="0" applyBorder="1" applyFont="1"/>
    <xf borderId="6" fillId="0" fontId="4" numFmtId="0" xfId="0" applyBorder="1" applyFont="1"/>
    <xf borderId="5" fillId="0" fontId="4" numFmtId="1" xfId="0" applyBorder="1" applyFont="1" applyNumberFormat="1"/>
    <xf borderId="4" fillId="0" fontId="4" numFmtId="3" xfId="0" applyBorder="1" applyFont="1" applyNumberFormat="1"/>
    <xf borderId="5" fillId="0" fontId="4" numFmtId="3" xfId="0" applyBorder="1" applyFont="1" applyNumberFormat="1"/>
    <xf borderId="4" fillId="0" fontId="4" numFmtId="165" xfId="0" applyBorder="1" applyFont="1" applyNumberFormat="1"/>
    <xf borderId="6" fillId="0" fontId="4" numFmtId="4" xfId="0" applyBorder="1" applyFont="1" applyNumberFormat="1"/>
    <xf borderId="6" fillId="0" fontId="4" numFmtId="165" xfId="0" applyBorder="1" applyFont="1" applyNumberFormat="1"/>
    <xf borderId="4" fillId="0" fontId="5" numFmtId="0" xfId="0" applyAlignment="1" applyBorder="1" applyFont="1">
      <alignment horizontal="right" readingOrder="0"/>
    </xf>
    <xf borderId="6" fillId="0" fontId="5" numFmtId="0" xfId="0" applyAlignment="1" applyBorder="1" applyFont="1">
      <alignment horizontal="right" readingOrder="0"/>
    </xf>
    <xf borderId="6" fillId="0" fontId="5" numFmtId="0" xfId="0" applyBorder="1" applyFont="1"/>
    <xf borderId="6" fillId="0" fontId="6" numFmtId="0" xfId="0" applyBorder="1" applyFont="1"/>
    <xf borderId="5" fillId="0" fontId="6" numFmtId="0" xfId="0" applyBorder="1" applyFont="1"/>
    <xf borderId="0" fillId="0" fontId="7" numFmtId="0" xfId="0" applyFont="1"/>
    <xf borderId="9" fillId="2" fontId="8" numFmtId="0" xfId="0" applyAlignment="1" applyBorder="1" applyFill="1" applyFont="1">
      <alignment horizontal="right" readingOrder="0"/>
    </xf>
    <xf borderId="10" fillId="0" fontId="3" numFmtId="0" xfId="0" applyBorder="1" applyFont="1"/>
    <xf borderId="10" fillId="2" fontId="8" numFmtId="3" xfId="0" applyBorder="1" applyFont="1" applyNumberFormat="1"/>
    <xf borderId="10" fillId="2" fontId="9" numFmtId="10" xfId="0" applyBorder="1" applyFont="1" applyNumberFormat="1"/>
    <xf borderId="10" fillId="2" fontId="8" numFmtId="0" xfId="0" applyBorder="1" applyFont="1"/>
    <xf borderId="10" fillId="2" fontId="8" numFmtId="165" xfId="0" applyBorder="1" applyFont="1" applyNumberFormat="1"/>
    <xf borderId="10" fillId="2" fontId="9" numFmtId="165" xfId="0" applyBorder="1" applyFont="1" applyNumberFormat="1"/>
    <xf borderId="10" fillId="2" fontId="9" numFmtId="4" xfId="0" applyBorder="1" applyFont="1" applyNumberFormat="1"/>
    <xf borderId="10" fillId="2" fontId="9" numFmtId="165" xfId="0" applyBorder="1" applyFont="1" applyNumberFormat="1"/>
    <xf borderId="11" fillId="2" fontId="9" numFmtId="10" xfId="0" applyBorder="1" applyFont="1" applyNumberFormat="1"/>
    <xf borderId="0" fillId="0" fontId="10" numFmtId="0" xfId="0" applyFont="1"/>
    <xf borderId="7" fillId="0" fontId="11" numFmtId="0" xfId="0" applyAlignment="1" applyBorder="1" applyFont="1">
      <alignment horizontal="right" readingOrder="0"/>
    </xf>
    <xf borderId="0" fillId="0" fontId="11" numFmtId="3" xfId="0" applyFont="1" applyNumberFormat="1"/>
    <xf borderId="0" fillId="0" fontId="11" numFmtId="10" xfId="0" applyAlignment="1" applyFont="1" applyNumberFormat="1">
      <alignment readingOrder="0"/>
    </xf>
    <xf borderId="0" fillId="0" fontId="11" numFmtId="10" xfId="0" applyFont="1" applyNumberFormat="1"/>
    <xf borderId="0" fillId="0" fontId="11" numFmtId="3" xfId="0" applyAlignment="1" applyFont="1" applyNumberFormat="1">
      <alignment readingOrder="0"/>
    </xf>
    <xf borderId="8" fillId="0" fontId="11" numFmtId="10" xfId="0" applyAlignment="1" applyBorder="1" applyFont="1" applyNumberFormat="1">
      <alignment readingOrder="0"/>
    </xf>
    <xf borderId="0" fillId="0" fontId="11" numFmtId="0" xfId="0" applyFont="1"/>
    <xf borderId="9" fillId="2" fontId="12" numFmtId="0" xfId="0" applyAlignment="1" applyBorder="1" applyFont="1">
      <alignment horizontal="right" readingOrder="0"/>
    </xf>
    <xf borderId="10" fillId="2" fontId="13" numFmtId="9" xfId="0" applyBorder="1" applyFont="1" applyNumberFormat="1"/>
    <xf borderId="10" fillId="2" fontId="14" numFmtId="9" xfId="0" applyBorder="1" applyFont="1" applyNumberFormat="1"/>
    <xf borderId="10" fillId="2" fontId="12" numFmtId="9" xfId="0" applyBorder="1" applyFont="1" applyNumberFormat="1"/>
    <xf borderId="10" fillId="2" fontId="15" numFmtId="9" xfId="0" applyBorder="1" applyFont="1" applyNumberFormat="1"/>
    <xf borderId="10" fillId="3" fontId="16" numFmtId="9" xfId="0" applyBorder="1" applyFill="1" applyFont="1" applyNumberFormat="1"/>
    <xf borderId="11" fillId="2" fontId="14" numFmtId="9" xfId="0" applyBorder="1" applyFont="1" applyNumberFormat="1"/>
    <xf borderId="0" fillId="0" fontId="12" numFmtId="0" xfId="0" applyFont="1"/>
    <xf borderId="9" fillId="0" fontId="2" numFmtId="0" xfId="0" applyAlignment="1" applyBorder="1" applyFont="1">
      <alignment readingOrder="0"/>
    </xf>
    <xf borderId="11" fillId="0" fontId="2" numFmtId="0" xfId="0" applyBorder="1" applyFont="1"/>
    <xf borderId="7" fillId="0" fontId="4" numFmtId="0" xfId="0" applyAlignment="1" applyBorder="1" applyFont="1">
      <alignment readingOrder="0"/>
    </xf>
    <xf borderId="8" fillId="0" fontId="4" numFmtId="10" xfId="0" applyAlignment="1" applyBorder="1" applyFont="1" applyNumberFormat="1">
      <alignment readingOrder="0"/>
    </xf>
    <xf borderId="8" fillId="0" fontId="4" numFmtId="4" xfId="0" applyAlignment="1" applyBorder="1" applyFont="1" applyNumberFormat="1">
      <alignment readingOrder="0"/>
    </xf>
    <xf borderId="8" fillId="0" fontId="4" numFmtId="9" xfId="0" applyAlignment="1" applyBorder="1" applyFont="1" applyNumberFormat="1">
      <alignment readingOrder="0"/>
    </xf>
    <xf borderId="4" fillId="0" fontId="4" numFmtId="0" xfId="0" applyAlignment="1" applyBorder="1" applyFont="1">
      <alignment readingOrder="0"/>
    </xf>
    <xf borderId="5" fillId="0" fontId="4" numFmtId="4" xfId="0" applyAlignment="1" applyBorder="1" applyFont="1" applyNumberForma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8" fillId="0" fontId="4" numFmtId="0" xfId="0" applyBorder="1" applyFont="1"/>
    <xf borderId="10" fillId="0" fontId="4" numFmtId="165" xfId="0" applyBorder="1" applyFont="1" applyNumberFormat="1"/>
    <xf borderId="10" fillId="0" fontId="4" numFmtId="10" xfId="0" applyBorder="1" applyFont="1" applyNumberFormat="1"/>
    <xf borderId="5" fillId="0" fontId="4" numFmtId="0" xfId="0" applyBorder="1" applyFont="1"/>
    <xf borderId="10" fillId="0" fontId="2" numFmtId="165" xfId="0" applyBorder="1" applyFont="1" applyNumberFormat="1"/>
    <xf borderId="10" fillId="0" fontId="2" numFmtId="0" xfId="0" applyBorder="1" applyFont="1"/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4" numFmtId="3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4" numFmtId="0" xfId="0" applyAlignment="1" applyFont="1">
      <alignment readingOrder="0"/>
    </xf>
    <xf borderId="6" fillId="0" fontId="4" numFmtId="165" xfId="0" applyBorder="1" applyFont="1" applyNumberFormat="1"/>
    <xf borderId="0" fillId="0" fontId="4" numFmtId="9" xfId="0" applyFont="1" applyNumberFormat="1"/>
    <xf borderId="6" fillId="0" fontId="4" numFmtId="9" xfId="0" applyBorder="1" applyFont="1" applyNumberFormat="1"/>
    <xf borderId="6" fillId="0" fontId="4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3" numFmtId="0" xfId="0" applyBorder="1" applyFont="1"/>
    <xf borderId="0" fillId="0" fontId="2" numFmtId="0" xfId="0" applyAlignment="1" applyFont="1">
      <alignment readingOrder="0"/>
    </xf>
    <xf borderId="12" fillId="4" fontId="17" numFmtId="0" xfId="0" applyAlignment="1" applyBorder="1" applyFill="1" applyFont="1">
      <alignment horizontal="left" readingOrder="0" vertical="bottom"/>
    </xf>
    <xf borderId="12" fillId="4" fontId="18" numFmtId="164" xfId="0" applyAlignment="1" applyBorder="1" applyFont="1" applyNumberFormat="1">
      <alignment horizontal="center" readingOrder="0" vertical="bottom"/>
    </xf>
    <xf borderId="12" fillId="4" fontId="19" numFmtId="0" xfId="0" applyAlignment="1" applyBorder="1" applyFont="1">
      <alignment horizontal="left" readingOrder="0" vertical="bottom"/>
    </xf>
    <xf borderId="12" fillId="0" fontId="19" numFmtId="0" xfId="0" applyAlignment="1" applyBorder="1" applyFont="1">
      <alignment horizontal="center" readingOrder="0" vertical="bottom"/>
    </xf>
    <xf borderId="12" fillId="0" fontId="19" numFmtId="0" xfId="0" applyAlignment="1" applyBorder="1" applyFont="1">
      <alignment horizontal="center" vertical="bottom"/>
    </xf>
    <xf borderId="12" fillId="0" fontId="19" numFmtId="1" xfId="0" applyAlignment="1" applyBorder="1" applyFont="1" applyNumberFormat="1">
      <alignment horizontal="center" vertical="bottom"/>
    </xf>
    <xf borderId="12" fillId="0" fontId="19" numFmtId="1" xfId="0" applyAlignment="1" applyBorder="1" applyFont="1" applyNumberFormat="1">
      <alignment horizontal="center" readingOrder="0" vertical="bottom"/>
    </xf>
    <xf borderId="12" fillId="4" fontId="19" numFmtId="0" xfId="0" applyAlignment="1" applyBorder="1" applyFont="1">
      <alignment horizontal="left" readingOrder="0" shrinkToFit="0" vertical="bottom" wrapText="1"/>
    </xf>
    <xf borderId="0" fillId="0" fontId="4" numFmtId="3" xfId="0" applyFont="1" applyNumberFormat="1"/>
    <xf borderId="0" fillId="0" fontId="4" numFmtId="0" xfId="0" applyAlignment="1" applyFont="1">
      <alignment horizontal="left"/>
    </xf>
    <xf borderId="0" fillId="0" fontId="20" numFmtId="0" xfId="0" applyFont="1"/>
    <xf borderId="0" fillId="0" fontId="20" numFmtId="0" xfId="0" applyAlignment="1" applyFont="1">
      <alignment horizontal="right"/>
    </xf>
    <xf borderId="0" fillId="0" fontId="21" numFmtId="0" xfId="0" applyAlignment="1" applyFont="1">
      <alignment horizontal="center" shrinkToFit="0" wrapText="1"/>
    </xf>
    <xf borderId="0" fillId="0" fontId="21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22" numFmtId="166" xfId="0" applyAlignment="1" applyFont="1" applyNumberFormat="1">
      <alignment horizontal="center" shrinkToFit="0" vertical="bottom" wrapText="1"/>
    </xf>
    <xf borderId="1" fillId="0" fontId="23" numFmtId="0" xfId="0" applyAlignment="1" applyBorder="1" applyFont="1">
      <alignment horizontal="center" readingOrder="0" shrinkToFit="0" vertical="bottom" wrapText="1"/>
    </xf>
    <xf borderId="13" fillId="0" fontId="23" numFmtId="3" xfId="0" applyAlignment="1" applyBorder="1" applyFont="1" applyNumberFormat="1">
      <alignment shrinkToFit="0" vertical="bottom" wrapText="1"/>
    </xf>
    <xf borderId="10" fillId="0" fontId="24" numFmtId="3" xfId="0" applyAlignment="1" applyBorder="1" applyFont="1" applyNumberFormat="1">
      <alignment horizontal="center" shrinkToFit="0" vertical="bottom" wrapText="1"/>
    </xf>
    <xf borderId="1" fillId="0" fontId="23" numFmtId="3" xfId="0" applyAlignment="1" applyBorder="1" applyFont="1" applyNumberFormat="1">
      <alignment horizontal="right" shrinkToFit="0" vertical="bottom" wrapText="1"/>
    </xf>
    <xf borderId="3" fillId="0" fontId="21" numFmtId="3" xfId="0" applyAlignment="1" applyBorder="1" applyFont="1" applyNumberFormat="1">
      <alignment horizontal="right" shrinkToFit="0" vertical="bottom" wrapText="1"/>
    </xf>
    <xf borderId="14" fillId="0" fontId="24" numFmtId="3" xfId="0" applyAlignment="1" applyBorder="1" applyFont="1" applyNumberFormat="1">
      <alignment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7" fillId="0" fontId="23" numFmtId="3" xfId="0" applyAlignment="1" applyBorder="1" applyFont="1" applyNumberFormat="1">
      <alignment horizontal="right" shrinkToFit="0" vertical="bottom" wrapText="1"/>
    </xf>
    <xf borderId="0" fillId="0" fontId="21" numFmtId="3" xfId="0" applyAlignment="1" applyFont="1" applyNumberFormat="1">
      <alignment horizontal="right" shrinkToFit="0" vertical="bottom" wrapText="1"/>
    </xf>
    <xf borderId="9" fillId="0" fontId="23" numFmtId="3" xfId="0" applyAlignment="1" applyBorder="1" applyFont="1" applyNumberFormat="1">
      <alignment horizontal="right" shrinkToFit="0" vertical="bottom" wrapText="1"/>
    </xf>
    <xf borderId="10" fillId="0" fontId="21" numFmtId="3" xfId="0" applyAlignment="1" applyBorder="1" applyFont="1" applyNumberFormat="1">
      <alignment horizontal="right" readingOrder="0" shrinkToFit="0" vertical="bottom" wrapText="1"/>
    </xf>
    <xf borderId="3" fillId="0" fontId="21" numFmtId="3" xfId="0" applyAlignment="1" applyBorder="1" applyFont="1" applyNumberFormat="1">
      <alignment horizontal="right" readingOrder="0" shrinkToFit="0" vertical="bottom" wrapText="1"/>
    </xf>
    <xf borderId="0" fillId="0" fontId="21" numFmtId="3" xfId="0" applyAlignment="1" applyFont="1" applyNumberFormat="1">
      <alignment horizontal="right" readingOrder="0" shrinkToFit="0" vertical="bottom" wrapText="1"/>
    </xf>
    <xf borderId="15" fillId="0" fontId="24" numFmtId="1" xfId="0" applyAlignment="1" applyBorder="1" applyFont="1" applyNumberFormat="1">
      <alignment shrinkToFit="0" vertical="bottom" wrapText="1"/>
    </xf>
    <xf borderId="6" fillId="0" fontId="24" numFmtId="0" xfId="0" applyAlignment="1" applyBorder="1" applyFont="1">
      <alignment horizontal="center" shrinkToFit="0" vertical="bottom" wrapText="1"/>
    </xf>
    <xf borderId="4" fillId="0" fontId="24" numFmtId="1" xfId="0" applyAlignment="1" applyBorder="1" applyFont="1" applyNumberFormat="1">
      <alignment vertical="bottom"/>
    </xf>
    <xf borderId="6" fillId="0" fontId="24" numFmtId="1" xfId="0" applyAlignment="1" applyBorder="1" applyFont="1" applyNumberFormat="1">
      <alignment vertical="bottom"/>
    </xf>
    <xf borderId="0" fillId="0" fontId="24" numFmtId="10" xfId="0" applyAlignment="1" applyFont="1" applyNumberFormat="1">
      <alignment horizontal="center" readingOrder="0" shrinkToFit="0" vertical="bottom" wrapText="1"/>
    </xf>
    <xf borderId="12" fillId="0" fontId="23" numFmtId="0" xfId="0" applyAlignment="1" applyBorder="1" applyFont="1">
      <alignment horizontal="center" readingOrder="0" shrinkToFit="0" vertical="center" wrapText="1"/>
    </xf>
    <xf borderId="12" fillId="0" fontId="22" numFmtId="166" xfId="0" applyAlignment="1" applyBorder="1" applyFont="1" applyNumberFormat="1">
      <alignment horizontal="center" shrinkToFit="0" vertical="bottom" wrapText="1"/>
    </xf>
    <xf borderId="12" fillId="0" fontId="24" numFmtId="3" xfId="0" applyAlignment="1" applyBorder="1" applyFont="1" applyNumberFormat="1">
      <alignment horizontal="center" shrinkToFit="0" vertical="bottom" wrapText="1"/>
    </xf>
    <xf borderId="12" fillId="0" fontId="24" numFmtId="3" xfId="0" applyAlignment="1" applyBorder="1" applyFont="1" applyNumberFormat="1">
      <alignment horizontal="center" readingOrder="0" shrinkToFit="0" vertical="bottom" wrapText="1"/>
    </xf>
    <xf borderId="0" fillId="0" fontId="2" numFmtId="10" xfId="0" applyFont="1" applyNumberFormat="1"/>
    <xf borderId="0" fillId="0" fontId="18" numFmtId="0" xfId="0" applyAlignment="1" applyFon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0" fillId="0" fontId="19" numFmtId="0" xfId="0" applyAlignment="1" applyFont="1">
      <alignment vertical="bottom"/>
    </xf>
    <xf borderId="0" fillId="0" fontId="18" numFmtId="0" xfId="0" applyAlignment="1" applyFont="1">
      <alignment horizontal="center" vertical="bottom"/>
    </xf>
    <xf borderId="0" fillId="0" fontId="18" numFmtId="167" xfId="0" applyAlignment="1" applyFont="1" applyNumberFormat="1">
      <alignment horizontal="center" readingOrder="0" vertical="bottom"/>
    </xf>
    <xf borderId="0" fillId="0" fontId="18" numFmtId="167" xfId="0" applyAlignment="1" applyFont="1" applyNumberFormat="1">
      <alignment horizontal="center" readingOrder="0" vertical="bottom"/>
    </xf>
    <xf borderId="0" fillId="0" fontId="18" numFmtId="168" xfId="0" applyAlignment="1" applyFont="1" applyNumberFormat="1">
      <alignment horizontal="center" readingOrder="0" vertical="bottom"/>
    </xf>
    <xf borderId="0" fillId="0" fontId="18" numFmtId="168" xfId="0" applyAlignment="1" applyFont="1" applyNumberFormat="1">
      <alignment horizontal="center" vertical="bottom"/>
    </xf>
    <xf borderId="0" fillId="0" fontId="18" numFmtId="0" xfId="0" applyAlignment="1" applyFont="1">
      <alignment readingOrder="0" vertical="bottom"/>
    </xf>
    <xf borderId="0" fillId="0" fontId="19" numFmtId="3" xfId="0" applyAlignment="1" applyFont="1" applyNumberFormat="1">
      <alignment horizontal="center" vertical="bottom"/>
    </xf>
    <xf borderId="0" fillId="0" fontId="19" numFmtId="3" xfId="0" applyAlignment="1" applyFont="1" applyNumberFormat="1">
      <alignment horizontal="center" readingOrder="0" vertical="bottom"/>
    </xf>
    <xf borderId="0" fillId="0" fontId="25" numFmtId="0" xfId="0" applyAlignment="1" applyFont="1">
      <alignment readingOrder="0" vertical="bottom"/>
    </xf>
    <xf borderId="0" fillId="0" fontId="25" numFmtId="0" xfId="0" applyAlignment="1" applyFont="1">
      <alignment vertical="bottom"/>
    </xf>
    <xf borderId="0" fillId="0" fontId="19" numFmtId="168" xfId="0" applyAlignment="1" applyFont="1" applyNumberFormat="1">
      <alignment horizontal="right" readingOrder="0" vertical="bottom"/>
    </xf>
    <xf borderId="0" fillId="0" fontId="19" numFmtId="168" xfId="0" applyAlignment="1" applyFont="1" applyNumberFormat="1">
      <alignment horizontal="right" vertical="bottom"/>
    </xf>
    <xf borderId="0" fillId="0" fontId="19" numFmtId="0" xfId="0" applyAlignment="1" applyFont="1">
      <alignment readingOrder="0" vertical="bottom"/>
    </xf>
    <xf borderId="0" fillId="0" fontId="18" numFmtId="3" xfId="0" applyAlignment="1" applyFont="1" applyNumberFormat="1">
      <alignment horizontal="center" vertical="bottom"/>
    </xf>
    <xf borderId="0" fillId="0" fontId="18" numFmtId="3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Софья Зименкова" id="{867e2882-ee9f-459b-b636-c0d2e3cf9c5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41" dT="2026-04-19T20:42:15.00" personId="{867e2882-ee9f-459b-b636-c0d2e3cf9c58}" id="{555f61d0-022f-42b0-aa55-9e0cd2543d27}" done="0">
    <x18tc:text xml:space="preserve">Очень странный план. Почему?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6-04-19T20:42:37.00" personId="{867e2882-ee9f-459b-b636-c0d2e3cf9c58}" id="{ce212196-a1ac-4966-b56d-882f4ae4fe54}" done="0">
    <x18tc:text xml:space="preserve">CPO? не CPL?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0" dT="2026-04-19T20:42:02.00" personId="{867e2882-ee9f-459b-b636-c0d2e3cf9c58}" id="{06bc6fcb-6720-4558-b1a7-0766449a1c7e}" done="0">
    <x18tc:text xml:space="preserve">Что произошло?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1.63"/>
    <col customWidth="1" min="3" max="3" width="16.0"/>
    <col customWidth="1" min="4" max="4" width="9.38"/>
    <col customWidth="1" min="5" max="5" width="11.0"/>
    <col customWidth="1" min="6" max="7" width="12.88"/>
    <col customWidth="1" min="8" max="8" width="15.88"/>
    <col customWidth="1" min="9" max="9" width="23.88"/>
    <col customWidth="1" min="10" max="10" width="9.5"/>
    <col customWidth="1" min="11" max="11" width="27.38"/>
    <col customWidth="1" min="12" max="12" width="10.0"/>
    <col customWidth="1" min="13" max="13" width="24.63"/>
    <col customWidth="1" min="14" max="14" width="16.63"/>
    <col customWidth="1" min="15" max="15" width="15.5"/>
    <col customWidth="1" min="16" max="16" width="16.63"/>
    <col customWidth="1" min="17" max="17" width="14.5"/>
    <col customWidth="1" min="18" max="18" width="11.88"/>
    <col customWidth="1" min="19" max="19" width="12.5"/>
    <col customWidth="1" min="20" max="20" width="21.13"/>
    <col customWidth="1" min="21" max="21" width="23.5"/>
    <col customWidth="1" min="22" max="22" width="20.88"/>
  </cols>
  <sheetData>
    <row r="2">
      <c r="A2" s="1" t="s">
        <v>0</v>
      </c>
      <c r="E2" s="2"/>
    </row>
    <row r="5">
      <c r="A5" s="3"/>
      <c r="B5" s="4"/>
      <c r="C5" s="5" t="s">
        <v>1</v>
      </c>
      <c r="D5" s="6"/>
      <c r="E5" s="5" t="s">
        <v>2</v>
      </c>
      <c r="F5" s="6"/>
      <c r="G5" s="6"/>
      <c r="H5" s="6"/>
      <c r="I5" s="7"/>
      <c r="J5" s="5" t="s">
        <v>3</v>
      </c>
      <c r="K5" s="6"/>
      <c r="L5" s="6"/>
      <c r="M5" s="6"/>
      <c r="N5" s="7"/>
      <c r="O5" s="5" t="s">
        <v>4</v>
      </c>
      <c r="P5" s="7"/>
      <c r="Q5" s="5" t="s">
        <v>5</v>
      </c>
      <c r="R5" s="6"/>
      <c r="S5" s="6"/>
      <c r="T5" s="6"/>
      <c r="U5" s="6"/>
      <c r="V5" s="7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>
      <c r="A6" s="9" t="s">
        <v>6</v>
      </c>
      <c r="B6" s="10" t="s">
        <v>7</v>
      </c>
      <c r="C6" s="9" t="s">
        <v>8</v>
      </c>
      <c r="D6" s="11" t="s">
        <v>9</v>
      </c>
      <c r="E6" s="9" t="s">
        <v>10</v>
      </c>
      <c r="F6" s="11" t="s">
        <v>11</v>
      </c>
      <c r="G6" s="11" t="s">
        <v>12</v>
      </c>
      <c r="H6" s="11" t="s">
        <v>13</v>
      </c>
      <c r="I6" s="10" t="s">
        <v>14</v>
      </c>
      <c r="J6" s="9" t="s">
        <v>15</v>
      </c>
      <c r="K6" s="11" t="s">
        <v>16</v>
      </c>
      <c r="L6" s="11" t="s">
        <v>17</v>
      </c>
      <c r="M6" s="11" t="s">
        <v>18</v>
      </c>
      <c r="N6" s="10" t="s">
        <v>19</v>
      </c>
      <c r="O6" s="9" t="s">
        <v>20</v>
      </c>
      <c r="P6" s="10" t="s">
        <v>21</v>
      </c>
      <c r="Q6" s="9" t="s">
        <v>22</v>
      </c>
      <c r="R6" s="11" t="s">
        <v>23</v>
      </c>
      <c r="S6" s="11" t="s">
        <v>24</v>
      </c>
      <c r="T6" s="11" t="s">
        <v>25</v>
      </c>
      <c r="U6" s="11" t="s">
        <v>26</v>
      </c>
      <c r="V6" s="12" t="s">
        <v>27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>
      <c r="A7" s="13">
        <v>42917.0</v>
      </c>
      <c r="B7" s="14" t="s">
        <v>28</v>
      </c>
      <c r="C7" s="15">
        <f t="array" ref="C7:C37">TRANSPOSE('Отдел маркетинга'!C9:AG9)</f>
        <v>1559</v>
      </c>
      <c r="D7" s="16">
        <f t="array" ref="D7:D37">TRANSPOSE('Отдел маркетинга'!C13:AG13)</f>
        <v>81</v>
      </c>
      <c r="E7" s="15">
        <f t="array" ref="E7:E37">TRANSPOSE('Кол-центр'!C5:AG5)</f>
        <v>78</v>
      </c>
      <c r="F7" s="16">
        <f t="array" ref="F7:F37">TRANSPOSE('Кол-центр'!C7:AG7)</f>
        <v>47</v>
      </c>
      <c r="G7" s="17">
        <f t="shared" ref="G7:G37" si="1">F7/E7</f>
        <v>0.6025641026</v>
      </c>
      <c r="H7" s="16">
        <f t="array" ref="H7:H37">TRANSPOSE('Кол-центр'!C8:AG8)</f>
        <v>20</v>
      </c>
      <c r="I7" s="18">
        <f t="shared" ref="I7:I37" si="2">H7/D7</f>
        <v>0.2469135802</v>
      </c>
      <c r="J7" s="19">
        <f t="array" ref="J7:J37">TRANSPOSE('Отдел продаж'!C5:AG5)</f>
        <v>5</v>
      </c>
      <c r="K7" s="17">
        <f t="shared" ref="K7:K37" si="3">J7/H7</f>
        <v>0.25</v>
      </c>
      <c r="L7" s="20">
        <f t="array" ref="L7:L37">TRANSPOSE('Отдел продаж'!C6:AG6)</f>
        <v>1</v>
      </c>
      <c r="M7" s="17">
        <f t="shared" ref="M7:M37" si="4">L7/J7</f>
        <v>0.2</v>
      </c>
      <c r="N7" s="21">
        <f t="array" ref="N7:N37">TRANSPOSE('Отдел продаж'!C7:AG7)</f>
        <v>149953.5</v>
      </c>
      <c r="O7" s="22">
        <f>SUM('Отдел финансов'!C11:E11)</f>
        <v>34723</v>
      </c>
      <c r="P7" s="23">
        <f>'Отдел финансов'!F11</f>
        <v>504270</v>
      </c>
      <c r="Q7" s="24">
        <f t="shared" ref="Q7:Q37" si="5">O7/D7</f>
        <v>428.6790123</v>
      </c>
      <c r="R7" s="25">
        <f t="shared" ref="R7:R37" si="6">(P7-O7)/O7</f>
        <v>13.52265069</v>
      </c>
      <c r="S7" s="26">
        <f t="shared" ref="S7:S37" si="7">IFERROR(O7/L7,0)</f>
        <v>34723</v>
      </c>
      <c r="T7" s="27">
        <f t="shared" ref="T7:T37" si="8">L7/D7</f>
        <v>0.01234567901</v>
      </c>
      <c r="U7" s="27">
        <f t="shared" ref="U7:U37" si="9">D7/C7</f>
        <v>0.0519563823</v>
      </c>
      <c r="V7" s="28">
        <f t="shared" ref="V7:V37" si="10">J7/D7</f>
        <v>0.06172839506</v>
      </c>
    </row>
    <row r="8">
      <c r="A8" s="13">
        <v>42918.0</v>
      </c>
      <c r="B8" s="14" t="s">
        <v>29</v>
      </c>
      <c r="C8" s="15">
        <v>1597.0</v>
      </c>
      <c r="D8" s="16">
        <v>101.0</v>
      </c>
      <c r="E8" s="15">
        <v>112.0</v>
      </c>
      <c r="F8" s="16">
        <v>47.0</v>
      </c>
      <c r="G8" s="17">
        <f t="shared" si="1"/>
        <v>0.4196428571</v>
      </c>
      <c r="H8" s="16">
        <v>16.0</v>
      </c>
      <c r="I8" s="18">
        <f t="shared" si="2"/>
        <v>0.1584158416</v>
      </c>
      <c r="J8" s="19">
        <v>4.0</v>
      </c>
      <c r="K8" s="17">
        <f t="shared" si="3"/>
        <v>0.25</v>
      </c>
      <c r="L8" s="20">
        <v>2.0</v>
      </c>
      <c r="M8" s="17">
        <f t="shared" si="4"/>
        <v>0.5</v>
      </c>
      <c r="N8" s="21">
        <v>570795.0</v>
      </c>
      <c r="O8" s="22">
        <f>SUM('Отдел финансов'!C12:E12)</f>
        <v>31399</v>
      </c>
      <c r="P8" s="23">
        <f>'Отдел финансов'!F12</f>
        <v>149954</v>
      </c>
      <c r="Q8" s="29">
        <f t="shared" si="5"/>
        <v>310.8811881</v>
      </c>
      <c r="R8" s="30">
        <f t="shared" si="6"/>
        <v>3.77575719</v>
      </c>
      <c r="S8" s="31">
        <f t="shared" si="7"/>
        <v>15699.5</v>
      </c>
      <c r="T8" s="17">
        <f t="shared" si="8"/>
        <v>0.0198019802</v>
      </c>
      <c r="U8" s="17">
        <f t="shared" si="9"/>
        <v>0.06324358172</v>
      </c>
      <c r="V8" s="18">
        <f t="shared" si="10"/>
        <v>0.0396039604</v>
      </c>
    </row>
    <row r="9">
      <c r="A9" s="13">
        <v>42919.0</v>
      </c>
      <c r="B9" s="14" t="s">
        <v>30</v>
      </c>
      <c r="C9" s="15">
        <v>2197.0</v>
      </c>
      <c r="D9" s="16">
        <v>69.0</v>
      </c>
      <c r="E9" s="15">
        <v>66.0</v>
      </c>
      <c r="F9" s="16">
        <v>18.0</v>
      </c>
      <c r="G9" s="17">
        <f t="shared" si="1"/>
        <v>0.2727272727</v>
      </c>
      <c r="H9" s="16">
        <v>16.0</v>
      </c>
      <c r="I9" s="18">
        <f t="shared" si="2"/>
        <v>0.231884058</v>
      </c>
      <c r="J9" s="19">
        <v>13.0</v>
      </c>
      <c r="K9" s="17">
        <f t="shared" si="3"/>
        <v>0.8125</v>
      </c>
      <c r="L9" s="20">
        <v>3.0</v>
      </c>
      <c r="M9" s="17">
        <f t="shared" si="4"/>
        <v>0.2307692308</v>
      </c>
      <c r="N9" s="21">
        <v>620925.0</v>
      </c>
      <c r="O9" s="22">
        <f>SUM('Отдел финансов'!C13:E13)</f>
        <v>58774</v>
      </c>
      <c r="P9" s="23">
        <f>'Отдел финансов'!F13</f>
        <v>570795</v>
      </c>
      <c r="Q9" s="29">
        <f t="shared" si="5"/>
        <v>851.7971014</v>
      </c>
      <c r="R9" s="30">
        <f t="shared" si="6"/>
        <v>8.711692245</v>
      </c>
      <c r="S9" s="31">
        <f t="shared" si="7"/>
        <v>19591.33333</v>
      </c>
      <c r="T9" s="17">
        <f t="shared" si="8"/>
        <v>0.04347826087</v>
      </c>
      <c r="U9" s="17">
        <f t="shared" si="9"/>
        <v>0.03140646336</v>
      </c>
      <c r="V9" s="18">
        <f t="shared" si="10"/>
        <v>0.1884057971</v>
      </c>
    </row>
    <row r="10">
      <c r="A10" s="13">
        <v>42920.0</v>
      </c>
      <c r="B10" s="14" t="s">
        <v>31</v>
      </c>
      <c r="C10" s="15">
        <v>1730.0</v>
      </c>
      <c r="D10" s="16">
        <v>71.0</v>
      </c>
      <c r="E10" s="15">
        <v>68.0</v>
      </c>
      <c r="F10" s="16">
        <v>4.0</v>
      </c>
      <c r="G10" s="17">
        <f t="shared" si="1"/>
        <v>0.05882352941</v>
      </c>
      <c r="H10" s="16">
        <v>3.0</v>
      </c>
      <c r="I10" s="18">
        <f t="shared" si="2"/>
        <v>0.04225352113</v>
      </c>
      <c r="J10" s="19">
        <v>10.0</v>
      </c>
      <c r="K10" s="17">
        <f t="shared" si="3"/>
        <v>3.333333333</v>
      </c>
      <c r="L10" s="20">
        <v>1.0</v>
      </c>
      <c r="M10" s="17">
        <f t="shared" si="4"/>
        <v>0.1</v>
      </c>
      <c r="N10" s="21">
        <v>416134.5</v>
      </c>
      <c r="O10" s="22">
        <f>SUM('Отдел финансов'!C14:E14)</f>
        <v>36565</v>
      </c>
      <c r="P10" s="23">
        <f>'Отдел финансов'!F14</f>
        <v>620925</v>
      </c>
      <c r="Q10" s="29">
        <f t="shared" si="5"/>
        <v>515</v>
      </c>
      <c r="R10" s="30">
        <f t="shared" si="6"/>
        <v>15.98140298</v>
      </c>
      <c r="S10" s="31">
        <f t="shared" si="7"/>
        <v>36565</v>
      </c>
      <c r="T10" s="17">
        <f t="shared" si="8"/>
        <v>0.01408450704</v>
      </c>
      <c r="U10" s="17">
        <f t="shared" si="9"/>
        <v>0.04104046243</v>
      </c>
      <c r="V10" s="18">
        <f t="shared" si="10"/>
        <v>0.1408450704</v>
      </c>
    </row>
    <row r="11">
      <c r="A11" s="13">
        <v>42921.0</v>
      </c>
      <c r="B11" s="14" t="s">
        <v>32</v>
      </c>
      <c r="C11" s="15">
        <v>2062.0</v>
      </c>
      <c r="D11" s="16">
        <v>105.0</v>
      </c>
      <c r="E11" s="15">
        <v>105.0</v>
      </c>
      <c r="F11" s="16">
        <v>46.0</v>
      </c>
      <c r="G11" s="17">
        <f t="shared" si="1"/>
        <v>0.4380952381</v>
      </c>
      <c r="H11" s="16">
        <v>15.0</v>
      </c>
      <c r="I11" s="18">
        <f t="shared" si="2"/>
        <v>0.1428571429</v>
      </c>
      <c r="J11" s="19">
        <v>13.0</v>
      </c>
      <c r="K11" s="17">
        <f t="shared" si="3"/>
        <v>0.8666666667</v>
      </c>
      <c r="L11" s="20">
        <v>3.0</v>
      </c>
      <c r="M11" s="17">
        <f t="shared" si="4"/>
        <v>0.2307692308</v>
      </c>
      <c r="N11" s="21">
        <v>44640.0</v>
      </c>
      <c r="O11" s="22">
        <f>SUM('Отдел финансов'!C15:E15)</f>
        <v>52868</v>
      </c>
      <c r="P11" s="23">
        <f>'Отдел финансов'!F15</f>
        <v>416134.5</v>
      </c>
      <c r="Q11" s="29">
        <f t="shared" si="5"/>
        <v>503.5047619</v>
      </c>
      <c r="R11" s="30">
        <f t="shared" si="6"/>
        <v>6.871198078</v>
      </c>
      <c r="S11" s="31">
        <f t="shared" si="7"/>
        <v>17622.66667</v>
      </c>
      <c r="T11" s="17">
        <f t="shared" si="8"/>
        <v>0.02857142857</v>
      </c>
      <c r="U11" s="17">
        <f t="shared" si="9"/>
        <v>0.0509214355</v>
      </c>
      <c r="V11" s="18">
        <f t="shared" si="10"/>
        <v>0.1238095238</v>
      </c>
    </row>
    <row r="12">
      <c r="A12" s="13">
        <v>42922.0</v>
      </c>
      <c r="B12" s="14" t="s">
        <v>33</v>
      </c>
      <c r="C12" s="15">
        <v>1950.0</v>
      </c>
      <c r="D12" s="16">
        <v>76.0</v>
      </c>
      <c r="E12" s="15">
        <v>76.0</v>
      </c>
      <c r="F12" s="16">
        <v>10.0</v>
      </c>
      <c r="G12" s="17">
        <f t="shared" si="1"/>
        <v>0.1315789474</v>
      </c>
      <c r="H12" s="16">
        <v>12.0</v>
      </c>
      <c r="I12" s="18">
        <f t="shared" si="2"/>
        <v>0.1578947368</v>
      </c>
      <c r="J12" s="19">
        <v>6.0</v>
      </c>
      <c r="K12" s="17">
        <f t="shared" si="3"/>
        <v>0.5</v>
      </c>
      <c r="L12" s="20">
        <v>3.0</v>
      </c>
      <c r="M12" s="17">
        <f t="shared" si="4"/>
        <v>0.5</v>
      </c>
      <c r="N12" s="21">
        <v>750255.0</v>
      </c>
      <c r="O12" s="22">
        <f>SUM('Отдел финансов'!C16:E16)</f>
        <v>53764</v>
      </c>
      <c r="P12" s="23">
        <f>'Отдел финансов'!F16</f>
        <v>357450</v>
      </c>
      <c r="Q12" s="29">
        <f t="shared" si="5"/>
        <v>707.4210526</v>
      </c>
      <c r="R12" s="30">
        <f t="shared" si="6"/>
        <v>5.648500856</v>
      </c>
      <c r="S12" s="31">
        <f t="shared" si="7"/>
        <v>17921.33333</v>
      </c>
      <c r="T12" s="17">
        <f t="shared" si="8"/>
        <v>0.03947368421</v>
      </c>
      <c r="U12" s="17">
        <f t="shared" si="9"/>
        <v>0.03897435897</v>
      </c>
      <c r="V12" s="18">
        <f t="shared" si="10"/>
        <v>0.07894736842</v>
      </c>
    </row>
    <row r="13">
      <c r="A13" s="13">
        <v>42923.0</v>
      </c>
      <c r="B13" s="14" t="s">
        <v>34</v>
      </c>
      <c r="C13" s="15">
        <v>1436.0</v>
      </c>
      <c r="D13" s="16">
        <v>66.0</v>
      </c>
      <c r="E13" s="15">
        <v>66.0</v>
      </c>
      <c r="F13" s="16">
        <v>41.0</v>
      </c>
      <c r="G13" s="17">
        <f t="shared" si="1"/>
        <v>0.6212121212</v>
      </c>
      <c r="H13" s="16">
        <v>13.0</v>
      </c>
      <c r="I13" s="18">
        <f t="shared" si="2"/>
        <v>0.196969697</v>
      </c>
      <c r="J13" s="19">
        <v>13.0</v>
      </c>
      <c r="K13" s="17">
        <f t="shared" si="3"/>
        <v>1</v>
      </c>
      <c r="L13" s="20">
        <v>2.0</v>
      </c>
      <c r="M13" s="17">
        <f t="shared" si="4"/>
        <v>0.1538461538</v>
      </c>
      <c r="N13" s="21">
        <v>439575.0</v>
      </c>
      <c r="O13" s="22">
        <f>SUM('Отдел финансов'!C17:E17)</f>
        <v>35121</v>
      </c>
      <c r="P13" s="23">
        <f>'Отдел финансов'!F17</f>
        <v>479340</v>
      </c>
      <c r="Q13" s="29">
        <f t="shared" si="5"/>
        <v>532.1363636</v>
      </c>
      <c r="R13" s="30">
        <f t="shared" si="6"/>
        <v>12.64824464</v>
      </c>
      <c r="S13" s="31">
        <f t="shared" si="7"/>
        <v>17560.5</v>
      </c>
      <c r="T13" s="17">
        <f t="shared" si="8"/>
        <v>0.0303030303</v>
      </c>
      <c r="U13" s="17">
        <f t="shared" si="9"/>
        <v>0.04596100279</v>
      </c>
      <c r="V13" s="18">
        <f t="shared" si="10"/>
        <v>0.196969697</v>
      </c>
    </row>
    <row r="14">
      <c r="A14" s="13">
        <v>42924.0</v>
      </c>
      <c r="B14" s="14" t="s">
        <v>28</v>
      </c>
      <c r="C14" s="15">
        <v>768.0</v>
      </c>
      <c r="D14" s="16">
        <v>45.0</v>
      </c>
      <c r="E14" s="15">
        <v>47.0</v>
      </c>
      <c r="F14" s="16">
        <v>26.0</v>
      </c>
      <c r="G14" s="17">
        <f t="shared" si="1"/>
        <v>0.5531914894</v>
      </c>
      <c r="H14" s="16">
        <v>15.0</v>
      </c>
      <c r="I14" s="18">
        <f t="shared" si="2"/>
        <v>0.3333333333</v>
      </c>
      <c r="J14" s="19">
        <v>11.0</v>
      </c>
      <c r="K14" s="17">
        <f t="shared" si="3"/>
        <v>0.7333333333</v>
      </c>
      <c r="L14" s="20">
        <v>0.0</v>
      </c>
      <c r="M14" s="17">
        <f t="shared" si="4"/>
        <v>0</v>
      </c>
      <c r="N14" s="21">
        <v>0.0</v>
      </c>
      <c r="O14" s="22">
        <f>SUM('Отдел финансов'!C18:E18)</f>
        <v>31301</v>
      </c>
      <c r="P14" s="23">
        <f>'Отдел финансов'!F18</f>
        <v>181935</v>
      </c>
      <c r="Q14" s="29">
        <f t="shared" si="5"/>
        <v>695.5777778</v>
      </c>
      <c r="R14" s="30">
        <f t="shared" si="6"/>
        <v>4.812434108</v>
      </c>
      <c r="S14" s="31">
        <f t="shared" si="7"/>
        <v>0</v>
      </c>
      <c r="T14" s="17">
        <f t="shared" si="8"/>
        <v>0</v>
      </c>
      <c r="U14" s="17">
        <f t="shared" si="9"/>
        <v>0.05859375</v>
      </c>
      <c r="V14" s="18">
        <f t="shared" si="10"/>
        <v>0.2444444444</v>
      </c>
    </row>
    <row r="15">
      <c r="A15" s="13">
        <v>42925.0</v>
      </c>
      <c r="B15" s="14" t="s">
        <v>29</v>
      </c>
      <c r="C15" s="15">
        <v>1031.0</v>
      </c>
      <c r="D15" s="16">
        <v>51.0</v>
      </c>
      <c r="E15" s="15">
        <v>53.0</v>
      </c>
      <c r="F15" s="16">
        <v>10.0</v>
      </c>
      <c r="G15" s="17">
        <f t="shared" si="1"/>
        <v>0.1886792453</v>
      </c>
      <c r="H15" s="16">
        <v>10.0</v>
      </c>
      <c r="I15" s="18">
        <f t="shared" si="2"/>
        <v>0.1960784314</v>
      </c>
      <c r="J15" s="19">
        <v>14.0</v>
      </c>
      <c r="K15" s="17">
        <f t="shared" si="3"/>
        <v>1.4</v>
      </c>
      <c r="L15" s="20">
        <v>3.0</v>
      </c>
      <c r="M15" s="17">
        <f t="shared" si="4"/>
        <v>0.2142857143</v>
      </c>
      <c r="N15" s="21">
        <v>101640.0</v>
      </c>
      <c r="O15" s="22">
        <f>SUM('Отдел финансов'!C19:E19)</f>
        <v>27647</v>
      </c>
      <c r="P15" s="23">
        <f>'Отдел финансов'!F19</f>
        <v>505125</v>
      </c>
      <c r="Q15" s="29">
        <f t="shared" si="5"/>
        <v>542.0980392</v>
      </c>
      <c r="R15" s="30">
        <f t="shared" si="6"/>
        <v>17.2705176</v>
      </c>
      <c r="S15" s="31">
        <f t="shared" si="7"/>
        <v>9215.666667</v>
      </c>
      <c r="T15" s="17">
        <f t="shared" si="8"/>
        <v>0.05882352941</v>
      </c>
      <c r="U15" s="17">
        <f t="shared" si="9"/>
        <v>0.04946653734</v>
      </c>
      <c r="V15" s="18">
        <f t="shared" si="10"/>
        <v>0.2745098039</v>
      </c>
    </row>
    <row r="16">
      <c r="A16" s="13">
        <v>42926.0</v>
      </c>
      <c r="B16" s="14" t="s">
        <v>30</v>
      </c>
      <c r="C16" s="15">
        <v>1151.0</v>
      </c>
      <c r="D16" s="16">
        <v>76.0</v>
      </c>
      <c r="E16" s="15">
        <v>78.0</v>
      </c>
      <c r="F16" s="16">
        <v>45.0</v>
      </c>
      <c r="G16" s="17">
        <f t="shared" si="1"/>
        <v>0.5769230769</v>
      </c>
      <c r="H16" s="16">
        <v>10.0</v>
      </c>
      <c r="I16" s="18">
        <f t="shared" si="2"/>
        <v>0.1315789474</v>
      </c>
      <c r="J16" s="19">
        <v>4.0</v>
      </c>
      <c r="K16" s="17">
        <f t="shared" si="3"/>
        <v>0.4</v>
      </c>
      <c r="L16" s="20">
        <v>1.0</v>
      </c>
      <c r="M16" s="17">
        <f t="shared" si="4"/>
        <v>0.25</v>
      </c>
      <c r="N16" s="21">
        <v>256350.0</v>
      </c>
      <c r="O16" s="22">
        <f>SUM('Отдел финансов'!C20:E20)</f>
        <v>33234</v>
      </c>
      <c r="P16" s="23">
        <f>'Отдел финансов'!F20</f>
        <v>605820</v>
      </c>
      <c r="Q16" s="29">
        <f t="shared" si="5"/>
        <v>437.2894737</v>
      </c>
      <c r="R16" s="30">
        <f t="shared" si="6"/>
        <v>17.22892219</v>
      </c>
      <c r="S16" s="31">
        <f t="shared" si="7"/>
        <v>33234</v>
      </c>
      <c r="T16" s="17">
        <f t="shared" si="8"/>
        <v>0.01315789474</v>
      </c>
      <c r="U16" s="17">
        <f t="shared" si="9"/>
        <v>0.06602953953</v>
      </c>
      <c r="V16" s="18">
        <f t="shared" si="10"/>
        <v>0.05263157895</v>
      </c>
    </row>
    <row r="17">
      <c r="A17" s="13">
        <v>42927.0</v>
      </c>
      <c r="B17" s="14" t="s">
        <v>31</v>
      </c>
      <c r="C17" s="15">
        <v>1236.0</v>
      </c>
      <c r="D17" s="16">
        <v>71.0</v>
      </c>
      <c r="E17" s="15">
        <v>73.0</v>
      </c>
      <c r="F17" s="16">
        <v>39.0</v>
      </c>
      <c r="G17" s="17">
        <f t="shared" si="1"/>
        <v>0.5342465753</v>
      </c>
      <c r="H17" s="16">
        <v>12.0</v>
      </c>
      <c r="I17" s="18">
        <f t="shared" si="2"/>
        <v>0.1690140845</v>
      </c>
      <c r="J17" s="19">
        <v>12.0</v>
      </c>
      <c r="K17" s="17">
        <f t="shared" si="3"/>
        <v>1</v>
      </c>
      <c r="L17" s="20">
        <v>4.0</v>
      </c>
      <c r="M17" s="17">
        <f t="shared" si="4"/>
        <v>0.3333333333</v>
      </c>
      <c r="N17" s="21">
        <v>1497240.0</v>
      </c>
      <c r="O17" s="22">
        <f>SUM('Отдел финансов'!C21:E21)</f>
        <v>25974</v>
      </c>
      <c r="P17" s="23">
        <f>'Отдел финансов'!F21</f>
        <v>431010</v>
      </c>
      <c r="Q17" s="29">
        <f t="shared" si="5"/>
        <v>365.8309859</v>
      </c>
      <c r="R17" s="30">
        <f t="shared" si="6"/>
        <v>15.59390159</v>
      </c>
      <c r="S17" s="31">
        <f t="shared" si="7"/>
        <v>6493.5</v>
      </c>
      <c r="T17" s="17">
        <f t="shared" si="8"/>
        <v>0.05633802817</v>
      </c>
      <c r="U17" s="17">
        <f t="shared" si="9"/>
        <v>0.0574433657</v>
      </c>
      <c r="V17" s="18">
        <f t="shared" si="10"/>
        <v>0.1690140845</v>
      </c>
    </row>
    <row r="18">
      <c r="A18" s="13">
        <v>42928.0</v>
      </c>
      <c r="B18" s="14" t="s">
        <v>32</v>
      </c>
      <c r="C18" s="15">
        <v>1095.0</v>
      </c>
      <c r="D18" s="16">
        <v>87.0</v>
      </c>
      <c r="E18" s="15">
        <v>80.0</v>
      </c>
      <c r="F18" s="16">
        <v>44.0</v>
      </c>
      <c r="G18" s="17">
        <f t="shared" si="1"/>
        <v>0.55</v>
      </c>
      <c r="H18" s="16">
        <v>7.0</v>
      </c>
      <c r="I18" s="18">
        <f t="shared" si="2"/>
        <v>0.08045977011</v>
      </c>
      <c r="J18" s="19">
        <v>7.0</v>
      </c>
      <c r="K18" s="17">
        <f t="shared" si="3"/>
        <v>1</v>
      </c>
      <c r="L18" s="20">
        <v>1.0</v>
      </c>
      <c r="M18" s="17">
        <f t="shared" si="4"/>
        <v>0.1428571429</v>
      </c>
      <c r="N18" s="21">
        <v>266055.0</v>
      </c>
      <c r="O18" s="22">
        <f>SUM('Отдел финансов'!C22:E22)</f>
        <v>40591</v>
      </c>
      <c r="P18" s="23">
        <f>'Отдел финансов'!F22</f>
        <v>366337.5</v>
      </c>
      <c r="Q18" s="29">
        <f t="shared" si="5"/>
        <v>466.5632184</v>
      </c>
      <c r="R18" s="30">
        <f t="shared" si="6"/>
        <v>8.025091769</v>
      </c>
      <c r="S18" s="31">
        <f t="shared" si="7"/>
        <v>40591</v>
      </c>
      <c r="T18" s="17">
        <f t="shared" si="8"/>
        <v>0.01149425287</v>
      </c>
      <c r="U18" s="17">
        <f t="shared" si="9"/>
        <v>0.07945205479</v>
      </c>
      <c r="V18" s="18">
        <f t="shared" si="10"/>
        <v>0.08045977011</v>
      </c>
    </row>
    <row r="19">
      <c r="A19" s="13">
        <v>42929.0</v>
      </c>
      <c r="B19" s="14" t="s">
        <v>33</v>
      </c>
      <c r="C19" s="15">
        <v>1168.0</v>
      </c>
      <c r="D19" s="16">
        <v>49.0</v>
      </c>
      <c r="E19" s="15">
        <v>45.0</v>
      </c>
      <c r="F19" s="16">
        <v>26.0</v>
      </c>
      <c r="G19" s="17">
        <f t="shared" si="1"/>
        <v>0.5777777778</v>
      </c>
      <c r="H19" s="16">
        <v>13.0</v>
      </c>
      <c r="I19" s="18">
        <f t="shared" si="2"/>
        <v>0.2653061224</v>
      </c>
      <c r="J19" s="19">
        <v>13.0</v>
      </c>
      <c r="K19" s="17">
        <f t="shared" si="3"/>
        <v>1</v>
      </c>
      <c r="L19" s="20">
        <v>3.0</v>
      </c>
      <c r="M19" s="17">
        <f t="shared" si="4"/>
        <v>0.2307692308</v>
      </c>
      <c r="N19" s="21">
        <v>839610.0</v>
      </c>
      <c r="O19" s="22">
        <f>SUM('Отдел финансов'!C23:E23)</f>
        <v>35188</v>
      </c>
      <c r="P19" s="23">
        <f>'Отдел финансов'!F23</f>
        <v>43425</v>
      </c>
      <c r="Q19" s="29">
        <f t="shared" si="5"/>
        <v>718.122449</v>
      </c>
      <c r="R19" s="30">
        <f t="shared" si="6"/>
        <v>0.2340854837</v>
      </c>
      <c r="S19" s="31">
        <f t="shared" si="7"/>
        <v>11729.33333</v>
      </c>
      <c r="T19" s="17">
        <f t="shared" si="8"/>
        <v>0.0612244898</v>
      </c>
      <c r="U19" s="17">
        <f t="shared" si="9"/>
        <v>0.04195205479</v>
      </c>
      <c r="V19" s="18">
        <f t="shared" si="10"/>
        <v>0.2653061224</v>
      </c>
    </row>
    <row r="20">
      <c r="A20" s="13">
        <v>42930.0</v>
      </c>
      <c r="B20" s="14" t="s">
        <v>34</v>
      </c>
      <c r="C20" s="15">
        <v>1076.0</v>
      </c>
      <c r="D20" s="16">
        <v>44.0</v>
      </c>
      <c r="E20" s="15">
        <v>44.0</v>
      </c>
      <c r="F20" s="16">
        <v>23.0</v>
      </c>
      <c r="G20" s="17">
        <f t="shared" si="1"/>
        <v>0.5227272727</v>
      </c>
      <c r="H20" s="16">
        <v>6.0</v>
      </c>
      <c r="I20" s="18">
        <f t="shared" si="2"/>
        <v>0.1363636364</v>
      </c>
      <c r="J20" s="19">
        <v>5.0</v>
      </c>
      <c r="K20" s="17">
        <f t="shared" si="3"/>
        <v>0.8333333333</v>
      </c>
      <c r="L20" s="20">
        <v>2.0</v>
      </c>
      <c r="M20" s="17">
        <f t="shared" si="4"/>
        <v>0.4</v>
      </c>
      <c r="N20" s="21">
        <v>462360.0</v>
      </c>
      <c r="O20" s="22">
        <f>SUM('Отдел финансов'!C24:E24)</f>
        <v>30101</v>
      </c>
      <c r="P20" s="23">
        <f>'Отдел финансов'!F24</f>
        <v>540217.5</v>
      </c>
      <c r="Q20" s="29">
        <f t="shared" si="5"/>
        <v>684.1136364</v>
      </c>
      <c r="R20" s="30">
        <f t="shared" si="6"/>
        <v>16.94682901</v>
      </c>
      <c r="S20" s="31">
        <f t="shared" si="7"/>
        <v>15050.5</v>
      </c>
      <c r="T20" s="17">
        <f t="shared" si="8"/>
        <v>0.04545454545</v>
      </c>
      <c r="U20" s="17">
        <f t="shared" si="9"/>
        <v>0.04089219331</v>
      </c>
      <c r="V20" s="18">
        <f t="shared" si="10"/>
        <v>0.1136363636</v>
      </c>
    </row>
    <row r="21">
      <c r="A21" s="13">
        <v>42931.0</v>
      </c>
      <c r="B21" s="14" t="s">
        <v>28</v>
      </c>
      <c r="C21" s="15">
        <v>850.0</v>
      </c>
      <c r="D21" s="16">
        <v>30.0</v>
      </c>
      <c r="E21" s="15">
        <v>35.0</v>
      </c>
      <c r="F21" s="16">
        <v>14.0</v>
      </c>
      <c r="G21" s="17">
        <f t="shared" si="1"/>
        <v>0.4</v>
      </c>
      <c r="H21" s="16">
        <v>11.0</v>
      </c>
      <c r="I21" s="18">
        <f t="shared" si="2"/>
        <v>0.3666666667</v>
      </c>
      <c r="J21" s="19">
        <v>9.0</v>
      </c>
      <c r="K21" s="17">
        <f t="shared" si="3"/>
        <v>0.8181818182</v>
      </c>
      <c r="L21" s="20">
        <v>2.0</v>
      </c>
      <c r="M21" s="17">
        <f t="shared" si="4"/>
        <v>0.2222222222</v>
      </c>
      <c r="N21" s="21">
        <v>513720.0</v>
      </c>
      <c r="O21" s="22">
        <f>SUM('Отдел финансов'!C25:E25)</f>
        <v>21961</v>
      </c>
      <c r="P21" s="23">
        <f>'Отдел финансов'!F25</f>
        <v>249664.5</v>
      </c>
      <c r="Q21" s="29">
        <f t="shared" si="5"/>
        <v>732.0333333</v>
      </c>
      <c r="R21" s="30">
        <f t="shared" si="6"/>
        <v>10.36853968</v>
      </c>
      <c r="S21" s="31">
        <f t="shared" si="7"/>
        <v>10980.5</v>
      </c>
      <c r="T21" s="17">
        <f t="shared" si="8"/>
        <v>0.06666666667</v>
      </c>
      <c r="U21" s="17">
        <f t="shared" si="9"/>
        <v>0.03529411765</v>
      </c>
      <c r="V21" s="18">
        <f t="shared" si="10"/>
        <v>0.3</v>
      </c>
    </row>
    <row r="22">
      <c r="A22" s="13">
        <v>42932.0</v>
      </c>
      <c r="B22" s="14" t="s">
        <v>29</v>
      </c>
      <c r="C22" s="15">
        <v>452.0</v>
      </c>
      <c r="D22" s="16">
        <v>19.0</v>
      </c>
      <c r="E22" s="15">
        <v>20.0</v>
      </c>
      <c r="F22" s="16">
        <v>14.0</v>
      </c>
      <c r="G22" s="17">
        <f t="shared" si="1"/>
        <v>0.7</v>
      </c>
      <c r="H22" s="16">
        <v>6.0</v>
      </c>
      <c r="I22" s="18">
        <f t="shared" si="2"/>
        <v>0.3157894737</v>
      </c>
      <c r="J22" s="19">
        <v>4.0</v>
      </c>
      <c r="K22" s="17">
        <f t="shared" si="3"/>
        <v>0.6666666667</v>
      </c>
      <c r="L22" s="20">
        <v>0.0</v>
      </c>
      <c r="M22" s="17">
        <f t="shared" si="4"/>
        <v>0</v>
      </c>
      <c r="N22" s="21">
        <v>0.0</v>
      </c>
      <c r="O22" s="22">
        <f>SUM('Отдел финансов'!C26:E26)</f>
        <v>12031</v>
      </c>
      <c r="P22" s="23">
        <f>'Отдел финансов'!F26</f>
        <v>364609.5</v>
      </c>
      <c r="Q22" s="29">
        <f t="shared" si="5"/>
        <v>633.2105263</v>
      </c>
      <c r="R22" s="30">
        <f t="shared" si="6"/>
        <v>29.30583493</v>
      </c>
      <c r="S22" s="31">
        <f t="shared" si="7"/>
        <v>0</v>
      </c>
      <c r="T22" s="17">
        <f t="shared" si="8"/>
        <v>0</v>
      </c>
      <c r="U22" s="17">
        <f t="shared" si="9"/>
        <v>0.04203539823</v>
      </c>
      <c r="V22" s="18">
        <f t="shared" si="10"/>
        <v>0.2105263158</v>
      </c>
    </row>
    <row r="23">
      <c r="A23" s="13">
        <v>42933.0</v>
      </c>
      <c r="B23" s="14" t="s">
        <v>30</v>
      </c>
      <c r="C23" s="15">
        <v>1176.0</v>
      </c>
      <c r="D23" s="16">
        <v>93.0</v>
      </c>
      <c r="E23" s="15">
        <v>98.0</v>
      </c>
      <c r="F23" s="16">
        <v>40.0</v>
      </c>
      <c r="G23" s="17">
        <f t="shared" si="1"/>
        <v>0.4081632653</v>
      </c>
      <c r="H23" s="16">
        <v>12.0</v>
      </c>
      <c r="I23" s="18">
        <f t="shared" si="2"/>
        <v>0.1290322581</v>
      </c>
      <c r="J23" s="19">
        <v>11.0</v>
      </c>
      <c r="K23" s="17">
        <f t="shared" si="3"/>
        <v>0.9166666667</v>
      </c>
      <c r="L23" s="20">
        <v>1.0</v>
      </c>
      <c r="M23" s="17">
        <f t="shared" si="4"/>
        <v>0.09090909091</v>
      </c>
      <c r="N23" s="21">
        <v>499680.0</v>
      </c>
      <c r="O23" s="22">
        <f>SUM('Отдел финансов'!C27:E27)</f>
        <v>39256</v>
      </c>
      <c r="P23" s="23">
        <f>'Отдел финансов'!F27</f>
        <v>268890</v>
      </c>
      <c r="Q23" s="29">
        <f t="shared" si="5"/>
        <v>422.1075269</v>
      </c>
      <c r="R23" s="30">
        <f t="shared" si="6"/>
        <v>5.849653556</v>
      </c>
      <c r="S23" s="31">
        <f t="shared" si="7"/>
        <v>39256</v>
      </c>
      <c r="T23" s="17">
        <f t="shared" si="8"/>
        <v>0.01075268817</v>
      </c>
      <c r="U23" s="17">
        <f t="shared" si="9"/>
        <v>0.07908163265</v>
      </c>
      <c r="V23" s="18">
        <f t="shared" si="10"/>
        <v>0.1182795699</v>
      </c>
    </row>
    <row r="24">
      <c r="A24" s="13">
        <v>42934.0</v>
      </c>
      <c r="B24" s="14" t="s">
        <v>31</v>
      </c>
      <c r="C24" s="15">
        <v>1053.0</v>
      </c>
      <c r="D24" s="16">
        <v>73.0</v>
      </c>
      <c r="E24" s="15">
        <v>77.0</v>
      </c>
      <c r="F24" s="16">
        <v>23.0</v>
      </c>
      <c r="G24" s="17">
        <f t="shared" si="1"/>
        <v>0.2987012987</v>
      </c>
      <c r="H24" s="16">
        <v>12.0</v>
      </c>
      <c r="I24" s="18">
        <f t="shared" si="2"/>
        <v>0.1643835616</v>
      </c>
      <c r="J24" s="19">
        <v>7.0</v>
      </c>
      <c r="K24" s="17">
        <f t="shared" si="3"/>
        <v>0.5833333333</v>
      </c>
      <c r="L24" s="20">
        <v>0.0</v>
      </c>
      <c r="M24" s="17">
        <f t="shared" si="4"/>
        <v>0</v>
      </c>
      <c r="N24" s="21">
        <v>0.0</v>
      </c>
      <c r="O24" s="22">
        <f>SUM('Отдел финансов'!C28:E28)</f>
        <v>39060</v>
      </c>
      <c r="P24" s="23">
        <f>'Отдел финансов'!F28</f>
        <v>499680</v>
      </c>
      <c r="Q24" s="29">
        <f t="shared" si="5"/>
        <v>535.0684932</v>
      </c>
      <c r="R24" s="30">
        <f t="shared" si="6"/>
        <v>11.79262673</v>
      </c>
      <c r="S24" s="31">
        <f t="shared" si="7"/>
        <v>0</v>
      </c>
      <c r="T24" s="17">
        <f t="shared" si="8"/>
        <v>0</v>
      </c>
      <c r="U24" s="17">
        <f t="shared" si="9"/>
        <v>0.06932573599</v>
      </c>
      <c r="V24" s="18">
        <f t="shared" si="10"/>
        <v>0.09589041096</v>
      </c>
    </row>
    <row r="25">
      <c r="A25" s="13">
        <v>42935.0</v>
      </c>
      <c r="B25" s="14" t="s">
        <v>32</v>
      </c>
      <c r="C25" s="15">
        <v>971.0</v>
      </c>
      <c r="D25" s="16">
        <v>62.0</v>
      </c>
      <c r="E25" s="15">
        <v>80.0</v>
      </c>
      <c r="F25" s="16">
        <v>28.0</v>
      </c>
      <c r="G25" s="17">
        <f t="shared" si="1"/>
        <v>0.35</v>
      </c>
      <c r="H25" s="16">
        <v>20.0</v>
      </c>
      <c r="I25" s="18">
        <f t="shared" si="2"/>
        <v>0.3225806452</v>
      </c>
      <c r="J25" s="19">
        <v>12.0</v>
      </c>
      <c r="K25" s="17">
        <f t="shared" si="3"/>
        <v>0.6</v>
      </c>
      <c r="L25" s="20">
        <v>3.0</v>
      </c>
      <c r="M25" s="17">
        <f t="shared" si="4"/>
        <v>0.25</v>
      </c>
      <c r="N25" s="21">
        <v>634708.5</v>
      </c>
      <c r="O25" s="22">
        <f>SUM('Отдел финансов'!C29:E29)</f>
        <v>34095</v>
      </c>
      <c r="P25" s="23">
        <f>'Отдел финансов'!F29</f>
        <v>0</v>
      </c>
      <c r="Q25" s="29">
        <f t="shared" si="5"/>
        <v>549.9193548</v>
      </c>
      <c r="R25" s="30">
        <f t="shared" si="6"/>
        <v>-1</v>
      </c>
      <c r="S25" s="31">
        <f t="shared" si="7"/>
        <v>11365</v>
      </c>
      <c r="T25" s="17">
        <f t="shared" si="8"/>
        <v>0.04838709677</v>
      </c>
      <c r="U25" s="17">
        <f t="shared" si="9"/>
        <v>0.06385169928</v>
      </c>
      <c r="V25" s="18">
        <f t="shared" si="10"/>
        <v>0.1935483871</v>
      </c>
    </row>
    <row r="26">
      <c r="A26" s="13">
        <v>42936.0</v>
      </c>
      <c r="B26" s="14" t="s">
        <v>33</v>
      </c>
      <c r="C26" s="15">
        <v>994.0</v>
      </c>
      <c r="D26" s="16">
        <v>104.0</v>
      </c>
      <c r="E26" s="15">
        <v>111.0</v>
      </c>
      <c r="F26" s="16">
        <v>58.0</v>
      </c>
      <c r="G26" s="17">
        <f t="shared" si="1"/>
        <v>0.5225225225</v>
      </c>
      <c r="H26" s="16">
        <v>18.0</v>
      </c>
      <c r="I26" s="18">
        <f t="shared" si="2"/>
        <v>0.1730769231</v>
      </c>
      <c r="J26" s="19">
        <v>11.0</v>
      </c>
      <c r="K26" s="17">
        <f t="shared" si="3"/>
        <v>0.6111111111</v>
      </c>
      <c r="L26" s="20">
        <v>5.0</v>
      </c>
      <c r="M26" s="17">
        <f t="shared" si="4"/>
        <v>0.4545454545</v>
      </c>
      <c r="N26" s="21">
        <v>603900.0</v>
      </c>
      <c r="O26" s="22">
        <f>SUM('Отдел финансов'!C30:E30)</f>
        <v>36890</v>
      </c>
      <c r="P26" s="23">
        <f>'Отдел финансов'!F30</f>
        <v>634708.5</v>
      </c>
      <c r="Q26" s="29">
        <f t="shared" si="5"/>
        <v>354.7115385</v>
      </c>
      <c r="R26" s="30">
        <f t="shared" si="6"/>
        <v>16.20543508</v>
      </c>
      <c r="S26" s="31">
        <f t="shared" si="7"/>
        <v>7378</v>
      </c>
      <c r="T26" s="17">
        <f t="shared" si="8"/>
        <v>0.04807692308</v>
      </c>
      <c r="U26" s="17">
        <f t="shared" si="9"/>
        <v>0.1046277666</v>
      </c>
      <c r="V26" s="18">
        <f t="shared" si="10"/>
        <v>0.1057692308</v>
      </c>
    </row>
    <row r="27">
      <c r="A27" s="13">
        <v>42937.0</v>
      </c>
      <c r="B27" s="14" t="s">
        <v>34</v>
      </c>
      <c r="C27" s="15">
        <v>743.0</v>
      </c>
      <c r="D27" s="16">
        <v>61.0</v>
      </c>
      <c r="E27" s="15">
        <v>68.0</v>
      </c>
      <c r="F27" s="16">
        <v>37.0</v>
      </c>
      <c r="G27" s="17">
        <f t="shared" si="1"/>
        <v>0.5441176471</v>
      </c>
      <c r="H27" s="16">
        <v>16.0</v>
      </c>
      <c r="I27" s="18">
        <f t="shared" si="2"/>
        <v>0.262295082</v>
      </c>
      <c r="J27" s="19">
        <v>11.0</v>
      </c>
      <c r="K27" s="17">
        <f t="shared" si="3"/>
        <v>0.6875</v>
      </c>
      <c r="L27" s="20">
        <v>3.0</v>
      </c>
      <c r="M27" s="17">
        <f t="shared" si="4"/>
        <v>0.2727272727</v>
      </c>
      <c r="N27" s="21">
        <v>159570.0</v>
      </c>
      <c r="O27" s="22">
        <f>SUM('Отдел финансов'!C31:E31)</f>
        <v>24769</v>
      </c>
      <c r="P27" s="23">
        <f>'Отдел финансов'!F31</f>
        <v>603900</v>
      </c>
      <c r="Q27" s="29">
        <f t="shared" si="5"/>
        <v>406.0491803</v>
      </c>
      <c r="R27" s="30">
        <f t="shared" si="6"/>
        <v>23.38128306</v>
      </c>
      <c r="S27" s="31">
        <f t="shared" si="7"/>
        <v>8256.333333</v>
      </c>
      <c r="T27" s="17">
        <f t="shared" si="8"/>
        <v>0.04918032787</v>
      </c>
      <c r="U27" s="17">
        <f t="shared" si="9"/>
        <v>0.08209959623</v>
      </c>
      <c r="V27" s="18">
        <f t="shared" si="10"/>
        <v>0.1803278689</v>
      </c>
    </row>
    <row r="28">
      <c r="A28" s="13">
        <v>42938.0</v>
      </c>
      <c r="B28" s="14" t="s">
        <v>28</v>
      </c>
      <c r="C28" s="15">
        <v>658.0</v>
      </c>
      <c r="D28" s="16">
        <v>38.0</v>
      </c>
      <c r="E28" s="15">
        <v>38.0</v>
      </c>
      <c r="F28" s="16">
        <v>22.0</v>
      </c>
      <c r="G28" s="17">
        <f t="shared" si="1"/>
        <v>0.5789473684</v>
      </c>
      <c r="H28" s="16">
        <v>5.0</v>
      </c>
      <c r="I28" s="18">
        <f t="shared" si="2"/>
        <v>0.1315789474</v>
      </c>
      <c r="J28" s="19">
        <v>5.0</v>
      </c>
      <c r="K28" s="17">
        <f t="shared" si="3"/>
        <v>1</v>
      </c>
      <c r="L28" s="20">
        <v>2.0</v>
      </c>
      <c r="M28" s="17">
        <f t="shared" si="4"/>
        <v>0.4</v>
      </c>
      <c r="N28" s="21">
        <v>223680.0</v>
      </c>
      <c r="O28" s="22">
        <f>SUM('Отдел финансов'!C32:E32)</f>
        <v>19498</v>
      </c>
      <c r="P28" s="23">
        <f>'Отдел финансов'!F32</f>
        <v>656025</v>
      </c>
      <c r="Q28" s="29">
        <f t="shared" si="5"/>
        <v>513.1052632</v>
      </c>
      <c r="R28" s="30">
        <f t="shared" si="6"/>
        <v>32.64575854</v>
      </c>
      <c r="S28" s="31">
        <f t="shared" si="7"/>
        <v>9749</v>
      </c>
      <c r="T28" s="17">
        <f t="shared" si="8"/>
        <v>0.05263157895</v>
      </c>
      <c r="U28" s="17">
        <f t="shared" si="9"/>
        <v>0.05775075988</v>
      </c>
      <c r="V28" s="18">
        <f t="shared" si="10"/>
        <v>0.1315789474</v>
      </c>
    </row>
    <row r="29">
      <c r="A29" s="13">
        <v>42939.0</v>
      </c>
      <c r="B29" s="14" t="s">
        <v>29</v>
      </c>
      <c r="C29" s="15">
        <v>1013.0</v>
      </c>
      <c r="D29" s="16">
        <v>64.0</v>
      </c>
      <c r="E29" s="15">
        <v>64.0</v>
      </c>
      <c r="F29" s="16">
        <v>42.0</v>
      </c>
      <c r="G29" s="17">
        <f t="shared" si="1"/>
        <v>0.65625</v>
      </c>
      <c r="H29" s="16">
        <v>7.0</v>
      </c>
      <c r="I29" s="18">
        <f t="shared" si="2"/>
        <v>0.109375</v>
      </c>
      <c r="J29" s="19">
        <v>2.0</v>
      </c>
      <c r="K29" s="17">
        <f t="shared" si="3"/>
        <v>0.2857142857</v>
      </c>
      <c r="L29" s="20">
        <v>0.0</v>
      </c>
      <c r="M29" s="17">
        <f t="shared" si="4"/>
        <v>0</v>
      </c>
      <c r="N29" s="21">
        <v>0.0</v>
      </c>
      <c r="O29" s="22">
        <f>SUM('Отдел финансов'!C33:E33)</f>
        <v>35910</v>
      </c>
      <c r="P29" s="23">
        <f>'Отдел финансов'!F33</f>
        <v>156930</v>
      </c>
      <c r="Q29" s="29">
        <f t="shared" si="5"/>
        <v>561.09375</v>
      </c>
      <c r="R29" s="30">
        <f t="shared" si="6"/>
        <v>3.370091896</v>
      </c>
      <c r="S29" s="31">
        <f t="shared" si="7"/>
        <v>0</v>
      </c>
      <c r="T29" s="17">
        <f t="shared" si="8"/>
        <v>0</v>
      </c>
      <c r="U29" s="17">
        <f t="shared" si="9"/>
        <v>0.0631786772</v>
      </c>
      <c r="V29" s="18">
        <f t="shared" si="10"/>
        <v>0.03125</v>
      </c>
    </row>
    <row r="30">
      <c r="A30" s="13">
        <v>42940.0</v>
      </c>
      <c r="B30" s="14" t="s">
        <v>30</v>
      </c>
      <c r="C30" s="15">
        <v>1051.0</v>
      </c>
      <c r="D30" s="16">
        <v>55.0</v>
      </c>
      <c r="E30" s="15">
        <v>55.0</v>
      </c>
      <c r="F30" s="16">
        <v>15.0</v>
      </c>
      <c r="G30" s="17">
        <f t="shared" si="1"/>
        <v>0.2727272727</v>
      </c>
      <c r="H30" s="16">
        <v>4.0</v>
      </c>
      <c r="I30" s="18">
        <f t="shared" si="2"/>
        <v>0.07272727273</v>
      </c>
      <c r="J30" s="19">
        <v>4.0</v>
      </c>
      <c r="K30" s="17">
        <f t="shared" si="3"/>
        <v>1</v>
      </c>
      <c r="L30" s="20">
        <v>0.0</v>
      </c>
      <c r="M30" s="17">
        <f t="shared" si="4"/>
        <v>0</v>
      </c>
      <c r="N30" s="21">
        <v>0.0</v>
      </c>
      <c r="O30" s="22">
        <f>SUM('Отдел финансов'!C34:E34)</f>
        <v>40751</v>
      </c>
      <c r="P30" s="23">
        <f>'Отдел финансов'!F34</f>
        <v>175455</v>
      </c>
      <c r="Q30" s="29">
        <f t="shared" si="5"/>
        <v>740.9272727</v>
      </c>
      <c r="R30" s="30">
        <f t="shared" si="6"/>
        <v>3.305538514</v>
      </c>
      <c r="S30" s="31">
        <f t="shared" si="7"/>
        <v>0</v>
      </c>
      <c r="T30" s="17">
        <f t="shared" si="8"/>
        <v>0</v>
      </c>
      <c r="U30" s="17">
        <f t="shared" si="9"/>
        <v>0.05233111323</v>
      </c>
      <c r="V30" s="18">
        <f t="shared" si="10"/>
        <v>0.07272727273</v>
      </c>
    </row>
    <row r="31">
      <c r="A31" s="13">
        <v>42941.0</v>
      </c>
      <c r="B31" s="14" t="s">
        <v>31</v>
      </c>
      <c r="C31" s="15">
        <v>1043.0</v>
      </c>
      <c r="D31" s="16">
        <v>53.0</v>
      </c>
      <c r="E31" s="15">
        <v>53.0</v>
      </c>
      <c r="F31" s="16">
        <v>22.0</v>
      </c>
      <c r="G31" s="17">
        <f t="shared" si="1"/>
        <v>0.4150943396</v>
      </c>
      <c r="H31" s="16">
        <v>7.0</v>
      </c>
      <c r="I31" s="18">
        <f t="shared" si="2"/>
        <v>0.1320754717</v>
      </c>
      <c r="J31" s="19">
        <v>6.0</v>
      </c>
      <c r="K31" s="17">
        <f t="shared" si="3"/>
        <v>0.8571428571</v>
      </c>
      <c r="L31" s="20">
        <v>2.0</v>
      </c>
      <c r="M31" s="17">
        <f t="shared" si="4"/>
        <v>0.3333333333</v>
      </c>
      <c r="N31" s="21">
        <v>212130.0</v>
      </c>
      <c r="O31" s="22">
        <f>SUM('Отдел финансов'!C35:E35)</f>
        <v>39014</v>
      </c>
      <c r="P31" s="23">
        <f>'Отдел финансов'!F35</f>
        <v>120150</v>
      </c>
      <c r="Q31" s="29">
        <f t="shared" si="5"/>
        <v>736.1132075</v>
      </c>
      <c r="R31" s="30">
        <f t="shared" si="6"/>
        <v>2.07966371</v>
      </c>
      <c r="S31" s="31">
        <f t="shared" si="7"/>
        <v>19507</v>
      </c>
      <c r="T31" s="17">
        <f t="shared" si="8"/>
        <v>0.03773584906</v>
      </c>
      <c r="U31" s="17">
        <f t="shared" si="9"/>
        <v>0.05081495686</v>
      </c>
      <c r="V31" s="18">
        <f t="shared" si="10"/>
        <v>0.1132075472</v>
      </c>
    </row>
    <row r="32">
      <c r="A32" s="13">
        <v>42942.0</v>
      </c>
      <c r="B32" s="14" t="s">
        <v>32</v>
      </c>
      <c r="C32" s="15">
        <v>1160.0</v>
      </c>
      <c r="D32" s="16">
        <v>45.0</v>
      </c>
      <c r="E32" s="15">
        <v>45.0</v>
      </c>
      <c r="F32" s="16">
        <v>23.0</v>
      </c>
      <c r="G32" s="17">
        <f t="shared" si="1"/>
        <v>0.5111111111</v>
      </c>
      <c r="H32" s="16">
        <v>11.0</v>
      </c>
      <c r="I32" s="18">
        <f t="shared" si="2"/>
        <v>0.2444444444</v>
      </c>
      <c r="J32" s="19">
        <v>8.0</v>
      </c>
      <c r="K32" s="17">
        <f t="shared" si="3"/>
        <v>0.7272727273</v>
      </c>
      <c r="L32" s="20">
        <v>6.0</v>
      </c>
      <c r="M32" s="17">
        <f t="shared" si="4"/>
        <v>0.75</v>
      </c>
      <c r="N32" s="21">
        <v>1745580.0</v>
      </c>
      <c r="O32" s="22">
        <f>SUM('Отдел финансов'!C36:E36)</f>
        <v>54293</v>
      </c>
      <c r="P32" s="23">
        <f>'Отдел финансов'!F36</f>
        <v>0</v>
      </c>
      <c r="Q32" s="29">
        <f t="shared" si="5"/>
        <v>1206.511111</v>
      </c>
      <c r="R32" s="30">
        <f t="shared" si="6"/>
        <v>-1</v>
      </c>
      <c r="S32" s="31">
        <f t="shared" si="7"/>
        <v>9048.833333</v>
      </c>
      <c r="T32" s="17">
        <f t="shared" si="8"/>
        <v>0.1333333333</v>
      </c>
      <c r="U32" s="17">
        <f t="shared" si="9"/>
        <v>0.03879310345</v>
      </c>
      <c r="V32" s="18">
        <f t="shared" si="10"/>
        <v>0.1777777778</v>
      </c>
    </row>
    <row r="33">
      <c r="A33" s="13">
        <v>42943.0</v>
      </c>
      <c r="B33" s="14" t="s">
        <v>33</v>
      </c>
      <c r="C33" s="15">
        <v>1076.0</v>
      </c>
      <c r="D33" s="16">
        <v>55.0</v>
      </c>
      <c r="E33" s="15">
        <v>55.0</v>
      </c>
      <c r="F33" s="16">
        <v>30.0</v>
      </c>
      <c r="G33" s="17">
        <f t="shared" si="1"/>
        <v>0.5454545455</v>
      </c>
      <c r="H33" s="16">
        <v>8.0</v>
      </c>
      <c r="I33" s="18">
        <f t="shared" si="2"/>
        <v>0.1454545455</v>
      </c>
      <c r="J33" s="19">
        <v>8.0</v>
      </c>
      <c r="K33" s="17">
        <f t="shared" si="3"/>
        <v>1</v>
      </c>
      <c r="L33" s="20">
        <v>2.0</v>
      </c>
      <c r="M33" s="17">
        <f t="shared" si="4"/>
        <v>0.25</v>
      </c>
      <c r="N33" s="21">
        <v>489615.0</v>
      </c>
      <c r="O33" s="22">
        <f>SUM('Отдел финансов'!C37:E37)</f>
        <v>44772</v>
      </c>
      <c r="P33" s="23">
        <f>'Отдел финансов'!F37</f>
        <v>212130</v>
      </c>
      <c r="Q33" s="29">
        <f t="shared" si="5"/>
        <v>814.0363636</v>
      </c>
      <c r="R33" s="30">
        <f t="shared" si="6"/>
        <v>3.738005897</v>
      </c>
      <c r="S33" s="31">
        <f t="shared" si="7"/>
        <v>22386</v>
      </c>
      <c r="T33" s="17">
        <f t="shared" si="8"/>
        <v>0.03636363636</v>
      </c>
      <c r="U33" s="17">
        <f t="shared" si="9"/>
        <v>0.05111524164</v>
      </c>
      <c r="V33" s="18">
        <f t="shared" si="10"/>
        <v>0.1454545455</v>
      </c>
    </row>
    <row r="34">
      <c r="A34" s="13">
        <v>42944.0</v>
      </c>
      <c r="B34" s="14" t="s">
        <v>34</v>
      </c>
      <c r="C34" s="15">
        <v>1163.0</v>
      </c>
      <c r="D34" s="16">
        <v>37.0</v>
      </c>
      <c r="E34" s="15">
        <v>37.0</v>
      </c>
      <c r="F34" s="16">
        <v>18.0</v>
      </c>
      <c r="G34" s="17">
        <f t="shared" si="1"/>
        <v>0.4864864865</v>
      </c>
      <c r="H34" s="16">
        <v>11.0</v>
      </c>
      <c r="I34" s="18">
        <f t="shared" si="2"/>
        <v>0.2972972973</v>
      </c>
      <c r="J34" s="19">
        <v>6.0</v>
      </c>
      <c r="K34" s="17">
        <f t="shared" si="3"/>
        <v>0.5454545455</v>
      </c>
      <c r="L34" s="20">
        <v>1.0</v>
      </c>
      <c r="M34" s="17">
        <f t="shared" si="4"/>
        <v>0.1666666667</v>
      </c>
      <c r="N34" s="21">
        <v>240750.0</v>
      </c>
      <c r="O34" s="22">
        <f>SUM('Отдел финансов'!C38:E38)</f>
        <v>48486</v>
      </c>
      <c r="P34" s="23">
        <f>'Отдел финансов'!F38</f>
        <v>1745580</v>
      </c>
      <c r="Q34" s="29">
        <f t="shared" si="5"/>
        <v>1310.432432</v>
      </c>
      <c r="R34" s="30">
        <f t="shared" si="6"/>
        <v>35.00173246</v>
      </c>
      <c r="S34" s="31">
        <f t="shared" si="7"/>
        <v>48486</v>
      </c>
      <c r="T34" s="17">
        <f t="shared" si="8"/>
        <v>0.02702702703</v>
      </c>
      <c r="U34" s="17">
        <f t="shared" si="9"/>
        <v>0.03181427343</v>
      </c>
      <c r="V34" s="18">
        <f t="shared" si="10"/>
        <v>0.1621621622</v>
      </c>
    </row>
    <row r="35">
      <c r="A35" s="13">
        <v>42945.0</v>
      </c>
      <c r="B35" s="14" t="s">
        <v>28</v>
      </c>
      <c r="C35" s="15">
        <v>856.0</v>
      </c>
      <c r="D35" s="16">
        <v>45.0</v>
      </c>
      <c r="E35" s="15">
        <v>45.0</v>
      </c>
      <c r="F35" s="16">
        <v>22.0</v>
      </c>
      <c r="G35" s="17">
        <f t="shared" si="1"/>
        <v>0.4888888889</v>
      </c>
      <c r="H35" s="16">
        <v>7.0</v>
      </c>
      <c r="I35" s="18">
        <f t="shared" si="2"/>
        <v>0.1555555556</v>
      </c>
      <c r="J35" s="19">
        <v>13.0</v>
      </c>
      <c r="K35" s="17">
        <f t="shared" si="3"/>
        <v>1.857142857</v>
      </c>
      <c r="L35" s="20">
        <v>5.0</v>
      </c>
      <c r="M35" s="17">
        <f t="shared" si="4"/>
        <v>0.3846153846</v>
      </c>
      <c r="N35" s="21">
        <v>922470.0</v>
      </c>
      <c r="O35" s="22">
        <f>SUM('Отдел финансов'!C39:E39)</f>
        <v>33619</v>
      </c>
      <c r="P35" s="23">
        <f>'Отдел финансов'!F39</f>
        <v>489615</v>
      </c>
      <c r="Q35" s="29">
        <f t="shared" si="5"/>
        <v>747.0888889</v>
      </c>
      <c r="R35" s="30">
        <f t="shared" si="6"/>
        <v>13.56363961</v>
      </c>
      <c r="S35" s="31">
        <f t="shared" si="7"/>
        <v>6723.8</v>
      </c>
      <c r="T35" s="17">
        <f t="shared" si="8"/>
        <v>0.1111111111</v>
      </c>
      <c r="U35" s="17">
        <f t="shared" si="9"/>
        <v>0.05257009346</v>
      </c>
      <c r="V35" s="18">
        <f t="shared" si="10"/>
        <v>0.2888888889</v>
      </c>
    </row>
    <row r="36">
      <c r="A36" s="13">
        <v>42946.0</v>
      </c>
      <c r="B36" s="14" t="s">
        <v>29</v>
      </c>
      <c r="C36" s="15">
        <v>1114.0</v>
      </c>
      <c r="D36" s="16">
        <v>49.0</v>
      </c>
      <c r="E36" s="15">
        <v>49.0</v>
      </c>
      <c r="F36" s="16">
        <v>21.0</v>
      </c>
      <c r="G36" s="17">
        <f t="shared" si="1"/>
        <v>0.4285714286</v>
      </c>
      <c r="H36" s="16">
        <v>7.0</v>
      </c>
      <c r="I36" s="18">
        <f t="shared" si="2"/>
        <v>0.1428571429</v>
      </c>
      <c r="J36" s="19">
        <v>10.0</v>
      </c>
      <c r="K36" s="17">
        <f t="shared" si="3"/>
        <v>1.428571429</v>
      </c>
      <c r="L36" s="20">
        <v>5.0</v>
      </c>
      <c r="M36" s="17">
        <f t="shared" si="4"/>
        <v>0.5</v>
      </c>
      <c r="N36" s="21">
        <v>417945.0</v>
      </c>
      <c r="O36" s="22">
        <f>SUM('Отдел финансов'!C40:E40)</f>
        <v>78550</v>
      </c>
      <c r="P36" s="23">
        <f>'Отдел финансов'!F40</f>
        <v>648615</v>
      </c>
      <c r="Q36" s="29">
        <f t="shared" si="5"/>
        <v>1603.061224</v>
      </c>
      <c r="R36" s="30">
        <f t="shared" si="6"/>
        <v>7.257352005</v>
      </c>
      <c r="S36" s="31">
        <f t="shared" si="7"/>
        <v>15710</v>
      </c>
      <c r="T36" s="17">
        <f t="shared" si="8"/>
        <v>0.1020408163</v>
      </c>
      <c r="U36" s="17">
        <f t="shared" si="9"/>
        <v>0.04398563734</v>
      </c>
      <c r="V36" s="18">
        <f t="shared" si="10"/>
        <v>0.2040816327</v>
      </c>
    </row>
    <row r="37">
      <c r="A37" s="32">
        <v>42947.0</v>
      </c>
      <c r="B37" s="33" t="s">
        <v>30</v>
      </c>
      <c r="C37" s="34">
        <v>1327.0</v>
      </c>
      <c r="D37" s="35">
        <v>50.0</v>
      </c>
      <c r="E37" s="34">
        <v>50.0</v>
      </c>
      <c r="F37" s="35">
        <v>28.0</v>
      </c>
      <c r="G37" s="36">
        <f t="shared" si="1"/>
        <v>0.56</v>
      </c>
      <c r="H37" s="35">
        <v>16.0</v>
      </c>
      <c r="I37" s="37">
        <f t="shared" si="2"/>
        <v>0.32</v>
      </c>
      <c r="J37" s="38">
        <v>11.0</v>
      </c>
      <c r="K37" s="36">
        <f t="shared" si="3"/>
        <v>0.6875</v>
      </c>
      <c r="L37" s="39">
        <v>3.0</v>
      </c>
      <c r="M37" s="36">
        <f t="shared" si="4"/>
        <v>0.2727272727</v>
      </c>
      <c r="N37" s="40">
        <v>727455.0</v>
      </c>
      <c r="O37" s="41">
        <f>SUM('Отдел финансов'!C41:E41)</f>
        <v>40255</v>
      </c>
      <c r="P37" s="42">
        <f>'Отдел финансов'!F41</f>
        <v>0</v>
      </c>
      <c r="Q37" s="43">
        <f t="shared" si="5"/>
        <v>805.1</v>
      </c>
      <c r="R37" s="44">
        <f t="shared" si="6"/>
        <v>-1</v>
      </c>
      <c r="S37" s="45">
        <f t="shared" si="7"/>
        <v>13418.33333</v>
      </c>
      <c r="T37" s="36">
        <f t="shared" si="8"/>
        <v>0.06</v>
      </c>
      <c r="U37" s="36">
        <f t="shared" si="9"/>
        <v>0.03767897513</v>
      </c>
      <c r="V37" s="37">
        <f t="shared" si="10"/>
        <v>0.22</v>
      </c>
    </row>
    <row r="38">
      <c r="A38" s="46"/>
      <c r="B38" s="47"/>
      <c r="C38" s="48"/>
      <c r="D38" s="48"/>
      <c r="E38" s="48"/>
      <c r="F38" s="48"/>
      <c r="G38" s="49"/>
      <c r="H38" s="48"/>
      <c r="I38" s="49"/>
      <c r="J38" s="48"/>
      <c r="K38" s="49"/>
      <c r="L38" s="48"/>
      <c r="M38" s="49"/>
      <c r="N38" s="49"/>
      <c r="O38" s="48"/>
      <c r="P38" s="48"/>
      <c r="Q38" s="49"/>
      <c r="R38" s="44"/>
      <c r="S38" s="44"/>
      <c r="T38" s="49"/>
      <c r="U38" s="49"/>
      <c r="V38" s="50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</row>
    <row r="39">
      <c r="A39" s="52" t="s">
        <v>35</v>
      </c>
      <c r="B39" s="53"/>
      <c r="C39" s="54">
        <f t="shared" ref="C39:F39" si="11">SUM(C7:C37)</f>
        <v>36756</v>
      </c>
      <c r="D39" s="54">
        <f t="shared" si="11"/>
        <v>1925</v>
      </c>
      <c r="E39" s="54">
        <f t="shared" si="11"/>
        <v>1971</v>
      </c>
      <c r="F39" s="54">
        <f t="shared" si="11"/>
        <v>883</v>
      </c>
      <c r="G39" s="55">
        <f>F39/E39</f>
        <v>0.4479959411</v>
      </c>
      <c r="H39" s="54">
        <f>SUM(H7:H37)</f>
        <v>346</v>
      </c>
      <c r="I39" s="55">
        <f>H39/D39</f>
        <v>0.1797402597</v>
      </c>
      <c r="J39" s="56">
        <f>SUM(J7:J37)</f>
        <v>268</v>
      </c>
      <c r="K39" s="55">
        <f>J39/H39</f>
        <v>0.774566474</v>
      </c>
      <c r="L39" s="56">
        <f>SUM(L7:L37)</f>
        <v>69</v>
      </c>
      <c r="M39" s="55">
        <f>L39/J39</f>
        <v>0.2574626866</v>
      </c>
      <c r="N39" s="57">
        <f t="shared" ref="N39:P39" si="12">SUM(N7:N37)</f>
        <v>13806736.5</v>
      </c>
      <c r="O39" s="57">
        <f t="shared" si="12"/>
        <v>1170460</v>
      </c>
      <c r="P39" s="57">
        <f t="shared" si="12"/>
        <v>12598691</v>
      </c>
      <c r="Q39" s="58">
        <f>AVERAGE(Q7:Q37)</f>
        <v>659.0188557</v>
      </c>
      <c r="R39" s="59">
        <f>(P39-O39)/O39</f>
        <v>9.763880013</v>
      </c>
      <c r="S39" s="60">
        <f>IFERROR(O39/L39,0)</f>
        <v>16963.18841</v>
      </c>
      <c r="T39" s="55">
        <f>L39/D39</f>
        <v>0.03584415584</v>
      </c>
      <c r="U39" s="55">
        <f>D39/C39</f>
        <v>0.05237240178</v>
      </c>
      <c r="V39" s="61">
        <f>J39/D39</f>
        <v>0.1392207792</v>
      </c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</row>
    <row r="40">
      <c r="A40" s="63" t="s">
        <v>36</v>
      </c>
      <c r="C40" s="64">
        <v>35000.0</v>
      </c>
      <c r="D40" s="64">
        <v>2500.0</v>
      </c>
      <c r="E40" s="64"/>
      <c r="F40" s="64"/>
      <c r="G40" s="65">
        <v>0.8</v>
      </c>
      <c r="H40" s="64"/>
      <c r="I40" s="65">
        <v>0.5</v>
      </c>
      <c r="J40" s="64"/>
      <c r="K40" s="65">
        <v>0.5</v>
      </c>
      <c r="L40" s="64"/>
      <c r="M40" s="66">
        <v>0.35</v>
      </c>
      <c r="N40" s="64"/>
      <c r="O40" s="64"/>
      <c r="P40" s="64"/>
      <c r="Q40" s="64"/>
      <c r="R40" s="64"/>
      <c r="S40" s="67">
        <v>300.0</v>
      </c>
      <c r="T40" s="66">
        <v>0.05</v>
      </c>
      <c r="U40" s="66">
        <v>0.05</v>
      </c>
      <c r="V40" s="68">
        <v>0.25</v>
      </c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</row>
    <row r="41">
      <c r="A41" s="70" t="s">
        <v>37</v>
      </c>
      <c r="B41" s="53"/>
      <c r="C41" s="71">
        <f t="shared" ref="C41:D41" si="13">C39/C40</f>
        <v>1.050171429</v>
      </c>
      <c r="D41" s="72">
        <f t="shared" si="13"/>
        <v>0.77</v>
      </c>
      <c r="E41" s="73"/>
      <c r="F41" s="73"/>
      <c r="G41" s="74">
        <f>G39/G40</f>
        <v>0.5599949264</v>
      </c>
      <c r="H41" s="73"/>
      <c r="I41" s="74">
        <f>I39/I40</f>
        <v>0.3594805195</v>
      </c>
      <c r="J41" s="73"/>
      <c r="K41" s="71">
        <f>K39/K40</f>
        <v>1.549132948</v>
      </c>
      <c r="L41" s="73"/>
      <c r="M41" s="72">
        <f>M39/M40</f>
        <v>0.7356076759</v>
      </c>
      <c r="N41" s="73"/>
      <c r="O41" s="73"/>
      <c r="P41" s="73"/>
      <c r="Q41" s="73"/>
      <c r="R41" s="73"/>
      <c r="S41" s="75">
        <f t="shared" ref="S41:T41" si="14">S39/S40</f>
        <v>56.54396135</v>
      </c>
      <c r="T41" s="72">
        <f t="shared" si="14"/>
        <v>0.7168831169</v>
      </c>
      <c r="U41" s="72">
        <f>D41/C41</f>
        <v>0.733213625</v>
      </c>
      <c r="V41" s="76">
        <f>V39/V40</f>
        <v>0.5568831169</v>
      </c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</row>
    <row r="45">
      <c r="P45" s="31">
        <f>N39-P39</f>
        <v>1208045.5</v>
      </c>
    </row>
  </sheetData>
  <mergeCells count="9">
    <mergeCell ref="E5:I5"/>
    <mergeCell ref="J5:N5"/>
    <mergeCell ref="A2:C2"/>
    <mergeCell ref="O5:P5"/>
    <mergeCell ref="A39:B39"/>
    <mergeCell ref="Q5:V5"/>
    <mergeCell ref="C5:D5"/>
    <mergeCell ref="A41:B41"/>
    <mergeCell ref="A40:B40"/>
  </mergeCells>
  <conditionalFormatting sqref="C7:C37">
    <cfRule type="colorScale" priority="1">
      <colorScale>
        <cfvo type="min"/>
        <cfvo type="max"/>
        <color rgb="FFFFFFFF"/>
        <color rgb="FF57BB8A"/>
      </colorScale>
    </cfRule>
  </conditionalFormatting>
  <conditionalFormatting sqref="D7:D37">
    <cfRule type="colorScale" priority="2">
      <colorScale>
        <cfvo type="min"/>
        <cfvo type="max"/>
        <color rgb="FFFFFFFF"/>
        <color rgb="FF57BB8A"/>
      </colorScale>
    </cfRule>
  </conditionalFormatting>
  <conditionalFormatting sqref="G7:G37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7:I3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7:K37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7:M37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:Q37">
    <cfRule type="colorScale" priority="7">
      <colorScale>
        <cfvo type="min"/>
        <cfvo type="max"/>
        <color rgb="FFFFFFFF"/>
        <color rgb="FFE67C73"/>
      </colorScale>
    </cfRule>
  </conditionalFormatting>
  <conditionalFormatting sqref="O7:O37">
    <cfRule type="colorScale" priority="8">
      <colorScale>
        <cfvo type="min"/>
        <cfvo type="max"/>
        <color rgb="FFFFFFFF"/>
        <color rgb="FFE67C73"/>
      </colorScale>
    </cfRule>
  </conditionalFormatting>
  <conditionalFormatting sqref="P7:P37">
    <cfRule type="colorScale" priority="9">
      <colorScale>
        <cfvo type="min"/>
        <cfvo type="max"/>
        <color rgb="FFFFFFFF"/>
        <color rgb="FF57BB8A"/>
      </colorScale>
    </cfRule>
  </conditionalFormatting>
  <conditionalFormatting sqref="R7:R38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T7:T37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7:U37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S7:S38">
    <cfRule type="colorScale" priority="13">
      <colorScale>
        <cfvo type="min"/>
        <cfvo type="max"/>
        <color rgb="FFFFFFFF"/>
        <color rgb="FFE67C73"/>
      </colorScale>
    </cfRule>
  </conditionalFormatting>
  <conditionalFormatting sqref="V7:V37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4" max="4" width="17.63"/>
  </cols>
  <sheetData>
    <row r="2">
      <c r="A2" s="1" t="s">
        <v>38</v>
      </c>
    </row>
    <row r="4">
      <c r="A4" s="78" t="s">
        <v>39</v>
      </c>
      <c r="B4" s="79"/>
    </row>
    <row r="5">
      <c r="A5" s="80" t="s">
        <v>40</v>
      </c>
      <c r="B5" s="81">
        <v>0.1</v>
      </c>
    </row>
    <row r="6">
      <c r="A6" s="80" t="s">
        <v>41</v>
      </c>
      <c r="B6" s="81">
        <v>0.5</v>
      </c>
    </row>
    <row r="7">
      <c r="A7" s="80" t="s">
        <v>42</v>
      </c>
      <c r="B7" s="82">
        <v>1500000.0</v>
      </c>
    </row>
    <row r="8">
      <c r="A8" s="80" t="s">
        <v>43</v>
      </c>
      <c r="B8" s="82">
        <v>300000.0</v>
      </c>
    </row>
    <row r="9">
      <c r="A9" s="80" t="s">
        <v>44</v>
      </c>
      <c r="B9" s="83">
        <v>0.02</v>
      </c>
    </row>
    <row r="10">
      <c r="A10" s="84" t="s">
        <v>45</v>
      </c>
      <c r="B10" s="85">
        <v>1000000.0</v>
      </c>
    </row>
    <row r="13">
      <c r="A13" s="78" t="s">
        <v>46</v>
      </c>
      <c r="B13" s="86" t="s">
        <v>47</v>
      </c>
      <c r="C13" s="86" t="s">
        <v>48</v>
      </c>
      <c r="D13" s="87" t="s">
        <v>49</v>
      </c>
    </row>
    <row r="14">
      <c r="A14" s="80" t="s">
        <v>50</v>
      </c>
      <c r="B14" s="31">
        <f>'Сводная таблица'!P39</f>
        <v>12598691</v>
      </c>
      <c r="C14" s="17">
        <f t="shared" ref="C14:C17" si="1">B14/$B$14</f>
        <v>1</v>
      </c>
      <c r="D14" s="14" t="s">
        <v>51</v>
      </c>
    </row>
    <row r="15">
      <c r="A15" s="80" t="s">
        <v>52</v>
      </c>
      <c r="B15" s="31">
        <f>'Сводная таблица'!N39</f>
        <v>13806736.5</v>
      </c>
      <c r="C15" s="17">
        <f t="shared" si="1"/>
        <v>1.095886589</v>
      </c>
      <c r="D15" s="14" t="s">
        <v>53</v>
      </c>
    </row>
    <row r="16">
      <c r="A16" s="80" t="s">
        <v>54</v>
      </c>
      <c r="B16" s="31">
        <f>B14*0.5</f>
        <v>6299345.5</v>
      </c>
      <c r="C16" s="17">
        <f t="shared" si="1"/>
        <v>0.5</v>
      </c>
      <c r="D16" s="14" t="s">
        <v>55</v>
      </c>
    </row>
    <row r="17">
      <c r="A17" s="80" t="s">
        <v>56</v>
      </c>
      <c r="B17" s="31">
        <f>B14-B16</f>
        <v>6299345.5</v>
      </c>
      <c r="C17" s="17">
        <f t="shared" si="1"/>
        <v>0.5</v>
      </c>
      <c r="D17" s="88"/>
    </row>
    <row r="18">
      <c r="A18" s="78" t="s">
        <v>57</v>
      </c>
      <c r="B18" s="89">
        <f>SUM(B19:B27)</f>
        <v>6652762.92</v>
      </c>
      <c r="C18" s="90"/>
      <c r="D18" s="79"/>
    </row>
    <row r="19">
      <c r="A19" s="80" t="s">
        <v>58</v>
      </c>
      <c r="B19" s="31">
        <f>'Отдел финансов'!C42</f>
        <v>270642</v>
      </c>
      <c r="C19" s="17">
        <f t="shared" ref="C19:C27" si="2">B19/$B$14</f>
        <v>0.02148175553</v>
      </c>
      <c r="D19" s="88"/>
    </row>
    <row r="20">
      <c r="A20" s="80" t="s">
        <v>59</v>
      </c>
      <c r="B20" s="31">
        <f>'Отдел финансов'!D42</f>
        <v>666306</v>
      </c>
      <c r="C20" s="17">
        <f t="shared" si="2"/>
        <v>0.05288692294</v>
      </c>
      <c r="D20" s="88"/>
    </row>
    <row r="21">
      <c r="A21" s="80" t="s">
        <v>60</v>
      </c>
      <c r="B21" s="31">
        <f>'Отдел финансов'!E42</f>
        <v>233512</v>
      </c>
      <c r="C21" s="17">
        <f t="shared" si="2"/>
        <v>0.01853462395</v>
      </c>
      <c r="D21" s="88"/>
    </row>
    <row r="22">
      <c r="A22" s="80" t="s">
        <v>61</v>
      </c>
      <c r="B22" s="31">
        <f>SUM(B19:B21)</f>
        <v>1170460</v>
      </c>
      <c r="C22" s="17">
        <f t="shared" si="2"/>
        <v>0.09290330241</v>
      </c>
      <c r="D22" s="88"/>
    </row>
    <row r="23">
      <c r="A23" s="80" t="s">
        <v>62</v>
      </c>
      <c r="B23" s="31">
        <v>300000.0</v>
      </c>
      <c r="C23" s="17">
        <f t="shared" si="2"/>
        <v>0.02381199761</v>
      </c>
      <c r="D23" s="88"/>
    </row>
    <row r="24">
      <c r="A24" s="80" t="s">
        <v>63</v>
      </c>
      <c r="B24" s="31">
        <f>0.02*B14</f>
        <v>251973.82</v>
      </c>
      <c r="C24" s="17">
        <f t="shared" si="2"/>
        <v>0.02</v>
      </c>
      <c r="D24" s="88"/>
    </row>
    <row r="25">
      <c r="A25" s="80" t="s">
        <v>45</v>
      </c>
      <c r="B25" s="31">
        <v>1000000.0</v>
      </c>
      <c r="C25" s="17">
        <f t="shared" si="2"/>
        <v>0.07937332537</v>
      </c>
      <c r="D25" s="88"/>
    </row>
    <row r="26">
      <c r="A26" s="80" t="s">
        <v>42</v>
      </c>
      <c r="B26" s="31">
        <v>1500000.0</v>
      </c>
      <c r="C26" s="17">
        <f t="shared" si="2"/>
        <v>0.1190599881</v>
      </c>
      <c r="D26" s="88"/>
    </row>
    <row r="27">
      <c r="A27" s="84" t="s">
        <v>40</v>
      </c>
      <c r="B27" s="31">
        <f>B14*0.1</f>
        <v>1259869.1</v>
      </c>
      <c r="C27" s="17">
        <f t="shared" si="2"/>
        <v>0.1</v>
      </c>
      <c r="D27" s="91"/>
    </row>
    <row r="28">
      <c r="A28" s="78" t="s">
        <v>64</v>
      </c>
      <c r="B28" s="92">
        <f>B17-B18</f>
        <v>-353417.42</v>
      </c>
      <c r="C28" s="93"/>
      <c r="D28" s="79"/>
    </row>
    <row r="29">
      <c r="A29" s="19"/>
    </row>
    <row r="30">
      <c r="A30" s="19"/>
    </row>
  </sheetData>
  <mergeCells count="1">
    <mergeCell ref="A2: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1.25"/>
    <col customWidth="1" min="3" max="3" width="13.0"/>
    <col customWidth="1" min="4" max="4" width="13.38"/>
    <col customWidth="1" min="6" max="6" width="100.13"/>
  </cols>
  <sheetData>
    <row r="2">
      <c r="A2" s="1" t="s">
        <v>65</v>
      </c>
      <c r="C2" s="1"/>
    </row>
    <row r="4">
      <c r="A4" s="94" t="s">
        <v>66</v>
      </c>
      <c r="B4" s="95" t="s">
        <v>36</v>
      </c>
      <c r="C4" s="95" t="s">
        <v>67</v>
      </c>
      <c r="D4" s="95" t="s">
        <v>68</v>
      </c>
      <c r="E4" s="95" t="s">
        <v>69</v>
      </c>
      <c r="F4" s="96" t="s">
        <v>49</v>
      </c>
    </row>
    <row r="5">
      <c r="A5" s="94" t="s">
        <v>1</v>
      </c>
      <c r="B5" s="6"/>
      <c r="C5" s="6"/>
      <c r="D5" s="6"/>
      <c r="E5" s="6"/>
      <c r="F5" s="7"/>
    </row>
    <row r="6">
      <c r="A6" s="80" t="s">
        <v>70</v>
      </c>
      <c r="B6" s="97">
        <v>35000.0</v>
      </c>
      <c r="C6" s="97">
        <v>36756.0</v>
      </c>
      <c r="D6" s="98">
        <f t="shared" ref="D6:D8" si="1">C6/B6</f>
        <v>1.050171429</v>
      </c>
      <c r="E6" s="99" t="s">
        <v>71</v>
      </c>
      <c r="F6" s="88"/>
    </row>
    <row r="7">
      <c r="A7" s="80" t="s">
        <v>9</v>
      </c>
      <c r="B7" s="97">
        <v>2500.0</v>
      </c>
      <c r="C7" s="97">
        <v>1925.0</v>
      </c>
      <c r="D7" s="98">
        <f t="shared" si="1"/>
        <v>0.77</v>
      </c>
      <c r="E7" s="99" t="s">
        <v>72</v>
      </c>
      <c r="F7" s="14" t="s">
        <v>73</v>
      </c>
    </row>
    <row r="8">
      <c r="A8" s="80" t="s">
        <v>74</v>
      </c>
      <c r="B8" s="17">
        <f>'Сводная таблица'!U40</f>
        <v>0.05</v>
      </c>
      <c r="C8" s="17">
        <f>'Сводная таблица'!U39</f>
        <v>0.05237240178</v>
      </c>
      <c r="D8" s="98">
        <f t="shared" si="1"/>
        <v>1.047448036</v>
      </c>
      <c r="E8" s="99" t="s">
        <v>71</v>
      </c>
      <c r="F8" s="88"/>
    </row>
    <row r="9">
      <c r="A9" s="84" t="s">
        <v>22</v>
      </c>
      <c r="C9" s="100">
        <f>'Сводная таблица'!Q39</f>
        <v>659.0188557</v>
      </c>
      <c r="D9" s="98"/>
      <c r="E9" s="39"/>
      <c r="F9" s="33" t="s">
        <v>75</v>
      </c>
    </row>
    <row r="10">
      <c r="A10" s="94" t="s">
        <v>2</v>
      </c>
      <c r="B10" s="6"/>
      <c r="C10" s="6"/>
      <c r="D10" s="6"/>
      <c r="E10" s="6"/>
      <c r="F10" s="7"/>
    </row>
    <row r="11">
      <c r="A11" s="80" t="s">
        <v>76</v>
      </c>
      <c r="B11" s="17">
        <f>'Сводная таблица'!G40</f>
        <v>0.8</v>
      </c>
      <c r="C11" s="17">
        <f>'Сводная таблица'!G39</f>
        <v>0.4479959411</v>
      </c>
      <c r="D11" s="101">
        <f t="shared" ref="D11:D13" si="2">C11/B11</f>
        <v>0.5599949264</v>
      </c>
      <c r="E11" s="99" t="s">
        <v>72</v>
      </c>
      <c r="F11" s="14" t="s">
        <v>77</v>
      </c>
    </row>
    <row r="12">
      <c r="A12" s="80" t="s">
        <v>78</v>
      </c>
      <c r="B12" s="17">
        <f>'Сводная таблица'!I40</f>
        <v>0.5</v>
      </c>
      <c r="C12" s="17">
        <f>'Сводная таблица'!I39</f>
        <v>0.1797402597</v>
      </c>
      <c r="D12" s="101">
        <f t="shared" si="2"/>
        <v>0.3594805195</v>
      </c>
      <c r="E12" s="99" t="s">
        <v>72</v>
      </c>
      <c r="F12" s="14" t="s">
        <v>79</v>
      </c>
    </row>
    <row r="13">
      <c r="A13" s="84" t="s">
        <v>80</v>
      </c>
      <c r="B13" s="36">
        <f>'Сводная таблица'!K40</f>
        <v>0.5</v>
      </c>
      <c r="C13" s="36">
        <f>'Сводная таблица'!K39</f>
        <v>0.774566474</v>
      </c>
      <c r="D13" s="102">
        <f t="shared" si="2"/>
        <v>1.549132948</v>
      </c>
      <c r="E13" s="103" t="s">
        <v>71</v>
      </c>
      <c r="F13" s="33" t="s">
        <v>81</v>
      </c>
    </row>
    <row r="14">
      <c r="A14" s="94" t="s">
        <v>3</v>
      </c>
      <c r="B14" s="6"/>
      <c r="C14" s="6"/>
      <c r="D14" s="6"/>
      <c r="E14" s="6"/>
      <c r="F14" s="7"/>
    </row>
    <row r="15">
      <c r="A15" s="80" t="s">
        <v>82</v>
      </c>
      <c r="B15" s="17">
        <f>'Сводная таблица'!M40</f>
        <v>0.35</v>
      </c>
      <c r="C15" s="17">
        <f>'Сводная таблица'!M39</f>
        <v>0.2574626866</v>
      </c>
      <c r="D15" s="101">
        <f t="shared" ref="D15:D16" si="3">C15/B15</f>
        <v>0.7356076759</v>
      </c>
      <c r="E15" s="99" t="s">
        <v>72</v>
      </c>
      <c r="F15" s="88"/>
    </row>
    <row r="16">
      <c r="A16" s="80" t="s">
        <v>83</v>
      </c>
      <c r="B16" s="17">
        <f>'Сводная таблица'!T40</f>
        <v>0.05</v>
      </c>
      <c r="C16" s="17">
        <f>'Сводная таблица'!T39</f>
        <v>0.03584415584</v>
      </c>
      <c r="D16" s="101">
        <f t="shared" si="3"/>
        <v>0.7168831169</v>
      </c>
      <c r="E16" s="99" t="s">
        <v>72</v>
      </c>
      <c r="F16" s="88"/>
    </row>
    <row r="17">
      <c r="A17" s="80" t="s">
        <v>84</v>
      </c>
      <c r="C17" s="20">
        <f>'Сводная таблица'!L39</f>
        <v>69</v>
      </c>
      <c r="F17" s="88"/>
    </row>
    <row r="18">
      <c r="A18" s="84" t="s">
        <v>85</v>
      </c>
      <c r="B18" s="39"/>
      <c r="C18" s="100">
        <f>'Сводная таблица'!N39/'Сводная таблица'!L39</f>
        <v>200097.6304</v>
      </c>
      <c r="D18" s="39"/>
      <c r="E18" s="39"/>
      <c r="F18" s="91"/>
    </row>
    <row r="19">
      <c r="A19" s="104" t="s">
        <v>86</v>
      </c>
      <c r="F19" s="105"/>
    </row>
    <row r="20">
      <c r="A20" s="80" t="s">
        <v>87</v>
      </c>
      <c r="C20" s="31">
        <f>'Сводная таблица'!O39</f>
        <v>1170460</v>
      </c>
      <c r="F20" s="14" t="s">
        <v>88</v>
      </c>
    </row>
    <row r="21">
      <c r="A21" s="80" t="s">
        <v>89</v>
      </c>
      <c r="C21" s="31">
        <f>'Сводная таблица'!P39</f>
        <v>12598691</v>
      </c>
      <c r="F21" s="14" t="s">
        <v>90</v>
      </c>
    </row>
    <row r="22">
      <c r="A22" s="80" t="s">
        <v>91</v>
      </c>
      <c r="C22" s="31">
        <f>'Сводная таблица'!S39</f>
        <v>16963.18841</v>
      </c>
      <c r="F22" s="88"/>
    </row>
    <row r="23">
      <c r="A23" s="84" t="s">
        <v>23</v>
      </c>
      <c r="B23" s="39"/>
      <c r="C23" s="44">
        <f>'Сводная таблица'!R39</f>
        <v>9.763880013</v>
      </c>
      <c r="D23" s="39"/>
      <c r="E23" s="39"/>
      <c r="F23" s="91"/>
    </row>
  </sheetData>
  <mergeCells count="5">
    <mergeCell ref="A5:F5"/>
    <mergeCell ref="A10:F10"/>
    <mergeCell ref="A14:F14"/>
    <mergeCell ref="A19:F19"/>
    <mergeCell ref="A2: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0.5"/>
    <col customWidth="1" min="3" max="12" width="9.13"/>
    <col customWidth="1" min="13" max="13" width="9.0"/>
    <col customWidth="1" min="14" max="33" width="9.13"/>
  </cols>
  <sheetData>
    <row r="1">
      <c r="B1" s="106"/>
    </row>
    <row r="2">
      <c r="B2" s="106" t="s">
        <v>92</v>
      </c>
    </row>
    <row r="4">
      <c r="B4" s="107" t="s">
        <v>93</v>
      </c>
      <c r="C4" s="108">
        <v>42917.0</v>
      </c>
      <c r="D4" s="108">
        <v>42918.0</v>
      </c>
      <c r="E4" s="108">
        <v>42919.0</v>
      </c>
      <c r="F4" s="108">
        <v>42920.0</v>
      </c>
      <c r="G4" s="108">
        <v>42921.0</v>
      </c>
      <c r="H4" s="108">
        <v>42922.0</v>
      </c>
      <c r="I4" s="108">
        <v>42923.0</v>
      </c>
      <c r="J4" s="108">
        <v>42924.0</v>
      </c>
      <c r="K4" s="108">
        <v>42925.0</v>
      </c>
      <c r="L4" s="108">
        <v>42926.0</v>
      </c>
      <c r="M4" s="108">
        <v>42927.0</v>
      </c>
      <c r="N4" s="108">
        <v>42928.0</v>
      </c>
      <c r="O4" s="108">
        <v>42929.0</v>
      </c>
      <c r="P4" s="108">
        <v>42930.0</v>
      </c>
      <c r="Q4" s="108">
        <v>42931.0</v>
      </c>
      <c r="R4" s="108">
        <v>42932.0</v>
      </c>
      <c r="S4" s="108">
        <v>42933.0</v>
      </c>
      <c r="T4" s="108">
        <v>42934.0</v>
      </c>
      <c r="U4" s="108">
        <v>42935.0</v>
      </c>
      <c r="V4" s="108">
        <v>42936.0</v>
      </c>
      <c r="W4" s="108">
        <v>42937.0</v>
      </c>
      <c r="X4" s="108">
        <v>42938.0</v>
      </c>
      <c r="Y4" s="108">
        <v>42939.0</v>
      </c>
      <c r="Z4" s="108">
        <v>42940.0</v>
      </c>
      <c r="AA4" s="108">
        <v>42941.0</v>
      </c>
      <c r="AB4" s="108">
        <v>42942.0</v>
      </c>
      <c r="AC4" s="108">
        <v>42943.0</v>
      </c>
      <c r="AD4" s="108">
        <v>42944.0</v>
      </c>
      <c r="AE4" s="108">
        <v>42945.0</v>
      </c>
      <c r="AF4" s="108">
        <v>42946.0</v>
      </c>
      <c r="AG4" s="108">
        <v>42947.0</v>
      </c>
    </row>
    <row r="5">
      <c r="B5" s="109" t="s">
        <v>94</v>
      </c>
      <c r="C5" s="110">
        <v>5.0</v>
      </c>
      <c r="D5" s="111">
        <v>4.0</v>
      </c>
      <c r="E5" s="111">
        <v>13.0</v>
      </c>
      <c r="F5" s="111">
        <v>10.0</v>
      </c>
      <c r="G5" s="111">
        <v>13.0</v>
      </c>
      <c r="H5" s="111">
        <v>6.0</v>
      </c>
      <c r="I5" s="111">
        <v>13.0</v>
      </c>
      <c r="J5" s="111">
        <v>11.0</v>
      </c>
      <c r="K5" s="111">
        <v>14.0</v>
      </c>
      <c r="L5" s="111">
        <v>4.0</v>
      </c>
      <c r="M5" s="111">
        <v>12.0</v>
      </c>
      <c r="N5" s="111">
        <v>7.0</v>
      </c>
      <c r="O5" s="111">
        <v>13.0</v>
      </c>
      <c r="P5" s="111">
        <v>5.0</v>
      </c>
      <c r="Q5" s="110">
        <v>9.0</v>
      </c>
      <c r="R5" s="111">
        <v>4.0</v>
      </c>
      <c r="S5" s="111">
        <v>11.0</v>
      </c>
      <c r="T5" s="111">
        <v>7.0</v>
      </c>
      <c r="U5" s="111">
        <v>12.0</v>
      </c>
      <c r="V5" s="111">
        <v>11.0</v>
      </c>
      <c r="W5" s="111">
        <v>11.0</v>
      </c>
      <c r="X5" s="111">
        <v>5.0</v>
      </c>
      <c r="Y5" s="110">
        <v>2.0</v>
      </c>
      <c r="Z5" s="110">
        <v>4.0</v>
      </c>
      <c r="AA5" s="111">
        <v>6.0</v>
      </c>
      <c r="AB5" s="111">
        <v>8.0</v>
      </c>
      <c r="AC5" s="111">
        <v>8.0</v>
      </c>
      <c r="AD5" s="111">
        <v>6.0</v>
      </c>
      <c r="AE5" s="111">
        <v>13.0</v>
      </c>
      <c r="AF5" s="111">
        <v>10.0</v>
      </c>
      <c r="AG5" s="111">
        <v>11.0</v>
      </c>
    </row>
    <row r="6">
      <c r="B6" s="109" t="s">
        <v>95</v>
      </c>
      <c r="C6" s="110">
        <v>1.0</v>
      </c>
      <c r="D6" s="110">
        <v>2.0</v>
      </c>
      <c r="E6" s="111">
        <v>3.0</v>
      </c>
      <c r="F6" s="111">
        <v>1.0</v>
      </c>
      <c r="G6" s="110">
        <v>3.0</v>
      </c>
      <c r="H6" s="110">
        <v>3.0</v>
      </c>
      <c r="I6" s="110">
        <v>2.0</v>
      </c>
      <c r="J6" s="110">
        <v>0.0</v>
      </c>
      <c r="K6" s="111">
        <v>3.0</v>
      </c>
      <c r="L6" s="110">
        <v>1.0</v>
      </c>
      <c r="M6" s="110">
        <v>4.0</v>
      </c>
      <c r="N6" s="110">
        <v>1.0</v>
      </c>
      <c r="O6" s="111">
        <v>3.0</v>
      </c>
      <c r="P6" s="110">
        <v>2.0</v>
      </c>
      <c r="Q6" s="110">
        <v>2.0</v>
      </c>
      <c r="R6" s="110">
        <v>0.0</v>
      </c>
      <c r="S6" s="111">
        <v>1.0</v>
      </c>
      <c r="T6" s="110">
        <v>0.0</v>
      </c>
      <c r="U6" s="110">
        <v>3.0</v>
      </c>
      <c r="V6" s="110">
        <v>5.0</v>
      </c>
      <c r="W6" s="110">
        <v>3.0</v>
      </c>
      <c r="X6" s="111">
        <v>2.0</v>
      </c>
      <c r="Y6" s="111">
        <v>0.0</v>
      </c>
      <c r="Z6" s="110">
        <v>0.0</v>
      </c>
      <c r="AA6" s="110">
        <v>2.0</v>
      </c>
      <c r="AB6" s="110">
        <v>6.0</v>
      </c>
      <c r="AC6" s="111">
        <v>2.0</v>
      </c>
      <c r="AD6" s="110">
        <v>1.0</v>
      </c>
      <c r="AE6" s="111">
        <v>5.0</v>
      </c>
      <c r="AF6" s="111">
        <v>5.0</v>
      </c>
      <c r="AG6" s="110">
        <v>3.0</v>
      </c>
    </row>
    <row r="7">
      <c r="B7" s="109" t="s">
        <v>96</v>
      </c>
      <c r="C7" s="112">
        <v>149953.5</v>
      </c>
      <c r="D7" s="112">
        <v>570795.0</v>
      </c>
      <c r="E7" s="112">
        <v>620925.0</v>
      </c>
      <c r="F7" s="112">
        <v>416134.5</v>
      </c>
      <c r="G7" s="112">
        <v>44640.0</v>
      </c>
      <c r="H7" s="112">
        <v>750255.0</v>
      </c>
      <c r="I7" s="112">
        <v>439575.0</v>
      </c>
      <c r="J7" s="113">
        <v>0.0</v>
      </c>
      <c r="K7" s="112">
        <v>101640.0</v>
      </c>
      <c r="L7" s="112">
        <v>256350.0</v>
      </c>
      <c r="M7" s="112">
        <v>1497240.0</v>
      </c>
      <c r="N7" s="112">
        <v>266055.0</v>
      </c>
      <c r="O7" s="112">
        <v>839610.0</v>
      </c>
      <c r="P7" s="112">
        <v>462360.0</v>
      </c>
      <c r="Q7" s="112">
        <v>513720.0</v>
      </c>
      <c r="R7" s="113">
        <v>0.0</v>
      </c>
      <c r="S7" s="112">
        <v>499680.0</v>
      </c>
      <c r="T7" s="113">
        <v>0.0</v>
      </c>
      <c r="U7" s="112">
        <v>634708.5</v>
      </c>
      <c r="V7" s="112">
        <v>603900.0</v>
      </c>
      <c r="W7" s="112">
        <v>159570.0</v>
      </c>
      <c r="X7" s="112">
        <v>223680.0</v>
      </c>
      <c r="Y7" s="113">
        <v>0.0</v>
      </c>
      <c r="Z7" s="112">
        <v>0.0</v>
      </c>
      <c r="AA7" s="112">
        <v>212130.0</v>
      </c>
      <c r="AB7" s="112">
        <v>1745580.0</v>
      </c>
      <c r="AC7" s="112">
        <v>489615.0</v>
      </c>
      <c r="AD7" s="112">
        <v>240750.0</v>
      </c>
      <c r="AE7" s="112">
        <v>922470.0</v>
      </c>
      <c r="AF7" s="112">
        <v>417945.0</v>
      </c>
      <c r="AG7" s="112">
        <v>727455.0</v>
      </c>
    </row>
    <row r="8">
      <c r="B8" s="109" t="s">
        <v>97</v>
      </c>
      <c r="C8" s="111">
        <v>0.0</v>
      </c>
      <c r="D8" s="111">
        <v>1.0</v>
      </c>
      <c r="E8" s="111">
        <v>0.0</v>
      </c>
      <c r="F8" s="111">
        <v>0.0</v>
      </c>
      <c r="G8" s="111">
        <v>1.0</v>
      </c>
      <c r="H8" s="111">
        <v>0.0</v>
      </c>
      <c r="I8" s="111">
        <v>0.0</v>
      </c>
      <c r="J8" s="111">
        <v>0.0</v>
      </c>
      <c r="K8" s="111">
        <v>0.0</v>
      </c>
      <c r="L8" s="111">
        <v>2.0</v>
      </c>
      <c r="M8" s="111">
        <v>1.0</v>
      </c>
      <c r="N8" s="110">
        <v>2.0</v>
      </c>
      <c r="O8" s="111">
        <v>1.0</v>
      </c>
      <c r="P8" s="111">
        <v>0.0</v>
      </c>
      <c r="Q8" s="111">
        <v>0.0</v>
      </c>
      <c r="R8" s="111">
        <v>0.0</v>
      </c>
      <c r="S8" s="110">
        <v>2.0</v>
      </c>
      <c r="T8" s="111">
        <v>0.0</v>
      </c>
      <c r="U8" s="111">
        <v>0.0</v>
      </c>
      <c r="V8" s="110">
        <v>1.0</v>
      </c>
      <c r="W8" s="111">
        <v>0.0</v>
      </c>
      <c r="X8" s="111">
        <v>0.0</v>
      </c>
      <c r="Y8" s="110">
        <v>1.0</v>
      </c>
      <c r="Z8" s="111">
        <v>0.0</v>
      </c>
      <c r="AA8" s="111">
        <v>0.0</v>
      </c>
      <c r="AB8" s="110">
        <v>1.0</v>
      </c>
      <c r="AC8" s="111">
        <v>0.0</v>
      </c>
      <c r="AD8" s="111">
        <v>0.0</v>
      </c>
      <c r="AE8" s="111">
        <v>0.0</v>
      </c>
      <c r="AF8" s="111">
        <v>0.0</v>
      </c>
      <c r="AG8" s="110">
        <v>0.0</v>
      </c>
    </row>
    <row r="9">
      <c r="B9" s="114" t="s">
        <v>98</v>
      </c>
      <c r="C9" s="110">
        <v>0.0</v>
      </c>
      <c r="D9" s="111">
        <v>1.0</v>
      </c>
      <c r="E9" s="111">
        <v>0.0</v>
      </c>
      <c r="F9" s="111">
        <v>0.0</v>
      </c>
      <c r="G9" s="111">
        <v>1.0</v>
      </c>
      <c r="H9" s="111">
        <v>0.0</v>
      </c>
      <c r="I9" s="111">
        <v>0.0</v>
      </c>
      <c r="J9" s="111">
        <v>0.0</v>
      </c>
      <c r="K9" s="111">
        <v>0.0</v>
      </c>
      <c r="L9" s="110">
        <v>1.0</v>
      </c>
      <c r="M9" s="111">
        <v>0.0</v>
      </c>
      <c r="N9" s="111">
        <v>0.0</v>
      </c>
      <c r="O9" s="111">
        <v>0.0</v>
      </c>
      <c r="P9" s="111">
        <v>0.0</v>
      </c>
      <c r="Q9" s="111">
        <v>0.0</v>
      </c>
      <c r="R9" s="111">
        <v>0.0</v>
      </c>
      <c r="S9" s="110">
        <v>1.0</v>
      </c>
      <c r="T9" s="111">
        <v>0.0</v>
      </c>
      <c r="U9" s="111">
        <v>0.0</v>
      </c>
      <c r="V9" s="111">
        <v>0.0</v>
      </c>
      <c r="W9" s="111">
        <v>0.0</v>
      </c>
      <c r="X9" s="111">
        <v>0.0</v>
      </c>
      <c r="Y9" s="110">
        <v>0.0</v>
      </c>
      <c r="Z9" s="111">
        <v>0.0</v>
      </c>
      <c r="AA9" s="111">
        <v>0.0</v>
      </c>
      <c r="AB9" s="111">
        <v>0.0</v>
      </c>
      <c r="AC9" s="111">
        <v>0.0</v>
      </c>
      <c r="AD9" s="111">
        <v>0.0</v>
      </c>
      <c r="AE9" s="111">
        <v>0.0</v>
      </c>
      <c r="AF9" s="111">
        <v>0.0</v>
      </c>
      <c r="AG9" s="110">
        <v>0.0</v>
      </c>
    </row>
    <row r="11">
      <c r="B11" s="99" t="s">
        <v>99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</row>
    <row r="12">
      <c r="B12" s="99" t="s">
        <v>100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</row>
    <row r="13">
      <c r="B13" s="1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25.88"/>
    <col customWidth="1" min="3" max="33" width="5.38"/>
    <col customWidth="1" min="34" max="34" width="8.25"/>
    <col customWidth="1" min="35" max="35" width="10.25"/>
    <col customWidth="1" min="36" max="36" width="8.88"/>
  </cols>
  <sheetData>
    <row r="2">
      <c r="B2" s="106" t="s">
        <v>101</v>
      </c>
    </row>
    <row r="3"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</row>
    <row r="4">
      <c r="B4" s="117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7"/>
      <c r="AI4" s="117"/>
      <c r="AJ4" s="117"/>
    </row>
    <row r="5">
      <c r="B5" s="119" t="s">
        <v>102</v>
      </c>
      <c r="C5" s="120" t="s">
        <v>103</v>
      </c>
      <c r="AH5" s="119"/>
      <c r="AI5" s="119" t="s">
        <v>104</v>
      </c>
      <c r="AJ5" s="119"/>
    </row>
    <row r="6">
      <c r="C6" s="121" t="s">
        <v>105</v>
      </c>
      <c r="D6" s="121" t="s">
        <v>106</v>
      </c>
      <c r="E6" s="121" t="s">
        <v>107</v>
      </c>
      <c r="F6" s="121" t="s">
        <v>108</v>
      </c>
      <c r="G6" s="121" t="s">
        <v>109</v>
      </c>
      <c r="H6" s="121" t="s">
        <v>110</v>
      </c>
      <c r="I6" s="121" t="s">
        <v>111</v>
      </c>
      <c r="J6" s="121" t="s">
        <v>105</v>
      </c>
      <c r="K6" s="121" t="s">
        <v>106</v>
      </c>
      <c r="L6" s="121" t="s">
        <v>107</v>
      </c>
      <c r="M6" s="121" t="s">
        <v>108</v>
      </c>
      <c r="N6" s="121" t="s">
        <v>109</v>
      </c>
      <c r="O6" s="121" t="s">
        <v>110</v>
      </c>
      <c r="P6" s="121" t="s">
        <v>111</v>
      </c>
      <c r="Q6" s="121" t="s">
        <v>105</v>
      </c>
      <c r="R6" s="121" t="s">
        <v>106</v>
      </c>
      <c r="S6" s="121" t="s">
        <v>107</v>
      </c>
      <c r="T6" s="121" t="s">
        <v>108</v>
      </c>
      <c r="U6" s="121" t="s">
        <v>109</v>
      </c>
      <c r="V6" s="121" t="s">
        <v>110</v>
      </c>
      <c r="W6" s="121" t="s">
        <v>111</v>
      </c>
      <c r="X6" s="121" t="s">
        <v>105</v>
      </c>
      <c r="Y6" s="121" t="s">
        <v>106</v>
      </c>
      <c r="Z6" s="121" t="s">
        <v>107</v>
      </c>
      <c r="AA6" s="121" t="s">
        <v>108</v>
      </c>
      <c r="AB6" s="121" t="s">
        <v>109</v>
      </c>
      <c r="AC6" s="121" t="s">
        <v>110</v>
      </c>
      <c r="AD6" s="121" t="s">
        <v>111</v>
      </c>
      <c r="AE6" s="121" t="s">
        <v>105</v>
      </c>
      <c r="AF6" s="121" t="s">
        <v>106</v>
      </c>
      <c r="AG6" s="121" t="s">
        <v>107</v>
      </c>
    </row>
    <row r="7">
      <c r="C7" s="122">
        <v>42917.0</v>
      </c>
      <c r="D7" s="122">
        <v>42918.0</v>
      </c>
      <c r="E7" s="122">
        <v>42919.0</v>
      </c>
      <c r="F7" s="122">
        <v>42920.0</v>
      </c>
      <c r="G7" s="122">
        <v>42921.0</v>
      </c>
      <c r="H7" s="122">
        <v>42922.0</v>
      </c>
      <c r="I7" s="122">
        <v>42923.0</v>
      </c>
      <c r="J7" s="122">
        <v>42924.0</v>
      </c>
      <c r="K7" s="122">
        <v>42925.0</v>
      </c>
      <c r="L7" s="122">
        <v>42926.0</v>
      </c>
      <c r="M7" s="122">
        <v>42927.0</v>
      </c>
      <c r="N7" s="122">
        <v>42928.0</v>
      </c>
      <c r="O7" s="122">
        <v>42929.0</v>
      </c>
      <c r="P7" s="122">
        <v>42930.0</v>
      </c>
      <c r="Q7" s="122">
        <v>42931.0</v>
      </c>
      <c r="R7" s="122">
        <v>42932.0</v>
      </c>
      <c r="S7" s="122">
        <v>42933.0</v>
      </c>
      <c r="T7" s="122">
        <v>42934.0</v>
      </c>
      <c r="U7" s="122">
        <v>42935.0</v>
      </c>
      <c r="V7" s="122">
        <v>42936.0</v>
      </c>
      <c r="W7" s="122">
        <v>42937.0</v>
      </c>
      <c r="X7" s="122">
        <v>42938.0</v>
      </c>
      <c r="Y7" s="122">
        <v>42939.0</v>
      </c>
      <c r="Z7" s="122">
        <v>42940.0</v>
      </c>
      <c r="AA7" s="122">
        <v>42941.0</v>
      </c>
      <c r="AB7" s="122">
        <v>42942.0</v>
      </c>
      <c r="AC7" s="122">
        <v>42943.0</v>
      </c>
      <c r="AD7" s="122">
        <v>42944.0</v>
      </c>
      <c r="AE7" s="122">
        <v>42945.0</v>
      </c>
      <c r="AF7" s="122">
        <v>42946.0</v>
      </c>
      <c r="AG7" s="122">
        <v>42947.0</v>
      </c>
    </row>
    <row r="8">
      <c r="B8" s="123" t="s">
        <v>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7"/>
    </row>
    <row r="9">
      <c r="B9" s="124" t="s">
        <v>112</v>
      </c>
      <c r="C9" s="125">
        <f t="shared" ref="C9:AG9" si="1">SUM(C10:C12)</f>
        <v>1559</v>
      </c>
      <c r="D9" s="125">
        <f t="shared" si="1"/>
        <v>1597</v>
      </c>
      <c r="E9" s="125">
        <f t="shared" si="1"/>
        <v>2197</v>
      </c>
      <c r="F9" s="125">
        <f t="shared" si="1"/>
        <v>1730</v>
      </c>
      <c r="G9" s="125">
        <f t="shared" si="1"/>
        <v>2062</v>
      </c>
      <c r="H9" s="125">
        <f t="shared" si="1"/>
        <v>1950</v>
      </c>
      <c r="I9" s="125">
        <f t="shared" si="1"/>
        <v>1436</v>
      </c>
      <c r="J9" s="125">
        <f t="shared" si="1"/>
        <v>768</v>
      </c>
      <c r="K9" s="125">
        <f t="shared" si="1"/>
        <v>1031</v>
      </c>
      <c r="L9" s="125">
        <f t="shared" si="1"/>
        <v>1151</v>
      </c>
      <c r="M9" s="125">
        <f t="shared" si="1"/>
        <v>1236</v>
      </c>
      <c r="N9" s="125">
        <f t="shared" si="1"/>
        <v>1095</v>
      </c>
      <c r="O9" s="125">
        <f t="shared" si="1"/>
        <v>1168</v>
      </c>
      <c r="P9" s="125">
        <f t="shared" si="1"/>
        <v>1076</v>
      </c>
      <c r="Q9" s="125">
        <f t="shared" si="1"/>
        <v>850</v>
      </c>
      <c r="R9" s="125">
        <f t="shared" si="1"/>
        <v>452</v>
      </c>
      <c r="S9" s="125">
        <f t="shared" si="1"/>
        <v>1176</v>
      </c>
      <c r="T9" s="125">
        <f t="shared" si="1"/>
        <v>1053</v>
      </c>
      <c r="U9" s="125">
        <f t="shared" si="1"/>
        <v>971</v>
      </c>
      <c r="V9" s="125">
        <f t="shared" si="1"/>
        <v>994</v>
      </c>
      <c r="W9" s="125">
        <f t="shared" si="1"/>
        <v>743</v>
      </c>
      <c r="X9" s="125">
        <f t="shared" si="1"/>
        <v>658</v>
      </c>
      <c r="Y9" s="125">
        <f t="shared" si="1"/>
        <v>1013</v>
      </c>
      <c r="Z9" s="125">
        <f t="shared" si="1"/>
        <v>1051</v>
      </c>
      <c r="AA9" s="125">
        <f t="shared" si="1"/>
        <v>1043</v>
      </c>
      <c r="AB9" s="125">
        <f t="shared" si="1"/>
        <v>1160</v>
      </c>
      <c r="AC9" s="125">
        <f t="shared" si="1"/>
        <v>1076</v>
      </c>
      <c r="AD9" s="125">
        <f t="shared" si="1"/>
        <v>1163</v>
      </c>
      <c r="AE9" s="125">
        <f t="shared" si="1"/>
        <v>856</v>
      </c>
      <c r="AF9" s="125">
        <f t="shared" si="1"/>
        <v>1114</v>
      </c>
      <c r="AG9" s="125">
        <f t="shared" si="1"/>
        <v>1327</v>
      </c>
      <c r="AH9" s="126"/>
      <c r="AI9" s="127">
        <f t="shared" ref="AI9:AI12" si="2">IFERROR(AI13/AI22, 0)</f>
        <v>0</v>
      </c>
      <c r="AJ9" s="119"/>
    </row>
    <row r="10">
      <c r="B10" s="128" t="s">
        <v>113</v>
      </c>
      <c r="C10" s="129">
        <v>689.0</v>
      </c>
      <c r="D10" s="129">
        <v>684.0</v>
      </c>
      <c r="E10" s="129">
        <v>851.0</v>
      </c>
      <c r="F10" s="129">
        <v>716.0</v>
      </c>
      <c r="G10" s="129">
        <v>866.0</v>
      </c>
      <c r="H10" s="129">
        <v>826.0</v>
      </c>
      <c r="I10" s="129">
        <v>485.0</v>
      </c>
      <c r="J10" s="129">
        <v>550.0</v>
      </c>
      <c r="K10" s="129">
        <v>787.0</v>
      </c>
      <c r="L10" s="129">
        <v>787.0</v>
      </c>
      <c r="M10" s="129">
        <v>1076.0</v>
      </c>
      <c r="N10" s="129">
        <v>1051.0</v>
      </c>
      <c r="O10" s="129">
        <v>971.0</v>
      </c>
      <c r="P10" s="129">
        <v>899.0</v>
      </c>
      <c r="Q10" s="129">
        <v>721.0</v>
      </c>
      <c r="R10" s="129">
        <v>354.0</v>
      </c>
      <c r="S10" s="129">
        <v>978.0</v>
      </c>
      <c r="T10" s="129">
        <v>848.0</v>
      </c>
      <c r="U10" s="129">
        <v>779.0</v>
      </c>
      <c r="V10" s="129">
        <v>822.0</v>
      </c>
      <c r="W10" s="129">
        <v>580.0</v>
      </c>
      <c r="X10" s="129">
        <v>505.0</v>
      </c>
      <c r="Y10" s="129">
        <v>634.0</v>
      </c>
      <c r="Z10" s="129">
        <v>676.0</v>
      </c>
      <c r="AA10" s="129">
        <v>586.0</v>
      </c>
      <c r="AB10" s="129">
        <v>778.0</v>
      </c>
      <c r="AC10" s="129">
        <v>694.0</v>
      </c>
      <c r="AD10" s="129">
        <v>784.0</v>
      </c>
      <c r="AE10" s="129">
        <v>536.0</v>
      </c>
      <c r="AF10" s="129">
        <v>659.0</v>
      </c>
      <c r="AG10" s="129">
        <v>940.0</v>
      </c>
      <c r="AH10" s="126"/>
      <c r="AI10" s="127">
        <f t="shared" si="2"/>
        <v>0</v>
      </c>
    </row>
    <row r="11">
      <c r="B11" s="128" t="s">
        <v>114</v>
      </c>
      <c r="C11" s="129">
        <v>113.0</v>
      </c>
      <c r="D11" s="129">
        <v>169.0</v>
      </c>
      <c r="E11" s="129">
        <v>361.0</v>
      </c>
      <c r="F11" s="129">
        <v>208.0</v>
      </c>
      <c r="G11" s="129">
        <v>349.0</v>
      </c>
      <c r="H11" s="129">
        <v>277.0</v>
      </c>
      <c r="I11" s="129">
        <v>161.0</v>
      </c>
      <c r="J11" s="129">
        <v>26.0</v>
      </c>
      <c r="K11" s="129">
        <v>14.0</v>
      </c>
      <c r="L11" s="129">
        <v>14.0</v>
      </c>
      <c r="M11" s="129">
        <v>11.0</v>
      </c>
      <c r="N11" s="129">
        <v>13.0</v>
      </c>
      <c r="O11" s="129">
        <v>70.0</v>
      </c>
      <c r="P11" s="129">
        <v>53.0</v>
      </c>
      <c r="Q11" s="129">
        <v>34.0</v>
      </c>
      <c r="R11" s="129">
        <v>26.0</v>
      </c>
      <c r="S11" s="129">
        <v>80.0</v>
      </c>
      <c r="T11" s="129">
        <v>77.0</v>
      </c>
      <c r="U11" s="129">
        <v>76.0</v>
      </c>
      <c r="V11" s="129">
        <v>72.0</v>
      </c>
      <c r="W11" s="129">
        <v>53.0</v>
      </c>
      <c r="X11" s="129">
        <v>43.0</v>
      </c>
      <c r="Y11" s="129">
        <v>177.0</v>
      </c>
      <c r="Z11" s="129">
        <v>183.0</v>
      </c>
      <c r="AA11" s="129">
        <v>192.0</v>
      </c>
      <c r="AB11" s="129">
        <v>202.0</v>
      </c>
      <c r="AC11" s="129">
        <v>194.0</v>
      </c>
      <c r="AD11" s="129">
        <v>187.0</v>
      </c>
      <c r="AE11" s="129">
        <v>153.0</v>
      </c>
      <c r="AF11" s="129">
        <v>192.0</v>
      </c>
      <c r="AG11" s="129">
        <v>171.0</v>
      </c>
      <c r="AH11" s="130"/>
      <c r="AI11" s="131">
        <f t="shared" si="2"/>
        <v>0</v>
      </c>
    </row>
    <row r="12">
      <c r="B12" s="128" t="s">
        <v>115</v>
      </c>
      <c r="C12" s="129">
        <v>757.0</v>
      </c>
      <c r="D12" s="129">
        <v>744.0</v>
      </c>
      <c r="E12" s="129">
        <v>985.0</v>
      </c>
      <c r="F12" s="129">
        <v>806.0</v>
      </c>
      <c r="G12" s="129">
        <v>847.0</v>
      </c>
      <c r="H12" s="129">
        <v>847.0</v>
      </c>
      <c r="I12" s="129">
        <v>790.0</v>
      </c>
      <c r="J12" s="129">
        <v>192.0</v>
      </c>
      <c r="K12" s="129">
        <v>230.0</v>
      </c>
      <c r="L12" s="129">
        <v>350.0</v>
      </c>
      <c r="M12" s="129">
        <v>149.0</v>
      </c>
      <c r="N12" s="129">
        <v>31.0</v>
      </c>
      <c r="O12" s="129">
        <v>127.0</v>
      </c>
      <c r="P12" s="129">
        <v>124.0</v>
      </c>
      <c r="Q12" s="129">
        <v>95.0</v>
      </c>
      <c r="R12" s="129">
        <v>72.0</v>
      </c>
      <c r="S12" s="129">
        <v>118.0</v>
      </c>
      <c r="T12" s="129">
        <v>128.0</v>
      </c>
      <c r="U12" s="129">
        <v>116.0</v>
      </c>
      <c r="V12" s="129">
        <v>100.0</v>
      </c>
      <c r="W12" s="129">
        <v>110.0</v>
      </c>
      <c r="X12" s="129">
        <v>110.0</v>
      </c>
      <c r="Y12" s="129">
        <v>202.0</v>
      </c>
      <c r="Z12" s="129">
        <v>192.0</v>
      </c>
      <c r="AA12" s="129">
        <v>265.0</v>
      </c>
      <c r="AB12" s="129">
        <v>180.0</v>
      </c>
      <c r="AC12" s="129">
        <v>188.0</v>
      </c>
      <c r="AD12" s="129">
        <v>192.0</v>
      </c>
      <c r="AE12" s="129">
        <v>167.0</v>
      </c>
      <c r="AF12" s="129">
        <v>263.0</v>
      </c>
      <c r="AG12" s="129">
        <v>216.0</v>
      </c>
      <c r="AH12" s="130"/>
      <c r="AI12" s="131">
        <f t="shared" si="2"/>
        <v>0</v>
      </c>
      <c r="AJ12" s="119"/>
    </row>
    <row r="13">
      <c r="B13" s="124" t="s">
        <v>9</v>
      </c>
      <c r="C13" s="125">
        <f t="shared" ref="C13:AG13" si="3">SUM(C14:C16)+C17</f>
        <v>81</v>
      </c>
      <c r="D13" s="125">
        <f t="shared" si="3"/>
        <v>101</v>
      </c>
      <c r="E13" s="125">
        <f t="shared" si="3"/>
        <v>69</v>
      </c>
      <c r="F13" s="125">
        <f t="shared" si="3"/>
        <v>71</v>
      </c>
      <c r="G13" s="125">
        <f t="shared" si="3"/>
        <v>105</v>
      </c>
      <c r="H13" s="125">
        <f t="shared" si="3"/>
        <v>76</v>
      </c>
      <c r="I13" s="125">
        <f t="shared" si="3"/>
        <v>66</v>
      </c>
      <c r="J13" s="125">
        <f t="shared" si="3"/>
        <v>45</v>
      </c>
      <c r="K13" s="125">
        <f t="shared" si="3"/>
        <v>51</v>
      </c>
      <c r="L13" s="125">
        <f t="shared" si="3"/>
        <v>76</v>
      </c>
      <c r="M13" s="125">
        <f t="shared" si="3"/>
        <v>71</v>
      </c>
      <c r="N13" s="125">
        <f t="shared" si="3"/>
        <v>87</v>
      </c>
      <c r="O13" s="125">
        <f t="shared" si="3"/>
        <v>49</v>
      </c>
      <c r="P13" s="125">
        <f t="shared" si="3"/>
        <v>44</v>
      </c>
      <c r="Q13" s="125">
        <f t="shared" si="3"/>
        <v>30</v>
      </c>
      <c r="R13" s="125">
        <f t="shared" si="3"/>
        <v>19</v>
      </c>
      <c r="S13" s="125">
        <f t="shared" si="3"/>
        <v>93</v>
      </c>
      <c r="T13" s="125">
        <f t="shared" si="3"/>
        <v>73</v>
      </c>
      <c r="U13" s="125">
        <f t="shared" si="3"/>
        <v>62</v>
      </c>
      <c r="V13" s="125">
        <f t="shared" si="3"/>
        <v>104</v>
      </c>
      <c r="W13" s="125">
        <f t="shared" si="3"/>
        <v>61</v>
      </c>
      <c r="X13" s="125">
        <f t="shared" si="3"/>
        <v>38</v>
      </c>
      <c r="Y13" s="125">
        <f t="shared" si="3"/>
        <v>64</v>
      </c>
      <c r="Z13" s="125">
        <f t="shared" si="3"/>
        <v>55</v>
      </c>
      <c r="AA13" s="125">
        <f t="shared" si="3"/>
        <v>53</v>
      </c>
      <c r="AB13" s="125">
        <f t="shared" si="3"/>
        <v>45</v>
      </c>
      <c r="AC13" s="125">
        <f t="shared" si="3"/>
        <v>55</v>
      </c>
      <c r="AD13" s="125">
        <f t="shared" si="3"/>
        <v>37</v>
      </c>
      <c r="AE13" s="125">
        <f t="shared" si="3"/>
        <v>45</v>
      </c>
      <c r="AF13" s="125">
        <f t="shared" si="3"/>
        <v>49</v>
      </c>
      <c r="AG13" s="125">
        <f t="shared" si="3"/>
        <v>50</v>
      </c>
      <c r="AH13" s="132"/>
      <c r="AI13" s="133">
        <v>2500.0</v>
      </c>
    </row>
    <row r="14">
      <c r="B14" s="128" t="s">
        <v>116</v>
      </c>
      <c r="C14" s="129">
        <v>30.0</v>
      </c>
      <c r="D14" s="129">
        <v>46.0</v>
      </c>
      <c r="E14" s="129">
        <v>34.0</v>
      </c>
      <c r="F14" s="129">
        <v>31.0</v>
      </c>
      <c r="G14" s="129">
        <v>30.0</v>
      </c>
      <c r="H14" s="129">
        <v>22.0</v>
      </c>
      <c r="I14" s="129">
        <v>20.0</v>
      </c>
      <c r="J14" s="129">
        <v>15.0</v>
      </c>
      <c r="K14" s="129">
        <v>12.0</v>
      </c>
      <c r="L14" s="129">
        <v>32.0</v>
      </c>
      <c r="M14" s="129">
        <v>15.0</v>
      </c>
      <c r="N14" s="129">
        <v>20.0</v>
      </c>
      <c r="O14" s="129">
        <v>12.0</v>
      </c>
      <c r="P14" s="129">
        <v>3.0</v>
      </c>
      <c r="Q14" s="129">
        <v>3.0</v>
      </c>
      <c r="R14" s="129">
        <v>0.0</v>
      </c>
      <c r="S14" s="129">
        <v>20.0</v>
      </c>
      <c r="T14" s="129">
        <v>20.0</v>
      </c>
      <c r="U14" s="129">
        <v>9.0</v>
      </c>
      <c r="V14" s="129">
        <v>13.0</v>
      </c>
      <c r="W14" s="129">
        <v>7.0</v>
      </c>
      <c r="X14" s="129">
        <v>4.0</v>
      </c>
      <c r="Y14" s="129">
        <v>8.0</v>
      </c>
      <c r="Z14" s="129">
        <v>7.0</v>
      </c>
      <c r="AA14" s="129">
        <v>8.0</v>
      </c>
      <c r="AB14" s="129">
        <v>6.0</v>
      </c>
      <c r="AC14" s="129">
        <v>7.0</v>
      </c>
      <c r="AD14" s="129">
        <v>4.0</v>
      </c>
      <c r="AE14" s="129">
        <v>2.0</v>
      </c>
      <c r="AF14" s="129">
        <v>2.0</v>
      </c>
      <c r="AG14" s="129">
        <v>7.0</v>
      </c>
      <c r="AH14" s="126"/>
      <c r="AI14" s="134">
        <v>833.0</v>
      </c>
    </row>
    <row r="15">
      <c r="B15" s="128" t="s">
        <v>117</v>
      </c>
      <c r="C15" s="129">
        <v>21.0</v>
      </c>
      <c r="D15" s="129">
        <v>5.0</v>
      </c>
      <c r="E15" s="129">
        <v>17.0</v>
      </c>
      <c r="F15" s="129">
        <v>20.0</v>
      </c>
      <c r="G15" s="129">
        <v>37.0</v>
      </c>
      <c r="H15" s="129">
        <v>30.0</v>
      </c>
      <c r="I15" s="129">
        <v>23.0</v>
      </c>
      <c r="J15" s="129">
        <v>22.0</v>
      </c>
      <c r="K15" s="129">
        <v>25.0</v>
      </c>
      <c r="L15" s="129">
        <v>27.0</v>
      </c>
      <c r="M15" s="129">
        <v>39.0</v>
      </c>
      <c r="N15" s="129">
        <v>38.0</v>
      </c>
      <c r="O15" s="129">
        <v>23.0</v>
      </c>
      <c r="P15" s="129">
        <v>32.0</v>
      </c>
      <c r="Q15" s="129">
        <v>22.0</v>
      </c>
      <c r="R15" s="129">
        <v>18.0</v>
      </c>
      <c r="S15" s="129">
        <v>39.0</v>
      </c>
      <c r="T15" s="129">
        <v>27.0</v>
      </c>
      <c r="U15" s="129">
        <v>30.0</v>
      </c>
      <c r="V15" s="129">
        <v>50.0</v>
      </c>
      <c r="W15" s="129">
        <v>21.0</v>
      </c>
      <c r="X15" s="129">
        <v>12.0</v>
      </c>
      <c r="Y15" s="129">
        <v>25.0</v>
      </c>
      <c r="Z15" s="129">
        <v>26.0</v>
      </c>
      <c r="AA15" s="129">
        <v>29.0</v>
      </c>
      <c r="AB15" s="129">
        <v>23.0</v>
      </c>
      <c r="AC15" s="129">
        <v>25.0</v>
      </c>
      <c r="AD15" s="129">
        <v>17.0</v>
      </c>
      <c r="AE15" s="129">
        <v>13.0</v>
      </c>
      <c r="AF15" s="129">
        <v>14.0</v>
      </c>
      <c r="AG15" s="129">
        <v>20.0</v>
      </c>
      <c r="AH15" s="130"/>
      <c r="AI15" s="135">
        <v>833.0</v>
      </c>
      <c r="AJ15" s="119"/>
    </row>
    <row r="16">
      <c r="B16" s="128" t="s">
        <v>118</v>
      </c>
      <c r="C16" s="129">
        <v>22.0</v>
      </c>
      <c r="D16" s="129">
        <v>4.0</v>
      </c>
      <c r="E16" s="129">
        <v>6.0</v>
      </c>
      <c r="F16" s="129">
        <v>11.0</v>
      </c>
      <c r="G16" s="129">
        <v>19.0</v>
      </c>
      <c r="H16" s="129">
        <v>13.0</v>
      </c>
      <c r="I16" s="129">
        <v>14.0</v>
      </c>
      <c r="J16" s="129">
        <v>4.0</v>
      </c>
      <c r="K16" s="129">
        <v>2.0</v>
      </c>
      <c r="L16" s="129">
        <v>2.0</v>
      </c>
      <c r="M16" s="129">
        <v>2.0</v>
      </c>
      <c r="N16" s="129">
        <v>9.0</v>
      </c>
      <c r="O16" s="129">
        <v>2.0</v>
      </c>
      <c r="P16" s="129">
        <v>6.0</v>
      </c>
      <c r="Q16" s="129">
        <v>2.0</v>
      </c>
      <c r="R16" s="129">
        <v>1.0</v>
      </c>
      <c r="S16" s="129">
        <v>3.0</v>
      </c>
      <c r="T16" s="129">
        <v>3.0</v>
      </c>
      <c r="U16" s="129">
        <v>2.0</v>
      </c>
      <c r="V16" s="129">
        <v>6.0</v>
      </c>
      <c r="W16" s="129">
        <v>4.0</v>
      </c>
      <c r="X16" s="129">
        <v>7.0</v>
      </c>
      <c r="Y16" s="129">
        <v>2.0</v>
      </c>
      <c r="Z16" s="129">
        <v>1.0</v>
      </c>
      <c r="AA16" s="129">
        <v>4.0</v>
      </c>
      <c r="AB16" s="129">
        <v>2.0</v>
      </c>
      <c r="AC16" s="129">
        <v>8.0</v>
      </c>
      <c r="AD16" s="129">
        <v>4.0</v>
      </c>
      <c r="AE16" s="129">
        <v>10.0</v>
      </c>
      <c r="AF16" s="129">
        <v>11.0</v>
      </c>
      <c r="AG16" s="129">
        <v>4.0</v>
      </c>
      <c r="AH16" s="130"/>
      <c r="AI16" s="135">
        <v>833.0</v>
      </c>
    </row>
    <row r="17">
      <c r="B17" s="136" t="s">
        <v>119</v>
      </c>
      <c r="C17" s="137">
        <v>8.0</v>
      </c>
      <c r="D17" s="137">
        <v>46.0</v>
      </c>
      <c r="E17" s="137">
        <v>12.0</v>
      </c>
      <c r="F17" s="137">
        <v>9.0</v>
      </c>
      <c r="G17" s="137">
        <v>19.0</v>
      </c>
      <c r="H17" s="137">
        <v>11.0</v>
      </c>
      <c r="I17" s="137">
        <v>9.0</v>
      </c>
      <c r="J17" s="137">
        <v>4.0</v>
      </c>
      <c r="K17" s="137">
        <v>12.0</v>
      </c>
      <c r="L17" s="137">
        <v>15.0</v>
      </c>
      <c r="M17" s="137">
        <v>15.0</v>
      </c>
      <c r="N17" s="137">
        <v>20.0</v>
      </c>
      <c r="O17" s="137">
        <v>12.0</v>
      </c>
      <c r="P17" s="137">
        <v>3.0</v>
      </c>
      <c r="Q17" s="137">
        <v>3.0</v>
      </c>
      <c r="R17" s="137">
        <v>0.0</v>
      </c>
      <c r="S17" s="137">
        <v>31.0</v>
      </c>
      <c r="T17" s="137">
        <v>23.0</v>
      </c>
      <c r="U17" s="137">
        <v>21.0</v>
      </c>
      <c r="V17" s="137">
        <v>35.0</v>
      </c>
      <c r="W17" s="137">
        <v>29.0</v>
      </c>
      <c r="X17" s="137">
        <v>15.0</v>
      </c>
      <c r="Y17" s="137">
        <v>29.0</v>
      </c>
      <c r="Z17" s="137">
        <v>21.0</v>
      </c>
      <c r="AA17" s="137">
        <v>12.0</v>
      </c>
      <c r="AB17" s="137">
        <v>14.0</v>
      </c>
      <c r="AC17" s="137">
        <v>15.0</v>
      </c>
      <c r="AD17" s="137">
        <v>12.0</v>
      </c>
      <c r="AE17" s="137">
        <v>20.0</v>
      </c>
      <c r="AF17" s="137">
        <v>22.0</v>
      </c>
      <c r="AG17" s="137">
        <v>19.0</v>
      </c>
      <c r="AH17" s="138"/>
      <c r="AI17" s="139"/>
    </row>
    <row r="18">
      <c r="AJ18" s="119"/>
    </row>
    <row r="19"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</row>
    <row r="20"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</row>
    <row r="21">
      <c r="B21" s="99" t="s">
        <v>120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J21" s="119"/>
    </row>
    <row r="22">
      <c r="B22" s="99" t="s">
        <v>121</v>
      </c>
      <c r="AH22" s="117"/>
      <c r="AI22" s="117"/>
    </row>
    <row r="23">
      <c r="AH23" s="117"/>
      <c r="AI23" s="117"/>
    </row>
    <row r="24">
      <c r="B24" s="99" t="s">
        <v>122</v>
      </c>
      <c r="AH24" s="117"/>
      <c r="AI24" s="117"/>
      <c r="AJ24" s="119"/>
    </row>
    <row r="25">
      <c r="B25" s="99" t="s">
        <v>123</v>
      </c>
      <c r="AH25" s="117"/>
      <c r="AI25" s="117"/>
    </row>
    <row r="26">
      <c r="AH26" s="117"/>
      <c r="AI26" s="117"/>
    </row>
    <row r="27">
      <c r="AH27" s="117"/>
      <c r="AI27" s="117"/>
      <c r="AJ27" s="119"/>
    </row>
    <row r="28">
      <c r="AH28" s="117"/>
      <c r="AI28" s="117"/>
    </row>
    <row r="29">
      <c r="AH29" s="117"/>
      <c r="AI29" s="117"/>
    </row>
    <row r="30">
      <c r="AH30" s="117"/>
      <c r="AI30" s="117"/>
      <c r="AJ30" s="119"/>
    </row>
    <row r="31">
      <c r="AH31" s="117"/>
      <c r="AI31" s="117"/>
    </row>
    <row r="32">
      <c r="AH32" s="117"/>
      <c r="AI32" s="117"/>
    </row>
    <row r="33">
      <c r="AH33" s="117"/>
      <c r="AI33" s="117"/>
      <c r="AJ33" s="119"/>
    </row>
    <row r="34">
      <c r="AH34" s="117"/>
      <c r="AI34" s="117"/>
    </row>
    <row r="35"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</row>
    <row r="36"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</row>
    <row r="37"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</row>
    <row r="38"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</row>
    <row r="39"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</row>
    <row r="40"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</row>
    <row r="41"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</row>
    <row r="4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</row>
    <row r="43"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</row>
  </sheetData>
  <mergeCells count="15">
    <mergeCell ref="AJ12:AJ14"/>
    <mergeCell ref="AJ15:AJ17"/>
    <mergeCell ref="AJ18:AJ20"/>
    <mergeCell ref="AJ21:AJ23"/>
    <mergeCell ref="AJ24:AJ26"/>
    <mergeCell ref="AJ27:AJ29"/>
    <mergeCell ref="AJ30:AJ32"/>
    <mergeCell ref="AJ33:AJ35"/>
    <mergeCell ref="B5:B7"/>
    <mergeCell ref="C5:AG5"/>
    <mergeCell ref="AH5:AH7"/>
    <mergeCell ref="AI5:AI7"/>
    <mergeCell ref="AJ5:AJ7"/>
    <mergeCell ref="B8:AJ8"/>
    <mergeCell ref="AJ9:AJ11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5" width="18.25"/>
    <col customWidth="1" min="6" max="6" width="25.63"/>
  </cols>
  <sheetData>
    <row r="1">
      <c r="B1" s="106" t="s">
        <v>124</v>
      </c>
    </row>
    <row r="3">
      <c r="B3" s="99" t="s">
        <v>125</v>
      </c>
    </row>
    <row r="4">
      <c r="B4" s="99" t="s">
        <v>126</v>
      </c>
    </row>
    <row r="5">
      <c r="B5" s="99" t="s">
        <v>127</v>
      </c>
    </row>
    <row r="6">
      <c r="B6" s="99" t="s">
        <v>128</v>
      </c>
    </row>
    <row r="7">
      <c r="B7" s="99" t="s">
        <v>129</v>
      </c>
    </row>
    <row r="10">
      <c r="B10" s="141" t="s">
        <v>130</v>
      </c>
      <c r="C10" s="141" t="s">
        <v>131</v>
      </c>
      <c r="D10" s="141" t="s">
        <v>132</v>
      </c>
      <c r="E10" s="141" t="s">
        <v>133</v>
      </c>
      <c r="F10" s="141" t="s">
        <v>134</v>
      </c>
      <c r="G10" s="99" t="s">
        <v>135</v>
      </c>
    </row>
    <row r="11">
      <c r="B11" s="142">
        <v>42917.0</v>
      </c>
      <c r="C11" s="143">
        <v>5331.0</v>
      </c>
      <c r="D11" s="143">
        <v>17559.0</v>
      </c>
      <c r="E11" s="143">
        <v>11833.0</v>
      </c>
      <c r="F11" s="143">
        <v>504270.0</v>
      </c>
      <c r="G11" s="115">
        <f t="shared" ref="G11:G41" si="1">SUM(C11:E11)</f>
        <v>34723</v>
      </c>
    </row>
    <row r="12">
      <c r="B12" s="142">
        <v>42918.0</v>
      </c>
      <c r="C12" s="143">
        <v>5825.0</v>
      </c>
      <c r="D12" s="143">
        <v>15155.0</v>
      </c>
      <c r="E12" s="143">
        <v>10419.0</v>
      </c>
      <c r="F12" s="143">
        <v>149954.0</v>
      </c>
      <c r="G12" s="115">
        <f t="shared" si="1"/>
        <v>31399</v>
      </c>
    </row>
    <row r="13">
      <c r="B13" s="142">
        <v>42919.0</v>
      </c>
      <c r="C13" s="143">
        <v>17537.0</v>
      </c>
      <c r="D13" s="143">
        <v>23675.0</v>
      </c>
      <c r="E13" s="143">
        <v>17562.0</v>
      </c>
      <c r="F13" s="143">
        <v>570795.0</v>
      </c>
      <c r="G13" s="115">
        <f t="shared" si="1"/>
        <v>58774</v>
      </c>
    </row>
    <row r="14">
      <c r="B14" s="142">
        <v>42920.0</v>
      </c>
      <c r="C14" s="143">
        <v>7859.0</v>
      </c>
      <c r="D14" s="143">
        <v>14252.0</v>
      </c>
      <c r="E14" s="143">
        <v>14454.0</v>
      </c>
      <c r="F14" s="143">
        <v>620925.0</v>
      </c>
      <c r="G14" s="115">
        <f t="shared" si="1"/>
        <v>36565</v>
      </c>
    </row>
    <row r="15">
      <c r="B15" s="142">
        <v>42921.0</v>
      </c>
      <c r="C15" s="143">
        <v>16464.0</v>
      </c>
      <c r="D15" s="143">
        <v>20033.0</v>
      </c>
      <c r="E15" s="143">
        <v>16371.0</v>
      </c>
      <c r="F15" s="143">
        <v>416134.5</v>
      </c>
      <c r="G15" s="115">
        <f t="shared" si="1"/>
        <v>52868</v>
      </c>
    </row>
    <row r="16">
      <c r="B16" s="142">
        <v>42922.0</v>
      </c>
      <c r="C16" s="143">
        <v>15559.0</v>
      </c>
      <c r="D16" s="143">
        <v>21742.0</v>
      </c>
      <c r="E16" s="143">
        <v>16463.0</v>
      </c>
      <c r="F16" s="143">
        <v>357450.0</v>
      </c>
      <c r="G16" s="115">
        <f t="shared" si="1"/>
        <v>53764</v>
      </c>
    </row>
    <row r="17">
      <c r="B17" s="142">
        <v>42923.0</v>
      </c>
      <c r="C17" s="143">
        <v>7703.0</v>
      </c>
      <c r="D17" s="143">
        <v>11839.0</v>
      </c>
      <c r="E17" s="143">
        <v>15579.0</v>
      </c>
      <c r="F17" s="143">
        <v>479340.0</v>
      </c>
      <c r="G17" s="115">
        <f t="shared" si="1"/>
        <v>35121</v>
      </c>
    </row>
    <row r="18">
      <c r="B18" s="142">
        <v>42924.0</v>
      </c>
      <c r="C18" s="143">
        <v>1210.0</v>
      </c>
      <c r="D18" s="143">
        <v>15853.0</v>
      </c>
      <c r="E18" s="143">
        <v>14238.0</v>
      </c>
      <c r="F18" s="143">
        <v>181935.0</v>
      </c>
      <c r="G18" s="115">
        <f t="shared" si="1"/>
        <v>31301</v>
      </c>
    </row>
    <row r="19">
      <c r="B19" s="142">
        <v>42925.0</v>
      </c>
      <c r="C19" s="143">
        <v>134.0</v>
      </c>
      <c r="D19" s="143">
        <v>21243.0</v>
      </c>
      <c r="E19" s="143">
        <v>6270.0</v>
      </c>
      <c r="F19" s="143">
        <v>505125.0</v>
      </c>
      <c r="G19" s="115">
        <f t="shared" si="1"/>
        <v>27647</v>
      </c>
    </row>
    <row r="20">
      <c r="B20" s="142">
        <v>42926.0</v>
      </c>
      <c r="C20" s="143">
        <v>1241.0</v>
      </c>
      <c r="D20" s="143">
        <v>25548.0</v>
      </c>
      <c r="E20" s="143">
        <v>6445.0</v>
      </c>
      <c r="F20" s="143">
        <v>605820.0</v>
      </c>
      <c r="G20" s="115">
        <f t="shared" si="1"/>
        <v>33234</v>
      </c>
    </row>
    <row r="21">
      <c r="B21" s="142">
        <v>42927.0</v>
      </c>
      <c r="C21" s="143">
        <v>3866.0</v>
      </c>
      <c r="D21" s="143">
        <v>18900.0</v>
      </c>
      <c r="E21" s="143">
        <v>3208.0</v>
      </c>
      <c r="F21" s="143">
        <v>431010.0</v>
      </c>
      <c r="G21" s="115">
        <f t="shared" si="1"/>
        <v>25974</v>
      </c>
    </row>
    <row r="22">
      <c r="B22" s="142">
        <v>42928.0</v>
      </c>
      <c r="C22" s="143">
        <v>3654.0</v>
      </c>
      <c r="D22" s="143">
        <v>33899.0</v>
      </c>
      <c r="E22" s="143">
        <v>3038.0</v>
      </c>
      <c r="F22" s="143">
        <v>366337.5</v>
      </c>
      <c r="G22" s="115">
        <f t="shared" si="1"/>
        <v>40591</v>
      </c>
    </row>
    <row r="23">
      <c r="B23" s="142">
        <v>42929.0</v>
      </c>
      <c r="C23" s="143">
        <v>2765.0</v>
      </c>
      <c r="D23" s="143">
        <v>26096.0</v>
      </c>
      <c r="E23" s="143">
        <v>6327.0</v>
      </c>
      <c r="F23" s="143">
        <v>43425.0</v>
      </c>
      <c r="G23" s="115">
        <f t="shared" si="1"/>
        <v>35188</v>
      </c>
    </row>
    <row r="24">
      <c r="B24" s="142">
        <v>42930.0</v>
      </c>
      <c r="C24" s="143">
        <v>2507.0</v>
      </c>
      <c r="D24" s="143">
        <v>26808.0</v>
      </c>
      <c r="E24" s="143">
        <v>786.0</v>
      </c>
      <c r="F24" s="143">
        <v>540217.5</v>
      </c>
      <c r="G24" s="115">
        <f t="shared" si="1"/>
        <v>30101</v>
      </c>
    </row>
    <row r="25">
      <c r="B25" s="142">
        <v>42931.0</v>
      </c>
      <c r="C25" s="143">
        <v>1350.0</v>
      </c>
      <c r="D25" s="143">
        <v>20008.0</v>
      </c>
      <c r="E25" s="143">
        <v>603.0</v>
      </c>
      <c r="F25" s="143">
        <v>249664.5</v>
      </c>
      <c r="G25" s="115">
        <f t="shared" si="1"/>
        <v>21961</v>
      </c>
    </row>
    <row r="26">
      <c r="B26" s="142">
        <v>42932.0</v>
      </c>
      <c r="C26" s="143">
        <v>781.0</v>
      </c>
      <c r="D26" s="143">
        <v>8947.0</v>
      </c>
      <c r="E26" s="143">
        <v>2303.0</v>
      </c>
      <c r="F26" s="143">
        <v>364609.5</v>
      </c>
      <c r="G26" s="115">
        <f t="shared" si="1"/>
        <v>12031</v>
      </c>
    </row>
    <row r="27">
      <c r="B27" s="142">
        <v>42933.0</v>
      </c>
      <c r="C27" s="143">
        <v>3738.0</v>
      </c>
      <c r="D27" s="143">
        <v>32786.0</v>
      </c>
      <c r="E27" s="143">
        <v>2732.0</v>
      </c>
      <c r="F27" s="143">
        <v>268890.0</v>
      </c>
      <c r="G27" s="115">
        <f t="shared" si="1"/>
        <v>39256</v>
      </c>
    </row>
    <row r="28">
      <c r="B28" s="142">
        <v>42934.0</v>
      </c>
      <c r="C28" s="143">
        <v>5520.0</v>
      </c>
      <c r="D28" s="143">
        <v>28830.0</v>
      </c>
      <c r="E28" s="143">
        <v>4710.0</v>
      </c>
      <c r="F28" s="143">
        <v>499680.0</v>
      </c>
      <c r="G28" s="115">
        <f t="shared" si="1"/>
        <v>39060</v>
      </c>
    </row>
    <row r="29">
      <c r="B29" s="142">
        <v>42935.0</v>
      </c>
      <c r="C29" s="143">
        <v>4105.0</v>
      </c>
      <c r="D29" s="143">
        <v>27237.0</v>
      </c>
      <c r="E29" s="143">
        <v>2753.0</v>
      </c>
      <c r="F29" s="143">
        <v>0.0</v>
      </c>
      <c r="G29" s="115">
        <f t="shared" si="1"/>
        <v>34095</v>
      </c>
    </row>
    <row r="30">
      <c r="B30" s="142">
        <v>42936.0</v>
      </c>
      <c r="C30" s="143">
        <v>4391.0</v>
      </c>
      <c r="D30" s="143">
        <v>28057.0</v>
      </c>
      <c r="E30" s="143">
        <v>4442.0</v>
      </c>
      <c r="F30" s="143">
        <v>634708.5</v>
      </c>
      <c r="G30" s="115">
        <f t="shared" si="1"/>
        <v>36890</v>
      </c>
    </row>
    <row r="31">
      <c r="B31" s="142">
        <v>42937.0</v>
      </c>
      <c r="C31" s="143">
        <v>3216.0</v>
      </c>
      <c r="D31" s="143">
        <v>18919.0</v>
      </c>
      <c r="E31" s="143">
        <v>2634.0</v>
      </c>
      <c r="F31" s="143">
        <v>603900.0</v>
      </c>
      <c r="G31" s="115">
        <f t="shared" si="1"/>
        <v>24769</v>
      </c>
    </row>
    <row r="32">
      <c r="B32" s="142">
        <v>42938.0</v>
      </c>
      <c r="C32" s="143">
        <v>2308.0</v>
      </c>
      <c r="D32" s="143">
        <v>16376.0</v>
      </c>
      <c r="E32" s="143">
        <v>814.0</v>
      </c>
      <c r="F32" s="143">
        <v>656025.0</v>
      </c>
      <c r="G32" s="115">
        <f t="shared" si="1"/>
        <v>19498</v>
      </c>
    </row>
    <row r="33">
      <c r="B33" s="142">
        <v>42939.0</v>
      </c>
      <c r="C33" s="143">
        <v>12533.0</v>
      </c>
      <c r="D33" s="143">
        <v>20008.0</v>
      </c>
      <c r="E33" s="143">
        <v>3369.0</v>
      </c>
      <c r="F33" s="143">
        <v>156930.0</v>
      </c>
      <c r="G33" s="115">
        <f t="shared" si="1"/>
        <v>35910</v>
      </c>
    </row>
    <row r="34">
      <c r="B34" s="142">
        <v>42940.0</v>
      </c>
      <c r="C34" s="143">
        <v>17242.0</v>
      </c>
      <c r="D34" s="143">
        <v>18379.0</v>
      </c>
      <c r="E34" s="143">
        <v>5130.0</v>
      </c>
      <c r="F34" s="143">
        <v>175455.0</v>
      </c>
      <c r="G34" s="115">
        <f t="shared" si="1"/>
        <v>40751</v>
      </c>
    </row>
    <row r="35">
      <c r="B35" s="142">
        <v>42941.0</v>
      </c>
      <c r="C35" s="143">
        <v>20585.0</v>
      </c>
      <c r="D35" s="143">
        <v>16509.0</v>
      </c>
      <c r="E35" s="143">
        <v>1920.0</v>
      </c>
      <c r="F35" s="143">
        <v>120150.0</v>
      </c>
      <c r="G35" s="115">
        <f t="shared" si="1"/>
        <v>39014</v>
      </c>
    </row>
    <row r="36">
      <c r="B36" s="142">
        <v>42942.0</v>
      </c>
      <c r="C36" s="143">
        <v>23941.0</v>
      </c>
      <c r="D36" s="143">
        <v>27190.0</v>
      </c>
      <c r="E36" s="143">
        <v>3162.0</v>
      </c>
      <c r="F36" s="144">
        <v>0.0</v>
      </c>
      <c r="G36" s="115">
        <f t="shared" si="1"/>
        <v>54293</v>
      </c>
    </row>
    <row r="37">
      <c r="B37" s="142">
        <v>42943.0</v>
      </c>
      <c r="C37" s="143">
        <v>16778.0</v>
      </c>
      <c r="D37" s="143">
        <v>22847.0</v>
      </c>
      <c r="E37" s="143">
        <v>5147.0</v>
      </c>
      <c r="F37" s="143">
        <v>212130.0</v>
      </c>
      <c r="G37" s="115">
        <f t="shared" si="1"/>
        <v>44772</v>
      </c>
    </row>
    <row r="38">
      <c r="B38" s="142">
        <v>42944.0</v>
      </c>
      <c r="C38" s="143">
        <v>17780.0</v>
      </c>
      <c r="D38" s="143">
        <v>25600.0</v>
      </c>
      <c r="E38" s="143">
        <v>5106.0</v>
      </c>
      <c r="F38" s="143">
        <v>1745580.0</v>
      </c>
      <c r="G38" s="115">
        <f t="shared" si="1"/>
        <v>48486</v>
      </c>
    </row>
    <row r="39">
      <c r="B39" s="142">
        <v>42945.0</v>
      </c>
      <c r="C39" s="143">
        <v>13799.0</v>
      </c>
      <c r="D39" s="143">
        <v>14808.0</v>
      </c>
      <c r="E39" s="143">
        <v>5012.0</v>
      </c>
      <c r="F39" s="143">
        <v>489615.0</v>
      </c>
      <c r="G39" s="115">
        <f t="shared" si="1"/>
        <v>33619</v>
      </c>
    </row>
    <row r="40">
      <c r="B40" s="142">
        <v>42946.0</v>
      </c>
      <c r="C40" s="143">
        <v>20641.0</v>
      </c>
      <c r="D40" s="143">
        <v>18905.0</v>
      </c>
      <c r="E40" s="143">
        <v>39004.0</v>
      </c>
      <c r="F40" s="143">
        <v>648615.0</v>
      </c>
      <c r="G40" s="115">
        <f t="shared" si="1"/>
        <v>78550</v>
      </c>
    </row>
    <row r="41">
      <c r="B41" s="142">
        <v>42947.0</v>
      </c>
      <c r="C41" s="143">
        <v>10279.0</v>
      </c>
      <c r="D41" s="143">
        <v>28298.0</v>
      </c>
      <c r="E41" s="143">
        <v>1678.0</v>
      </c>
      <c r="F41" s="143">
        <v>0.0</v>
      </c>
      <c r="G41" s="115">
        <f t="shared" si="1"/>
        <v>40255</v>
      </c>
    </row>
    <row r="42">
      <c r="C42" s="115">
        <f t="shared" ref="C42:F42" si="2">SUM(C11:C41)</f>
        <v>270642</v>
      </c>
      <c r="D42" s="115">
        <f t="shared" si="2"/>
        <v>666306</v>
      </c>
      <c r="E42" s="115">
        <f t="shared" si="2"/>
        <v>233512</v>
      </c>
      <c r="F42" s="115">
        <f t="shared" si="2"/>
        <v>12598691</v>
      </c>
    </row>
    <row r="44">
      <c r="C44" s="17">
        <f t="shared" ref="C44:E44" si="3">C42/(SUM($C$42:$E$42))</f>
        <v>0.2312270389</v>
      </c>
      <c r="D44" s="145">
        <f t="shared" si="3"/>
        <v>0.5692684927</v>
      </c>
      <c r="E44" s="17">
        <f t="shared" si="3"/>
        <v>0.1995044683</v>
      </c>
    </row>
  </sheetData>
  <conditionalFormatting sqref="G11:G41">
    <cfRule type="colorScale" priority="1">
      <colorScale>
        <cfvo type="min"/>
        <cfvo type="max"/>
        <color rgb="FFFFFFFF"/>
        <color rgb="FFE67C73"/>
      </colorScale>
    </cfRule>
  </conditionalFormatting>
  <conditionalFormatting sqref="C11:E41">
    <cfRule type="colorScale" priority="2">
      <colorScale>
        <cfvo type="min"/>
        <cfvo type="max"/>
        <color rgb="FFFFFFFF"/>
        <color rgb="FFE67C73"/>
      </colorScale>
    </cfRule>
  </conditionalFormatting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9.5"/>
    <col customWidth="1" min="3" max="33" width="7.13"/>
  </cols>
  <sheetData>
    <row r="1">
      <c r="B1" s="106" t="s">
        <v>136</v>
      </c>
    </row>
    <row r="3">
      <c r="B3" s="146" t="s">
        <v>137</v>
      </c>
      <c r="C3" s="146" t="s">
        <v>105</v>
      </c>
      <c r="D3" s="146" t="s">
        <v>106</v>
      </c>
      <c r="E3" s="146" t="s">
        <v>107</v>
      </c>
      <c r="F3" s="146" t="s">
        <v>108</v>
      </c>
      <c r="G3" s="146" t="s">
        <v>109</v>
      </c>
      <c r="H3" s="146" t="s">
        <v>110</v>
      </c>
      <c r="I3" s="146" t="s">
        <v>111</v>
      </c>
      <c r="J3" s="146" t="s">
        <v>105</v>
      </c>
      <c r="K3" s="146" t="s">
        <v>106</v>
      </c>
      <c r="L3" s="147" t="s">
        <v>107</v>
      </c>
      <c r="M3" s="147" t="s">
        <v>108</v>
      </c>
      <c r="N3" s="147" t="s">
        <v>109</v>
      </c>
      <c r="O3" s="147" t="s">
        <v>110</v>
      </c>
      <c r="P3" s="147" t="s">
        <v>111</v>
      </c>
      <c r="Q3" s="147" t="s">
        <v>105</v>
      </c>
      <c r="R3" s="147" t="s">
        <v>106</v>
      </c>
      <c r="S3" s="147" t="s">
        <v>107</v>
      </c>
      <c r="T3" s="147" t="s">
        <v>108</v>
      </c>
      <c r="U3" s="147" t="s">
        <v>109</v>
      </c>
      <c r="V3" s="147" t="s">
        <v>110</v>
      </c>
      <c r="W3" s="147" t="s">
        <v>111</v>
      </c>
      <c r="X3" s="147" t="s">
        <v>105</v>
      </c>
      <c r="Y3" s="147" t="s">
        <v>106</v>
      </c>
      <c r="Z3" s="147" t="s">
        <v>107</v>
      </c>
      <c r="AA3" s="147" t="s">
        <v>108</v>
      </c>
      <c r="AB3" s="147" t="s">
        <v>109</v>
      </c>
      <c r="AC3" s="147" t="s">
        <v>110</v>
      </c>
      <c r="AD3" s="147" t="s">
        <v>111</v>
      </c>
      <c r="AE3" s="147" t="s">
        <v>105</v>
      </c>
      <c r="AF3" s="147" t="s">
        <v>106</v>
      </c>
      <c r="AG3" s="147" t="s">
        <v>107</v>
      </c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6" t="s">
        <v>138</v>
      </c>
      <c r="AV3" s="149"/>
      <c r="AW3" s="149"/>
      <c r="AX3" s="149"/>
      <c r="AY3" s="149"/>
      <c r="AZ3" s="149"/>
      <c r="BA3" s="149"/>
      <c r="BB3" s="149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6" t="s">
        <v>139</v>
      </c>
      <c r="BR3" s="149"/>
      <c r="BS3" s="149"/>
      <c r="BT3" s="149"/>
      <c r="BU3" s="149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</row>
    <row r="4">
      <c r="B4" s="149"/>
      <c r="C4" s="150">
        <v>45839.0</v>
      </c>
      <c r="D4" s="150">
        <v>45840.0</v>
      </c>
      <c r="E4" s="150">
        <v>45841.0</v>
      </c>
      <c r="F4" s="150">
        <v>45842.0</v>
      </c>
      <c r="G4" s="150">
        <v>45843.0</v>
      </c>
      <c r="H4" s="150">
        <v>45844.0</v>
      </c>
      <c r="I4" s="150">
        <v>45845.0</v>
      </c>
      <c r="J4" s="150">
        <v>45846.0</v>
      </c>
      <c r="K4" s="150">
        <v>45847.0</v>
      </c>
      <c r="L4" s="151">
        <v>45848.0</v>
      </c>
      <c r="M4" s="151">
        <v>45849.0</v>
      </c>
      <c r="N4" s="151">
        <v>45850.0</v>
      </c>
      <c r="O4" s="151">
        <v>45851.0</v>
      </c>
      <c r="P4" s="151">
        <v>45852.0</v>
      </c>
      <c r="Q4" s="151">
        <v>45853.0</v>
      </c>
      <c r="R4" s="151">
        <v>45854.0</v>
      </c>
      <c r="S4" s="151">
        <v>45855.0</v>
      </c>
      <c r="T4" s="151">
        <v>45856.0</v>
      </c>
      <c r="U4" s="151">
        <v>45857.0</v>
      </c>
      <c r="V4" s="151">
        <v>45858.0</v>
      </c>
      <c r="W4" s="151">
        <v>45859.0</v>
      </c>
      <c r="X4" s="151">
        <v>45860.0</v>
      </c>
      <c r="Y4" s="151">
        <v>45861.0</v>
      </c>
      <c r="Z4" s="151">
        <v>45862.0</v>
      </c>
      <c r="AA4" s="151">
        <v>45863.0</v>
      </c>
      <c r="AB4" s="151">
        <v>45864.0</v>
      </c>
      <c r="AC4" s="151">
        <v>45865.0</v>
      </c>
      <c r="AD4" s="151">
        <v>45866.0</v>
      </c>
      <c r="AE4" s="151">
        <v>45867.0</v>
      </c>
      <c r="AF4" s="151">
        <v>45868.0</v>
      </c>
      <c r="AG4" s="151">
        <v>45869.0</v>
      </c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6" t="s">
        <v>140</v>
      </c>
      <c r="AV4" s="149"/>
      <c r="AW4" s="149"/>
      <c r="AX4" s="149"/>
      <c r="AY4" s="146" t="s">
        <v>141</v>
      </c>
      <c r="AZ4" s="149"/>
      <c r="BA4" s="149"/>
      <c r="BB4" s="149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52" t="s">
        <v>142</v>
      </c>
      <c r="BR4" s="153"/>
      <c r="BS4" s="153"/>
      <c r="BT4" s="153"/>
      <c r="BU4" s="153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</row>
    <row r="5">
      <c r="B5" s="154" t="s">
        <v>143</v>
      </c>
      <c r="C5" s="155">
        <v>78.0</v>
      </c>
      <c r="D5" s="156">
        <v>112.0</v>
      </c>
      <c r="E5" s="155">
        <v>66.0</v>
      </c>
      <c r="F5" s="155">
        <v>68.0</v>
      </c>
      <c r="G5" s="155">
        <v>105.0</v>
      </c>
      <c r="H5" s="155">
        <v>76.0</v>
      </c>
      <c r="I5" s="155">
        <v>66.0</v>
      </c>
      <c r="J5" s="155">
        <v>47.0</v>
      </c>
      <c r="K5" s="155">
        <v>53.0</v>
      </c>
      <c r="L5" s="155">
        <v>78.0</v>
      </c>
      <c r="M5" s="155">
        <v>73.0</v>
      </c>
      <c r="N5" s="155">
        <v>80.0</v>
      </c>
      <c r="O5" s="155">
        <v>45.0</v>
      </c>
      <c r="P5" s="155">
        <v>44.0</v>
      </c>
      <c r="Q5" s="156">
        <v>35.0</v>
      </c>
      <c r="R5" s="156">
        <v>20.0</v>
      </c>
      <c r="S5" s="156">
        <v>98.0</v>
      </c>
      <c r="T5" s="156">
        <v>77.0</v>
      </c>
      <c r="U5" s="156">
        <v>80.0</v>
      </c>
      <c r="V5" s="156">
        <v>111.0</v>
      </c>
      <c r="W5" s="156">
        <v>68.0</v>
      </c>
      <c r="X5" s="155">
        <v>38.0</v>
      </c>
      <c r="Y5" s="155">
        <v>64.0</v>
      </c>
      <c r="Z5" s="155">
        <v>55.0</v>
      </c>
      <c r="AA5" s="155">
        <v>53.0</v>
      </c>
      <c r="AB5" s="155">
        <v>45.0</v>
      </c>
      <c r="AC5" s="155">
        <v>55.0</v>
      </c>
      <c r="AD5" s="155">
        <v>37.0</v>
      </c>
      <c r="AE5" s="155">
        <v>45.0</v>
      </c>
      <c r="AF5" s="155">
        <v>49.0</v>
      </c>
      <c r="AG5" s="155">
        <v>50.0</v>
      </c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57" t="s">
        <v>144</v>
      </c>
      <c r="AV5" s="158"/>
      <c r="AW5" s="158"/>
      <c r="AX5" s="158"/>
      <c r="AY5" s="159" t="s">
        <v>145</v>
      </c>
      <c r="AZ5" s="160"/>
      <c r="BA5" s="160"/>
      <c r="BB5" s="160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</row>
    <row r="6">
      <c r="B6" s="154" t="s">
        <v>146</v>
      </c>
      <c r="C6" s="155">
        <v>31.0</v>
      </c>
      <c r="D6" s="155">
        <v>51.0</v>
      </c>
      <c r="E6" s="155">
        <v>48.0</v>
      </c>
      <c r="F6" s="155">
        <v>64.0</v>
      </c>
      <c r="G6" s="155">
        <v>59.0</v>
      </c>
      <c r="H6" s="155">
        <v>66.0</v>
      </c>
      <c r="I6" s="155">
        <v>25.0</v>
      </c>
      <c r="J6" s="155">
        <v>21.0</v>
      </c>
      <c r="K6" s="155">
        <v>43.0</v>
      </c>
      <c r="L6" s="155">
        <v>33.0</v>
      </c>
      <c r="M6" s="155">
        <v>34.0</v>
      </c>
      <c r="N6" s="155">
        <v>36.0</v>
      </c>
      <c r="O6" s="156">
        <v>19.0</v>
      </c>
      <c r="P6" s="155">
        <v>21.0</v>
      </c>
      <c r="Q6" s="155">
        <v>16.0</v>
      </c>
      <c r="R6" s="156">
        <v>4.0</v>
      </c>
      <c r="S6" s="155">
        <v>52.0</v>
      </c>
      <c r="T6" s="155">
        <v>50.0</v>
      </c>
      <c r="U6" s="155">
        <v>32.0</v>
      </c>
      <c r="V6" s="156">
        <v>42.0</v>
      </c>
      <c r="W6" s="155">
        <v>24.0</v>
      </c>
      <c r="X6" s="155">
        <v>16.0</v>
      </c>
      <c r="Y6" s="156">
        <v>22.0</v>
      </c>
      <c r="Z6" s="155">
        <v>40.0</v>
      </c>
      <c r="AA6" s="156">
        <v>31.0</v>
      </c>
      <c r="AB6" s="156">
        <v>22.0</v>
      </c>
      <c r="AC6" s="155">
        <v>25.0</v>
      </c>
      <c r="AD6" s="155">
        <v>19.0</v>
      </c>
      <c r="AE6" s="155">
        <v>23.0</v>
      </c>
      <c r="AF6" s="156">
        <v>28.0</v>
      </c>
      <c r="AG6" s="156">
        <v>22.0</v>
      </c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57" t="s">
        <v>147</v>
      </c>
      <c r="AV6" s="158"/>
      <c r="AW6" s="158"/>
      <c r="AX6" s="158"/>
      <c r="AY6" s="159" t="s">
        <v>148</v>
      </c>
      <c r="AZ6" s="160"/>
      <c r="BA6" s="160"/>
      <c r="BB6" s="160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</row>
    <row r="7">
      <c r="B7" s="154" t="s">
        <v>149</v>
      </c>
      <c r="C7" s="155">
        <v>47.0</v>
      </c>
      <c r="D7" s="155">
        <v>47.0</v>
      </c>
      <c r="E7" s="155">
        <v>18.0</v>
      </c>
      <c r="F7" s="155">
        <v>4.0</v>
      </c>
      <c r="G7" s="155">
        <v>46.0</v>
      </c>
      <c r="H7" s="155">
        <v>10.0</v>
      </c>
      <c r="I7" s="155">
        <v>41.0</v>
      </c>
      <c r="J7" s="155">
        <v>26.0</v>
      </c>
      <c r="K7" s="155">
        <v>10.0</v>
      </c>
      <c r="L7" s="155">
        <v>45.0</v>
      </c>
      <c r="M7" s="155">
        <v>39.0</v>
      </c>
      <c r="N7" s="155">
        <v>44.0</v>
      </c>
      <c r="O7" s="155">
        <v>26.0</v>
      </c>
      <c r="P7" s="155">
        <v>23.0</v>
      </c>
      <c r="Q7" s="155">
        <v>14.0</v>
      </c>
      <c r="R7" s="155">
        <v>14.0</v>
      </c>
      <c r="S7" s="155">
        <v>40.0</v>
      </c>
      <c r="T7" s="155">
        <v>23.0</v>
      </c>
      <c r="U7" s="155">
        <v>28.0</v>
      </c>
      <c r="V7" s="155">
        <v>58.0</v>
      </c>
      <c r="W7" s="155">
        <v>37.0</v>
      </c>
      <c r="X7" s="155">
        <v>22.0</v>
      </c>
      <c r="Y7" s="155">
        <v>42.0</v>
      </c>
      <c r="Z7" s="155">
        <v>15.0</v>
      </c>
      <c r="AA7" s="155">
        <v>22.0</v>
      </c>
      <c r="AB7" s="155">
        <v>23.0</v>
      </c>
      <c r="AC7" s="155">
        <v>30.0</v>
      </c>
      <c r="AD7" s="155">
        <v>18.0</v>
      </c>
      <c r="AE7" s="155">
        <v>22.0</v>
      </c>
      <c r="AF7" s="155">
        <v>21.0</v>
      </c>
      <c r="AG7" s="155">
        <v>28.0</v>
      </c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57" t="s">
        <v>150</v>
      </c>
      <c r="AV7" s="158"/>
      <c r="AW7" s="158"/>
      <c r="AX7" s="158"/>
      <c r="AY7" s="159" t="s">
        <v>151</v>
      </c>
      <c r="AZ7" s="160"/>
      <c r="BA7" s="160"/>
      <c r="BB7" s="160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</row>
    <row r="8">
      <c r="B8" s="154" t="s">
        <v>13</v>
      </c>
      <c r="C8" s="155">
        <v>20.0</v>
      </c>
      <c r="D8" s="155">
        <v>16.0</v>
      </c>
      <c r="E8" s="156">
        <v>16.0</v>
      </c>
      <c r="F8" s="156">
        <v>3.0</v>
      </c>
      <c r="G8" s="156">
        <v>15.0</v>
      </c>
      <c r="H8" s="156">
        <v>12.0</v>
      </c>
      <c r="I8" s="156">
        <v>13.0</v>
      </c>
      <c r="J8" s="156">
        <v>15.0</v>
      </c>
      <c r="K8" s="156">
        <v>10.0</v>
      </c>
      <c r="L8" s="156">
        <v>10.0</v>
      </c>
      <c r="M8" s="156">
        <v>12.0</v>
      </c>
      <c r="N8" s="155">
        <v>7.0</v>
      </c>
      <c r="O8" s="155">
        <v>13.0</v>
      </c>
      <c r="P8" s="156">
        <v>6.0</v>
      </c>
      <c r="Q8" s="156">
        <v>11.0</v>
      </c>
      <c r="R8" s="156">
        <v>6.0</v>
      </c>
      <c r="S8" s="156">
        <v>12.0</v>
      </c>
      <c r="T8" s="156">
        <v>12.0</v>
      </c>
      <c r="U8" s="156">
        <v>20.0</v>
      </c>
      <c r="V8" s="156">
        <v>18.0</v>
      </c>
      <c r="W8" s="156">
        <v>16.0</v>
      </c>
      <c r="X8" s="155">
        <v>5.0</v>
      </c>
      <c r="Y8" s="156">
        <v>7.0</v>
      </c>
      <c r="Z8" s="155">
        <v>4.0</v>
      </c>
      <c r="AA8" s="156">
        <v>7.0</v>
      </c>
      <c r="AB8" s="156">
        <v>11.0</v>
      </c>
      <c r="AC8" s="155">
        <v>8.0</v>
      </c>
      <c r="AD8" s="156">
        <v>11.0</v>
      </c>
      <c r="AE8" s="156">
        <v>7.0</v>
      </c>
      <c r="AF8" s="156">
        <v>7.0</v>
      </c>
      <c r="AG8" s="156">
        <v>16.0</v>
      </c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61" t="s">
        <v>152</v>
      </c>
      <c r="AV8" s="148"/>
      <c r="AW8" s="148"/>
      <c r="AX8" s="148"/>
      <c r="AY8" s="159" t="s">
        <v>151</v>
      </c>
      <c r="AZ8" s="160"/>
      <c r="BA8" s="160"/>
      <c r="BB8" s="160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</row>
    <row r="9">
      <c r="B9" s="154" t="s">
        <v>153</v>
      </c>
      <c r="C9" s="162">
        <v>5.0</v>
      </c>
      <c r="D9" s="162">
        <v>4.0</v>
      </c>
      <c r="E9" s="162">
        <v>13.0</v>
      </c>
      <c r="F9" s="162">
        <v>10.0</v>
      </c>
      <c r="G9" s="162">
        <v>13.0</v>
      </c>
      <c r="H9" s="162">
        <v>6.0</v>
      </c>
      <c r="I9" s="162">
        <v>13.0</v>
      </c>
      <c r="J9" s="162">
        <v>11.0</v>
      </c>
      <c r="K9" s="163">
        <v>11.0</v>
      </c>
      <c r="L9" s="162">
        <v>4.0</v>
      </c>
      <c r="M9" s="162">
        <v>12.0</v>
      </c>
      <c r="N9" s="163">
        <v>9.0</v>
      </c>
      <c r="O9" s="163">
        <v>16.0</v>
      </c>
      <c r="P9" s="163">
        <v>16.0</v>
      </c>
      <c r="Q9" s="163">
        <v>16.0</v>
      </c>
      <c r="R9" s="163">
        <v>16.0</v>
      </c>
      <c r="S9" s="163">
        <v>15.0</v>
      </c>
      <c r="T9" s="163">
        <v>20.0</v>
      </c>
      <c r="U9" s="163">
        <v>33.0</v>
      </c>
      <c r="V9" s="162">
        <v>11.0</v>
      </c>
      <c r="W9" s="162">
        <v>11.0</v>
      </c>
      <c r="X9" s="162">
        <v>5.0</v>
      </c>
      <c r="Y9" s="162">
        <v>2.0</v>
      </c>
      <c r="Z9" s="162">
        <v>4.0</v>
      </c>
      <c r="AA9" s="162">
        <v>6.0</v>
      </c>
      <c r="AB9" s="162">
        <v>8.0</v>
      </c>
      <c r="AC9" s="162">
        <v>8.0</v>
      </c>
      <c r="AD9" s="162">
        <v>6.0</v>
      </c>
      <c r="AE9" s="162">
        <v>13.0</v>
      </c>
      <c r="AF9" s="162">
        <v>10.0</v>
      </c>
      <c r="AG9" s="162">
        <v>11.0</v>
      </c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57" t="s">
        <v>154</v>
      </c>
      <c r="AV9" s="158"/>
      <c r="AW9" s="158"/>
      <c r="AX9" s="158"/>
      <c r="AY9" s="159" t="s">
        <v>151</v>
      </c>
      <c r="AZ9" s="160"/>
      <c r="BA9" s="160"/>
      <c r="BB9" s="160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</row>
    <row r="10">
      <c r="B10" s="154" t="s">
        <v>155</v>
      </c>
      <c r="C10" s="155">
        <v>2.0</v>
      </c>
      <c r="D10" s="156" t="s">
        <v>156</v>
      </c>
      <c r="E10" s="155">
        <v>2.0</v>
      </c>
      <c r="F10" s="155">
        <v>1.0</v>
      </c>
      <c r="G10" s="155">
        <v>1.0</v>
      </c>
      <c r="H10" s="155">
        <v>0.0</v>
      </c>
      <c r="I10" s="155">
        <v>0.0</v>
      </c>
      <c r="J10" s="155">
        <v>1.0</v>
      </c>
      <c r="K10" s="156">
        <v>0.0</v>
      </c>
      <c r="L10" s="155">
        <v>1.0</v>
      </c>
      <c r="M10" s="155">
        <v>1.0</v>
      </c>
      <c r="N10" s="155">
        <v>0.0</v>
      </c>
      <c r="O10" s="155">
        <v>2.0</v>
      </c>
      <c r="P10" s="155">
        <v>0.0</v>
      </c>
      <c r="Q10" s="155">
        <v>1.0</v>
      </c>
      <c r="R10" s="155">
        <v>0.0</v>
      </c>
      <c r="S10" s="155">
        <v>3.0</v>
      </c>
      <c r="T10" s="155">
        <v>2.0</v>
      </c>
      <c r="U10" s="155">
        <v>1.0</v>
      </c>
      <c r="V10" s="155">
        <v>0.0</v>
      </c>
      <c r="W10" s="155">
        <v>1.0</v>
      </c>
      <c r="X10" s="155">
        <v>0.0</v>
      </c>
      <c r="Y10" s="155">
        <v>2.0</v>
      </c>
      <c r="Z10" s="155">
        <v>2.0</v>
      </c>
      <c r="AA10" s="155">
        <v>1.0</v>
      </c>
      <c r="AB10" s="155">
        <v>1.0</v>
      </c>
      <c r="AC10" s="155">
        <v>1.0</v>
      </c>
      <c r="AD10" s="155">
        <v>1.0</v>
      </c>
      <c r="AE10" s="155">
        <v>1.0</v>
      </c>
      <c r="AF10" s="155">
        <v>0.0</v>
      </c>
      <c r="AG10" s="155">
        <v>0.0</v>
      </c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57" t="s">
        <v>157</v>
      </c>
      <c r="AV10" s="158"/>
      <c r="AW10" s="158"/>
      <c r="AX10" s="158"/>
      <c r="AY10" s="159" t="s">
        <v>151</v>
      </c>
      <c r="AZ10" s="160"/>
      <c r="BA10" s="160"/>
      <c r="BB10" s="160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</row>
    <row r="11">
      <c r="AQ11" s="148"/>
      <c r="AR11" s="148"/>
      <c r="AS11" s="148"/>
      <c r="AT11" s="148"/>
      <c r="AU11" s="157" t="s">
        <v>158</v>
      </c>
      <c r="AV11" s="158"/>
      <c r="AW11" s="158"/>
      <c r="AX11" s="158"/>
      <c r="AY11" s="159" t="s">
        <v>151</v>
      </c>
      <c r="AZ11" s="160"/>
      <c r="BA11" s="160"/>
      <c r="BB11" s="160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</row>
    <row r="12">
      <c r="AQ12" s="148"/>
      <c r="AR12" s="148"/>
      <c r="AS12" s="148"/>
      <c r="AT12" s="148"/>
      <c r="AU12" s="161" t="s">
        <v>159</v>
      </c>
      <c r="AV12" s="148"/>
      <c r="AW12" s="148"/>
      <c r="AX12" s="148"/>
      <c r="AY12" s="159" t="s">
        <v>151</v>
      </c>
      <c r="AZ12" s="160"/>
      <c r="BA12" s="160"/>
      <c r="BB12" s="160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</row>
    <row r="13">
      <c r="B13" s="106" t="s">
        <v>160</v>
      </c>
      <c r="AQ13" s="148"/>
      <c r="AR13" s="148"/>
      <c r="AS13" s="148"/>
      <c r="AT13" s="148"/>
      <c r="AU13" s="161" t="s">
        <v>161</v>
      </c>
      <c r="AV13" s="148"/>
      <c r="AW13" s="148"/>
      <c r="AX13" s="148"/>
      <c r="AY13" s="159" t="s">
        <v>151</v>
      </c>
      <c r="AZ13" s="160"/>
      <c r="BA13" s="160"/>
      <c r="BB13" s="160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</row>
    <row r="14">
      <c r="B14" s="99" t="s">
        <v>78</v>
      </c>
      <c r="C14" s="98">
        <v>0.5</v>
      </c>
    </row>
    <row r="15">
      <c r="B15" s="99" t="s">
        <v>162</v>
      </c>
      <c r="C15" s="98">
        <v>0.25</v>
      </c>
    </row>
    <row r="16">
      <c r="B16" s="99" t="s">
        <v>163</v>
      </c>
      <c r="C16" s="98">
        <v>0.5</v>
      </c>
    </row>
    <row r="17">
      <c r="B17" s="99" t="s">
        <v>164</v>
      </c>
      <c r="C17" s="98">
        <v>0.8</v>
      </c>
    </row>
  </sheetData>
  <drawing r:id="rId1"/>
</worksheet>
</file>