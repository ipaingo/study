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офья Зименкова\Downloads\"/>
    </mc:Choice>
  </mc:AlternateContent>
  <xr:revisionPtr revIDLastSave="0" documentId="13_ncr:1_{623FBF48-C984-4EDD-BB3D-A0554C60D7FE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Финмодель индексация 1,5 года" sheetId="4" r:id="rId1"/>
    <sheet name="Финмодель индексация через год" sheetId="9" r:id="rId2"/>
    <sheet name="Финмодель сценарий 1" sheetId="10" r:id="rId3"/>
    <sheet name="Финмодель сценарий 2" sheetId="13" r:id="rId4"/>
    <sheet name="Финмодель сценарий 2 (ред)" sheetId="11" r:id="rId5"/>
    <sheet name="Financial Data" sheetId="3" r:id="rId6"/>
    <sheet name="Operational Data" sheetId="2" r:id="rId7"/>
    <sheet name="Info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9" i="11" l="1"/>
  <c r="AN19" i="11"/>
  <c r="AO19" i="11"/>
  <c r="AP19" i="11"/>
  <c r="AQ19" i="11"/>
  <c r="AR19" i="11"/>
  <c r="AS19" i="11"/>
  <c r="AT19" i="11"/>
  <c r="AU19" i="11"/>
  <c r="AV19" i="11"/>
  <c r="AW19" i="11"/>
  <c r="AX19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M32" i="11"/>
  <c r="AM37" i="11" s="1"/>
  <c r="AM41" i="11" s="1"/>
  <c r="AN32" i="11"/>
  <c r="AO32" i="11"/>
  <c r="AO37" i="11" s="1"/>
  <c r="AP32" i="11"/>
  <c r="AP37" i="11" s="1"/>
  <c r="AQ32" i="11"/>
  <c r="AQ37" i="11" s="1"/>
  <c r="AR32" i="11"/>
  <c r="AR37" i="11" s="1"/>
  <c r="AS32" i="11"/>
  <c r="AS37" i="11" s="1"/>
  <c r="AT32" i="11"/>
  <c r="AT37" i="11" s="1"/>
  <c r="AT41" i="11" s="1"/>
  <c r="AU32" i="11"/>
  <c r="AV32" i="11"/>
  <c r="AW32" i="11"/>
  <c r="AX32" i="11"/>
  <c r="AX37" i="11" s="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M36" i="11"/>
  <c r="AN36" i="11"/>
  <c r="AO36" i="11"/>
  <c r="AP36" i="11"/>
  <c r="AP41" i="11" s="1"/>
  <c r="AQ36" i="11"/>
  <c r="AR36" i="11"/>
  <c r="AS36" i="11"/>
  <c r="AT36" i="11"/>
  <c r="AU36" i="11"/>
  <c r="AV36" i="11"/>
  <c r="AW36" i="11"/>
  <c r="AX36" i="11"/>
  <c r="AN37" i="11"/>
  <c r="AN41" i="11" s="1"/>
  <c r="AU37" i="11"/>
  <c r="AV37" i="11"/>
  <c r="AW37" i="11"/>
  <c r="AU41" i="11"/>
  <c r="AM14" i="10"/>
  <c r="AM16" i="10" s="1"/>
  <c r="AN16" i="10" s="1"/>
  <c r="AN14" i="10"/>
  <c r="AN38" i="10" s="1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M28" i="10"/>
  <c r="AN28" i="10"/>
  <c r="AO28" i="10" s="1"/>
  <c r="AP28" i="10" s="1"/>
  <c r="AQ28" i="10" s="1"/>
  <c r="AR28" i="10" s="1"/>
  <c r="AS28" i="10" s="1"/>
  <c r="AT28" i="10" s="1"/>
  <c r="AU28" i="10" s="1"/>
  <c r="AV28" i="10" s="1"/>
  <c r="AW28" i="10" s="1"/>
  <c r="AX28" i="10" s="1"/>
  <c r="AM31" i="10"/>
  <c r="AN31" i="10"/>
  <c r="AO31" i="10"/>
  <c r="AP31" i="10"/>
  <c r="AQ31" i="10" s="1"/>
  <c r="AR31" i="10" s="1"/>
  <c r="AS31" i="10" s="1"/>
  <c r="AT31" i="10" s="1"/>
  <c r="AU31" i="10" s="1"/>
  <c r="AV31" i="10" s="1"/>
  <c r="AW31" i="10" s="1"/>
  <c r="AX31" i="10" s="1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M36" i="10"/>
  <c r="AN36" i="10"/>
  <c r="AO36" i="10"/>
  <c r="AP36" i="10"/>
  <c r="AQ36" i="10"/>
  <c r="AR36" i="10"/>
  <c r="AS36" i="10"/>
  <c r="AT36" i="10"/>
  <c r="AU36" i="10"/>
  <c r="AU41" i="10" s="1"/>
  <c r="AV36" i="10"/>
  <c r="AV41" i="10" s="1"/>
  <c r="AW36" i="10"/>
  <c r="AX36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M41" i="10"/>
  <c r="AN41" i="10"/>
  <c r="AO41" i="10"/>
  <c r="AQ41" i="10"/>
  <c r="AR41" i="10"/>
  <c r="AS41" i="10"/>
  <c r="AT41" i="10"/>
  <c r="AW41" i="10"/>
  <c r="AX41" i="10"/>
  <c r="C32" i="11"/>
  <c r="C37" i="11" s="1"/>
  <c r="C41" i="11" s="1"/>
  <c r="D32" i="11"/>
  <c r="D37" i="11" s="1"/>
  <c r="D41" i="11" s="1"/>
  <c r="E32" i="11"/>
  <c r="E37" i="11" s="1"/>
  <c r="E41" i="11" s="1"/>
  <c r="F32" i="11"/>
  <c r="G32" i="11"/>
  <c r="H32" i="11"/>
  <c r="I32" i="11"/>
  <c r="J32" i="11"/>
  <c r="J37" i="11" s="1"/>
  <c r="J41" i="11" s="1"/>
  <c r="K32" i="11"/>
  <c r="L32" i="11"/>
  <c r="M32" i="11"/>
  <c r="M37" i="11" s="1"/>
  <c r="M41" i="11" s="1"/>
  <c r="N32" i="11"/>
  <c r="O32" i="11"/>
  <c r="O37" i="11" s="1"/>
  <c r="O41" i="11" s="1"/>
  <c r="P32" i="11"/>
  <c r="Q32" i="11"/>
  <c r="R32" i="11"/>
  <c r="R37" i="11" s="1"/>
  <c r="R41" i="11" s="1"/>
  <c r="S32" i="11"/>
  <c r="S37" i="11" s="1"/>
  <c r="S41" i="11" s="1"/>
  <c r="T32" i="11"/>
  <c r="T37" i="11" s="1"/>
  <c r="T41" i="11" s="1"/>
  <c r="U32" i="11"/>
  <c r="U37" i="11" s="1"/>
  <c r="U41" i="11" s="1"/>
  <c r="V32" i="11"/>
  <c r="W32" i="11"/>
  <c r="X32" i="11"/>
  <c r="Y32" i="11"/>
  <c r="Z32" i="11"/>
  <c r="Z37" i="11" s="1"/>
  <c r="Z41" i="11" s="1"/>
  <c r="AA32" i="11"/>
  <c r="AB32" i="11"/>
  <c r="AC32" i="11"/>
  <c r="AC37" i="11" s="1"/>
  <c r="AC41" i="11" s="1"/>
  <c r="AD32" i="11"/>
  <c r="AE32" i="11"/>
  <c r="AE37" i="11" s="1"/>
  <c r="AE41" i="11" s="1"/>
  <c r="AF32" i="11"/>
  <c r="AG32" i="11"/>
  <c r="AH32" i="11"/>
  <c r="AH37" i="11" s="1"/>
  <c r="AH41" i="11" s="1"/>
  <c r="AI32" i="11"/>
  <c r="AI37" i="11" s="1"/>
  <c r="AI41" i="11" s="1"/>
  <c r="AJ32" i="11"/>
  <c r="AJ37" i="11" s="1"/>
  <c r="AK32" i="11"/>
  <c r="AK37" i="11" s="1"/>
  <c r="AK41" i="11" s="1"/>
  <c r="AL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F37" i="11"/>
  <c r="F41" i="11" s="1"/>
  <c r="G37" i="11"/>
  <c r="G41" i="11" s="1"/>
  <c r="H37" i="11"/>
  <c r="H41" i="11" s="1"/>
  <c r="I37" i="11"/>
  <c r="I41" i="11" s="1"/>
  <c r="K37" i="11"/>
  <c r="L37" i="11"/>
  <c r="N37" i="11"/>
  <c r="N41" i="11" s="1"/>
  <c r="P37" i="11"/>
  <c r="Q37" i="11"/>
  <c r="Q41" i="11" s="1"/>
  <c r="V37" i="11"/>
  <c r="V41" i="11" s="1"/>
  <c r="W37" i="11"/>
  <c r="W41" i="11" s="1"/>
  <c r="X37" i="11"/>
  <c r="X41" i="11" s="1"/>
  <c r="Y37" i="11"/>
  <c r="Y41" i="11" s="1"/>
  <c r="AA37" i="11"/>
  <c r="AB37" i="11"/>
  <c r="AD37" i="11"/>
  <c r="AD41" i="11" s="1"/>
  <c r="AF37" i="11"/>
  <c r="AG37" i="11"/>
  <c r="AG41" i="11" s="1"/>
  <c r="AL37" i="11"/>
  <c r="AL41" i="11" s="1"/>
  <c r="K41" i="11"/>
  <c r="L41" i="11"/>
  <c r="P41" i="11"/>
  <c r="AA41" i="11"/>
  <c r="AB41" i="11"/>
  <c r="AF41" i="11"/>
  <c r="AB26" i="11"/>
  <c r="AC26" i="11"/>
  <c r="AD26" i="11"/>
  <c r="AE26" i="11"/>
  <c r="AF26" i="11"/>
  <c r="AG26" i="11"/>
  <c r="AH26" i="11"/>
  <c r="AI26" i="11"/>
  <c r="AJ26" i="11"/>
  <c r="AK26" i="11"/>
  <c r="AL26" i="11"/>
  <c r="AB27" i="11"/>
  <c r="AC27" i="11"/>
  <c r="AD27" i="11"/>
  <c r="AE27" i="11"/>
  <c r="AF27" i="11"/>
  <c r="AG27" i="11"/>
  <c r="AH27" i="11"/>
  <c r="AI27" i="11"/>
  <c r="AJ27" i="11"/>
  <c r="AK27" i="11"/>
  <c r="AL27" i="11"/>
  <c r="AA27" i="11"/>
  <c r="AA26" i="11"/>
  <c r="Z27" i="11"/>
  <c r="Y27" i="11"/>
  <c r="X27" i="11"/>
  <c r="W27" i="11"/>
  <c r="V27" i="11"/>
  <c r="U27" i="11"/>
  <c r="T27" i="11"/>
  <c r="S27" i="11"/>
  <c r="R27" i="11"/>
  <c r="Q27" i="11"/>
  <c r="P27" i="11"/>
  <c r="Z26" i="11"/>
  <c r="Y26" i="11"/>
  <c r="X26" i="11"/>
  <c r="W26" i="11"/>
  <c r="V26" i="11"/>
  <c r="U26" i="11"/>
  <c r="T26" i="11"/>
  <c r="S26" i="11"/>
  <c r="R26" i="11"/>
  <c r="Q26" i="11"/>
  <c r="P26" i="11"/>
  <c r="O27" i="11"/>
  <c r="O26" i="11"/>
  <c r="Q18" i="11"/>
  <c r="R18" i="11" s="1"/>
  <c r="S18" i="11" s="1"/>
  <c r="T18" i="11" s="1"/>
  <c r="U18" i="11" s="1"/>
  <c r="V18" i="11" s="1"/>
  <c r="W18" i="11" s="1"/>
  <c r="X18" i="11" s="1"/>
  <c r="Y18" i="11" s="1"/>
  <c r="Z18" i="11" s="1"/>
  <c r="AB18" i="11" s="1"/>
  <c r="AC18" i="11" s="1"/>
  <c r="AD18" i="11" s="1"/>
  <c r="AE18" i="11" s="1"/>
  <c r="AF18" i="11" s="1"/>
  <c r="AG18" i="11" s="1"/>
  <c r="AH18" i="11" s="1"/>
  <c r="AI18" i="11" s="1"/>
  <c r="AJ18" i="11" s="1"/>
  <c r="AK18" i="11" s="1"/>
  <c r="AL18" i="11" s="1"/>
  <c r="AM18" i="11" s="1"/>
  <c r="AN18" i="11" s="1"/>
  <c r="AO18" i="11" s="1"/>
  <c r="AP18" i="11" s="1"/>
  <c r="AQ18" i="11" s="1"/>
  <c r="AR18" i="11" s="1"/>
  <c r="AS18" i="11" s="1"/>
  <c r="AT18" i="11" s="1"/>
  <c r="AU18" i="11" s="1"/>
  <c r="AV18" i="11" s="1"/>
  <c r="AW18" i="11" s="1"/>
  <c r="AX18" i="11" s="1"/>
  <c r="P18" i="11"/>
  <c r="AL36" i="13"/>
  <c r="AK36" i="13"/>
  <c r="AJ36" i="13"/>
  <c r="AI36" i="13"/>
  <c r="AH36" i="13"/>
  <c r="AG36" i="13"/>
  <c r="AF36" i="13"/>
  <c r="AE36" i="13"/>
  <c r="AD36" i="13"/>
  <c r="AC36" i="13"/>
  <c r="AB36" i="13"/>
  <c r="AA36" i="13"/>
  <c r="Z36" i="13"/>
  <c r="Z41" i="13" s="1"/>
  <c r="Y36" i="13"/>
  <c r="Y41" i="13" s="1"/>
  <c r="X36" i="13"/>
  <c r="X41" i="13" s="1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J41" i="13" s="1"/>
  <c r="I36" i="13"/>
  <c r="I41" i="13" s="1"/>
  <c r="H36" i="13"/>
  <c r="H41" i="13" s="1"/>
  <c r="G36" i="13"/>
  <c r="F36" i="13"/>
  <c r="E36" i="13"/>
  <c r="D36" i="13"/>
  <c r="C36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C38" i="13" s="1"/>
  <c r="AL32" i="13"/>
  <c r="AL37" i="13" s="1"/>
  <c r="AK32" i="13"/>
  <c r="AK37" i="13" s="1"/>
  <c r="AJ32" i="13"/>
  <c r="AJ37" i="13" s="1"/>
  <c r="AI32" i="13"/>
  <c r="AI37" i="13" s="1"/>
  <c r="AH32" i="13"/>
  <c r="AH37" i="13" s="1"/>
  <c r="AG32" i="13"/>
  <c r="AG37" i="13" s="1"/>
  <c r="AF32" i="13"/>
  <c r="AF37" i="13" s="1"/>
  <c r="AE32" i="13"/>
  <c r="AE37" i="13" s="1"/>
  <c r="AD32" i="13"/>
  <c r="AD37" i="13" s="1"/>
  <c r="AC32" i="13"/>
  <c r="AC37" i="13" s="1"/>
  <c r="AB32" i="13"/>
  <c r="AB37" i="13" s="1"/>
  <c r="AA32" i="13"/>
  <c r="AA37" i="13" s="1"/>
  <c r="Z32" i="13"/>
  <c r="Z37" i="13" s="1"/>
  <c r="Y32" i="13"/>
  <c r="Y37" i="13" s="1"/>
  <c r="X32" i="13"/>
  <c r="X37" i="13" s="1"/>
  <c r="W32" i="13"/>
  <c r="W37" i="13" s="1"/>
  <c r="V32" i="13"/>
  <c r="V37" i="13" s="1"/>
  <c r="U32" i="13"/>
  <c r="U37" i="13" s="1"/>
  <c r="T32" i="13"/>
  <c r="T37" i="13" s="1"/>
  <c r="S32" i="13"/>
  <c r="S37" i="13" s="1"/>
  <c r="R32" i="13"/>
  <c r="R37" i="13" s="1"/>
  <c r="Q32" i="13"/>
  <c r="Q37" i="13" s="1"/>
  <c r="P32" i="13"/>
  <c r="P37" i="13" s="1"/>
  <c r="O32" i="13"/>
  <c r="O37" i="13" s="1"/>
  <c r="N32" i="13"/>
  <c r="N37" i="13" s="1"/>
  <c r="M32" i="13"/>
  <c r="M37" i="13" s="1"/>
  <c r="L32" i="13"/>
  <c r="L37" i="13" s="1"/>
  <c r="K32" i="13"/>
  <c r="K37" i="13" s="1"/>
  <c r="J32" i="13"/>
  <c r="J37" i="13" s="1"/>
  <c r="I32" i="13"/>
  <c r="I37" i="13" s="1"/>
  <c r="H32" i="13"/>
  <c r="H37" i="13" s="1"/>
  <c r="G32" i="13"/>
  <c r="G37" i="13" s="1"/>
  <c r="F32" i="13"/>
  <c r="F37" i="13" s="1"/>
  <c r="E32" i="13"/>
  <c r="E37" i="13" s="1"/>
  <c r="D32" i="13"/>
  <c r="D37" i="13" s="1"/>
  <c r="C32" i="13"/>
  <c r="C37" i="13" s="1"/>
  <c r="C31" i="13"/>
  <c r="D31" i="13" s="1"/>
  <c r="E31" i="13" s="1"/>
  <c r="F31" i="13" s="1"/>
  <c r="G31" i="13" s="1"/>
  <c r="H31" i="13" s="1"/>
  <c r="I31" i="13" s="1"/>
  <c r="J31" i="13" s="1"/>
  <c r="K31" i="13" s="1"/>
  <c r="L31" i="13" s="1"/>
  <c r="M31" i="13" s="1"/>
  <c r="N31" i="13" s="1"/>
  <c r="O31" i="13" s="1"/>
  <c r="P31" i="13" s="1"/>
  <c r="Q31" i="13" s="1"/>
  <c r="R31" i="13" s="1"/>
  <c r="S31" i="13" s="1"/>
  <c r="T31" i="13" s="1"/>
  <c r="U31" i="13" s="1"/>
  <c r="V31" i="13" s="1"/>
  <c r="W31" i="13" s="1"/>
  <c r="X31" i="13" s="1"/>
  <c r="Y31" i="13" s="1"/>
  <c r="Z31" i="13" s="1"/>
  <c r="AA31" i="13" s="1"/>
  <c r="AB31" i="13" s="1"/>
  <c r="AC31" i="13" s="1"/>
  <c r="AD31" i="13" s="1"/>
  <c r="AE31" i="13" s="1"/>
  <c r="AF31" i="13" s="1"/>
  <c r="AG31" i="13" s="1"/>
  <c r="AH31" i="13" s="1"/>
  <c r="AI31" i="13" s="1"/>
  <c r="AJ31" i="13" s="1"/>
  <c r="AK31" i="13" s="1"/>
  <c r="AL31" i="13" s="1"/>
  <c r="F28" i="13"/>
  <c r="G28" i="13" s="1"/>
  <c r="H28" i="13" s="1"/>
  <c r="I28" i="13" s="1"/>
  <c r="J28" i="13" s="1"/>
  <c r="K28" i="13" s="1"/>
  <c r="L28" i="13" s="1"/>
  <c r="M28" i="13" s="1"/>
  <c r="N28" i="13" s="1"/>
  <c r="O28" i="13" s="1"/>
  <c r="P28" i="13" s="1"/>
  <c r="Q28" i="13" s="1"/>
  <c r="R28" i="13" s="1"/>
  <c r="S28" i="13" s="1"/>
  <c r="T28" i="13" s="1"/>
  <c r="U28" i="13" s="1"/>
  <c r="V28" i="13" s="1"/>
  <c r="W28" i="13" s="1"/>
  <c r="X28" i="13" s="1"/>
  <c r="Y28" i="13" s="1"/>
  <c r="Z28" i="13" s="1"/>
  <c r="AA28" i="13" s="1"/>
  <c r="AB28" i="13" s="1"/>
  <c r="AC28" i="13" s="1"/>
  <c r="AD28" i="13" s="1"/>
  <c r="AE28" i="13" s="1"/>
  <c r="AF28" i="13" s="1"/>
  <c r="AG28" i="13" s="1"/>
  <c r="AH28" i="13" s="1"/>
  <c r="AI28" i="13" s="1"/>
  <c r="AJ28" i="13" s="1"/>
  <c r="AK28" i="13" s="1"/>
  <c r="AL28" i="13" s="1"/>
  <c r="E28" i="13"/>
  <c r="D28" i="13"/>
  <c r="C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C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C13" i="13" s="1"/>
  <c r="C14" i="13"/>
  <c r="D14" i="13" s="1"/>
  <c r="P25" i="11"/>
  <c r="Q25" i="11" s="1"/>
  <c r="R25" i="11" s="1"/>
  <c r="S25" i="11" s="1"/>
  <c r="T25" i="11" s="1"/>
  <c r="U25" i="11" s="1"/>
  <c r="V25" i="11" s="1"/>
  <c r="W25" i="11" s="1"/>
  <c r="X25" i="11" s="1"/>
  <c r="Y25" i="11" s="1"/>
  <c r="Z25" i="11" s="1"/>
  <c r="AB25" i="11" s="1"/>
  <c r="AC25" i="11" s="1"/>
  <c r="AD25" i="11" s="1"/>
  <c r="AE25" i="11" s="1"/>
  <c r="AF25" i="11" s="1"/>
  <c r="AG25" i="11" s="1"/>
  <c r="AH25" i="11" s="1"/>
  <c r="AI25" i="11" s="1"/>
  <c r="AJ25" i="11" s="1"/>
  <c r="AK25" i="11" s="1"/>
  <c r="AL25" i="11" s="1"/>
  <c r="AM25" i="11" s="1"/>
  <c r="AN25" i="11" s="1"/>
  <c r="AO25" i="11" s="1"/>
  <c r="AP25" i="11" s="1"/>
  <c r="AQ25" i="11" s="1"/>
  <c r="AR25" i="11" s="1"/>
  <c r="AS25" i="11" s="1"/>
  <c r="AT25" i="11" s="1"/>
  <c r="AU25" i="11" s="1"/>
  <c r="AV25" i="11" s="1"/>
  <c r="AW25" i="11" s="1"/>
  <c r="AX25" i="11" s="1"/>
  <c r="Q15" i="11"/>
  <c r="R15" i="11" s="1"/>
  <c r="S15" i="11" s="1"/>
  <c r="T15" i="11" s="1"/>
  <c r="U15" i="11" s="1"/>
  <c r="V15" i="11" s="1"/>
  <c r="W15" i="11" s="1"/>
  <c r="X15" i="11" s="1"/>
  <c r="Y15" i="11" s="1"/>
  <c r="Z15" i="11" s="1"/>
  <c r="AB15" i="11" s="1"/>
  <c r="AC15" i="11" s="1"/>
  <c r="AD15" i="11" s="1"/>
  <c r="AE15" i="11" s="1"/>
  <c r="AF15" i="11" s="1"/>
  <c r="AG15" i="11" s="1"/>
  <c r="AH15" i="11" s="1"/>
  <c r="AI15" i="11" s="1"/>
  <c r="AJ15" i="11" s="1"/>
  <c r="AK15" i="11" s="1"/>
  <c r="AL15" i="11" s="1"/>
  <c r="AM15" i="11" s="1"/>
  <c r="AN15" i="11" s="1"/>
  <c r="AO15" i="11" s="1"/>
  <c r="AP15" i="11" s="1"/>
  <c r="AQ15" i="11" s="1"/>
  <c r="AR15" i="11" s="1"/>
  <c r="AS15" i="11" s="1"/>
  <c r="AT15" i="11" s="1"/>
  <c r="AU15" i="11" s="1"/>
  <c r="AV15" i="11" s="1"/>
  <c r="AW15" i="11" s="1"/>
  <c r="AX15" i="11" s="1"/>
  <c r="P15" i="11"/>
  <c r="D28" i="11"/>
  <c r="E28" i="11" s="1"/>
  <c r="F28" i="11" s="1"/>
  <c r="G28" i="11" s="1"/>
  <c r="H28" i="11" s="1"/>
  <c r="I28" i="11" s="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C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C20" i="11" s="1"/>
  <c r="N18" i="11"/>
  <c r="M18" i="11"/>
  <c r="L18" i="11"/>
  <c r="K18" i="11"/>
  <c r="J18" i="11"/>
  <c r="I18" i="11"/>
  <c r="H18" i="11"/>
  <c r="G18" i="11"/>
  <c r="F18" i="11"/>
  <c r="E18" i="11"/>
  <c r="D18" i="11"/>
  <c r="C18" i="11"/>
  <c r="C16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C13" i="11" s="1"/>
  <c r="C39" i="11" s="1"/>
  <c r="C14" i="11"/>
  <c r="D14" i="11" s="1"/>
  <c r="D16" i="11" s="1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J41" i="10" s="1"/>
  <c r="I36" i="10"/>
  <c r="H36" i="10"/>
  <c r="G36" i="10"/>
  <c r="F36" i="10"/>
  <c r="E36" i="10"/>
  <c r="D36" i="10"/>
  <c r="C36" i="10"/>
  <c r="AL33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AL32" i="10"/>
  <c r="AL37" i="10" s="1"/>
  <c r="AK32" i="10"/>
  <c r="AK37" i="10" s="1"/>
  <c r="AJ32" i="10"/>
  <c r="AJ37" i="10" s="1"/>
  <c r="AI32" i="10"/>
  <c r="AI37" i="10" s="1"/>
  <c r="AH32" i="10"/>
  <c r="AH37" i="10" s="1"/>
  <c r="AG32" i="10"/>
  <c r="AG37" i="10" s="1"/>
  <c r="AF32" i="10"/>
  <c r="AF37" i="10" s="1"/>
  <c r="AE32" i="10"/>
  <c r="AE37" i="10" s="1"/>
  <c r="AD32" i="10"/>
  <c r="AD37" i="10" s="1"/>
  <c r="AC32" i="10"/>
  <c r="AC37" i="10" s="1"/>
  <c r="AB32" i="10"/>
  <c r="AB37" i="10" s="1"/>
  <c r="AA32" i="10"/>
  <c r="AA37" i="10" s="1"/>
  <c r="Z32" i="10"/>
  <c r="Z37" i="10" s="1"/>
  <c r="Y32" i="10"/>
  <c r="Y37" i="10" s="1"/>
  <c r="X32" i="10"/>
  <c r="X37" i="10" s="1"/>
  <c r="W32" i="10"/>
  <c r="W37" i="10" s="1"/>
  <c r="V32" i="10"/>
  <c r="V37" i="10" s="1"/>
  <c r="U32" i="10"/>
  <c r="U37" i="10" s="1"/>
  <c r="T32" i="10"/>
  <c r="T37" i="10" s="1"/>
  <c r="S32" i="10"/>
  <c r="S37" i="10" s="1"/>
  <c r="R32" i="10"/>
  <c r="R37" i="10" s="1"/>
  <c r="Q32" i="10"/>
  <c r="Q37" i="10" s="1"/>
  <c r="P32" i="10"/>
  <c r="P37" i="10" s="1"/>
  <c r="O32" i="10"/>
  <c r="O37" i="10" s="1"/>
  <c r="N32" i="10"/>
  <c r="N37" i="10" s="1"/>
  <c r="M32" i="10"/>
  <c r="M37" i="10" s="1"/>
  <c r="L32" i="10"/>
  <c r="L37" i="10" s="1"/>
  <c r="K32" i="10"/>
  <c r="K37" i="10" s="1"/>
  <c r="J32" i="10"/>
  <c r="J37" i="10" s="1"/>
  <c r="I32" i="10"/>
  <c r="I37" i="10" s="1"/>
  <c r="H32" i="10"/>
  <c r="H37" i="10" s="1"/>
  <c r="G32" i="10"/>
  <c r="G37" i="10" s="1"/>
  <c r="F32" i="10"/>
  <c r="F37" i="10" s="1"/>
  <c r="E32" i="10"/>
  <c r="E37" i="10" s="1"/>
  <c r="D32" i="10"/>
  <c r="D37" i="10" s="1"/>
  <c r="C32" i="10"/>
  <c r="C37" i="10" s="1"/>
  <c r="C31" i="10"/>
  <c r="D31" i="10" s="1"/>
  <c r="E31" i="10" s="1"/>
  <c r="F31" i="10" s="1"/>
  <c r="G31" i="10" s="1"/>
  <c r="H31" i="10" s="1"/>
  <c r="I31" i="10" s="1"/>
  <c r="J31" i="10" s="1"/>
  <c r="K31" i="10" s="1"/>
  <c r="L31" i="10" s="1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Y31" i="10" s="1"/>
  <c r="Z31" i="10" s="1"/>
  <c r="AA31" i="10" s="1"/>
  <c r="AB31" i="10" s="1"/>
  <c r="AC31" i="10" s="1"/>
  <c r="AD31" i="10" s="1"/>
  <c r="AE31" i="10" s="1"/>
  <c r="AF31" i="10" s="1"/>
  <c r="AG31" i="10" s="1"/>
  <c r="AH31" i="10" s="1"/>
  <c r="AI31" i="10" s="1"/>
  <c r="AJ31" i="10" s="1"/>
  <c r="AK31" i="10" s="1"/>
  <c r="AL31" i="10" s="1"/>
  <c r="E28" i="10"/>
  <c r="F28" i="10" s="1"/>
  <c r="G28" i="10" s="1"/>
  <c r="H28" i="10" s="1"/>
  <c r="I28" i="10" s="1"/>
  <c r="J28" i="10" s="1"/>
  <c r="K28" i="10" s="1"/>
  <c r="L28" i="10" s="1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Y28" i="10" s="1"/>
  <c r="Z28" i="10" s="1"/>
  <c r="AA28" i="10" s="1"/>
  <c r="AB28" i="10" s="1"/>
  <c r="AC28" i="10" s="1"/>
  <c r="AD28" i="10" s="1"/>
  <c r="AE28" i="10" s="1"/>
  <c r="AF28" i="10" s="1"/>
  <c r="AG28" i="10" s="1"/>
  <c r="AH28" i="10" s="1"/>
  <c r="AI28" i="10" s="1"/>
  <c r="AJ28" i="10" s="1"/>
  <c r="AK28" i="10" s="1"/>
  <c r="AL28" i="10" s="1"/>
  <c r="D28" i="10"/>
  <c r="C28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C16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C13" i="10" s="1"/>
  <c r="C14" i="10"/>
  <c r="D14" i="10" s="1"/>
  <c r="AB25" i="9"/>
  <c r="AC25" i="9"/>
  <c r="AD25" i="9"/>
  <c r="AE25" i="9"/>
  <c r="AF25" i="9"/>
  <c r="AG25" i="9"/>
  <c r="AH25" i="9"/>
  <c r="AI25" i="9"/>
  <c r="AJ25" i="9"/>
  <c r="AK25" i="9"/>
  <c r="AL25" i="9"/>
  <c r="AB26" i="9"/>
  <c r="AC26" i="9"/>
  <c r="AD26" i="9"/>
  <c r="AE26" i="9"/>
  <c r="AF26" i="9"/>
  <c r="AG26" i="9"/>
  <c r="AH26" i="9"/>
  <c r="AI26" i="9"/>
  <c r="AJ26" i="9"/>
  <c r="AK26" i="9"/>
  <c r="AL26" i="9"/>
  <c r="AA26" i="9"/>
  <c r="AA25" i="9"/>
  <c r="AA25" i="4"/>
  <c r="AA26" i="4"/>
  <c r="O26" i="9"/>
  <c r="P26" i="9"/>
  <c r="Q26" i="9"/>
  <c r="R26" i="9"/>
  <c r="S26" i="9"/>
  <c r="T26" i="9"/>
  <c r="O25" i="9"/>
  <c r="P25" i="9"/>
  <c r="Q25" i="9"/>
  <c r="R25" i="9"/>
  <c r="S25" i="9"/>
  <c r="T25" i="9"/>
  <c r="AL35" i="9"/>
  <c r="AL40" i="9" s="1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V40" i="9" s="1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F40" i="9" s="1"/>
  <c r="E35" i="9"/>
  <c r="D35" i="9"/>
  <c r="C35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AL31" i="9"/>
  <c r="AL36" i="9" s="1"/>
  <c r="AK31" i="9"/>
  <c r="AK36" i="9" s="1"/>
  <c r="AJ31" i="9"/>
  <c r="AJ36" i="9" s="1"/>
  <c r="AI31" i="9"/>
  <c r="AI36" i="9" s="1"/>
  <c r="AH31" i="9"/>
  <c r="AH36" i="9" s="1"/>
  <c r="AG31" i="9"/>
  <c r="AG36" i="9" s="1"/>
  <c r="AF31" i="9"/>
  <c r="AF36" i="9" s="1"/>
  <c r="AE31" i="9"/>
  <c r="AE36" i="9" s="1"/>
  <c r="AD31" i="9"/>
  <c r="AD36" i="9" s="1"/>
  <c r="AC31" i="9"/>
  <c r="AC36" i="9" s="1"/>
  <c r="AB31" i="9"/>
  <c r="AB36" i="9" s="1"/>
  <c r="AA31" i="9"/>
  <c r="AA36" i="9" s="1"/>
  <c r="AA40" i="9" s="1"/>
  <c r="Z31" i="9"/>
  <c r="Z36" i="9" s="1"/>
  <c r="Y31" i="9"/>
  <c r="Y36" i="9" s="1"/>
  <c r="X31" i="9"/>
  <c r="X36" i="9" s="1"/>
  <c r="W31" i="9"/>
  <c r="W36" i="9" s="1"/>
  <c r="V31" i="9"/>
  <c r="V36" i="9" s="1"/>
  <c r="U31" i="9"/>
  <c r="U36" i="9" s="1"/>
  <c r="T31" i="9"/>
  <c r="T36" i="9" s="1"/>
  <c r="S31" i="9"/>
  <c r="S36" i="9" s="1"/>
  <c r="R31" i="9"/>
  <c r="R36" i="9" s="1"/>
  <c r="Q31" i="9"/>
  <c r="Q36" i="9" s="1"/>
  <c r="P31" i="9"/>
  <c r="P36" i="9" s="1"/>
  <c r="O31" i="9"/>
  <c r="O36" i="9" s="1"/>
  <c r="N31" i="9"/>
  <c r="N36" i="9" s="1"/>
  <c r="M31" i="9"/>
  <c r="M36" i="9" s="1"/>
  <c r="L31" i="9"/>
  <c r="L36" i="9" s="1"/>
  <c r="K31" i="9"/>
  <c r="K36" i="9" s="1"/>
  <c r="K40" i="9" s="1"/>
  <c r="J31" i="9"/>
  <c r="J36" i="9" s="1"/>
  <c r="I31" i="9"/>
  <c r="I36" i="9" s="1"/>
  <c r="H31" i="9"/>
  <c r="H36" i="9" s="1"/>
  <c r="G31" i="9"/>
  <c r="G36" i="9" s="1"/>
  <c r="F31" i="9"/>
  <c r="F36" i="9" s="1"/>
  <c r="E31" i="9"/>
  <c r="E36" i="9" s="1"/>
  <c r="D31" i="9"/>
  <c r="D36" i="9" s="1"/>
  <c r="C31" i="9"/>
  <c r="C36" i="9" s="1"/>
  <c r="C30" i="9"/>
  <c r="D30" i="9" s="1"/>
  <c r="E30" i="9" s="1"/>
  <c r="F30" i="9" s="1"/>
  <c r="G30" i="9" s="1"/>
  <c r="H30" i="9" s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 s="1"/>
  <c r="T30" i="9" s="1"/>
  <c r="U30" i="9" s="1"/>
  <c r="V30" i="9" s="1"/>
  <c r="W30" i="9" s="1"/>
  <c r="X30" i="9" s="1"/>
  <c r="Y30" i="9" s="1"/>
  <c r="Z30" i="9" s="1"/>
  <c r="AA30" i="9" s="1"/>
  <c r="AB30" i="9" s="1"/>
  <c r="AC30" i="9" s="1"/>
  <c r="AD30" i="9" s="1"/>
  <c r="AE30" i="9" s="1"/>
  <c r="AF30" i="9" s="1"/>
  <c r="AG30" i="9" s="1"/>
  <c r="AH30" i="9" s="1"/>
  <c r="AI30" i="9" s="1"/>
  <c r="AJ30" i="9" s="1"/>
  <c r="AK30" i="9" s="1"/>
  <c r="AL30" i="9" s="1"/>
  <c r="G27" i="9"/>
  <c r="H27" i="9" s="1"/>
  <c r="I27" i="9" s="1"/>
  <c r="J27" i="9" s="1"/>
  <c r="K27" i="9" s="1"/>
  <c r="L27" i="9" s="1"/>
  <c r="M27" i="9" s="1"/>
  <c r="N27" i="9" s="1"/>
  <c r="O27" i="9" s="1"/>
  <c r="P27" i="9" s="1"/>
  <c r="Q27" i="9" s="1"/>
  <c r="R27" i="9" s="1"/>
  <c r="S27" i="9" s="1"/>
  <c r="T27" i="9" s="1"/>
  <c r="U27" i="9" s="1"/>
  <c r="V27" i="9" s="1"/>
  <c r="W27" i="9" s="1"/>
  <c r="X27" i="9" s="1"/>
  <c r="Y27" i="9" s="1"/>
  <c r="Z27" i="9" s="1"/>
  <c r="AA27" i="9" s="1"/>
  <c r="AB27" i="9" s="1"/>
  <c r="AC27" i="9" s="1"/>
  <c r="AD27" i="9" s="1"/>
  <c r="AE27" i="9" s="1"/>
  <c r="AF27" i="9" s="1"/>
  <c r="AG27" i="9" s="1"/>
  <c r="AH27" i="9" s="1"/>
  <c r="AI27" i="9" s="1"/>
  <c r="AJ27" i="9" s="1"/>
  <c r="AK27" i="9" s="1"/>
  <c r="AL27" i="9" s="1"/>
  <c r="D27" i="9"/>
  <c r="E27" i="9" s="1"/>
  <c r="F27" i="9" s="1"/>
  <c r="C27" i="9"/>
  <c r="Z26" i="9"/>
  <c r="Y26" i="9"/>
  <c r="X26" i="9"/>
  <c r="W26" i="9"/>
  <c r="V26" i="9"/>
  <c r="U26" i="9"/>
  <c r="N26" i="9"/>
  <c r="M26" i="9"/>
  <c r="L26" i="9"/>
  <c r="K26" i="9"/>
  <c r="J26" i="9"/>
  <c r="I26" i="9"/>
  <c r="H26" i="9"/>
  <c r="G26" i="9"/>
  <c r="F26" i="9"/>
  <c r="E26" i="9"/>
  <c r="D26" i="9"/>
  <c r="C26" i="9"/>
  <c r="Z25" i="9"/>
  <c r="Y25" i="9"/>
  <c r="X25" i="9"/>
  <c r="W25" i="9"/>
  <c r="V25" i="9"/>
  <c r="U25" i="9"/>
  <c r="N25" i="9"/>
  <c r="M25" i="9"/>
  <c r="L25" i="9"/>
  <c r="K25" i="9"/>
  <c r="J25" i="9"/>
  <c r="I25" i="9"/>
  <c r="H25" i="9"/>
  <c r="G25" i="9"/>
  <c r="F25" i="9"/>
  <c r="E25" i="9"/>
  <c r="D25" i="9"/>
  <c r="C25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C15" i="9"/>
  <c r="D15" i="9" s="1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C12" i="9" s="1"/>
  <c r="C38" i="9" s="1"/>
  <c r="C13" i="9"/>
  <c r="D13" i="9" s="1"/>
  <c r="O28" i="2"/>
  <c r="C40" i="4"/>
  <c r="C16" i="4"/>
  <c r="C15" i="4"/>
  <c r="O25" i="4"/>
  <c r="P25" i="4"/>
  <c r="Q25" i="4"/>
  <c r="R25" i="4"/>
  <c r="S25" i="4"/>
  <c r="T25" i="4"/>
  <c r="O26" i="4"/>
  <c r="P26" i="4"/>
  <c r="Q26" i="4"/>
  <c r="R26" i="4"/>
  <c r="S26" i="4"/>
  <c r="T26" i="4"/>
  <c r="O32" i="3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C37" i="4"/>
  <c r="AB32" i="4"/>
  <c r="AC32" i="4"/>
  <c r="AD32" i="4"/>
  <c r="AE32" i="4"/>
  <c r="AF32" i="4"/>
  <c r="AG32" i="4"/>
  <c r="AH32" i="4"/>
  <c r="AI32" i="4"/>
  <c r="AJ32" i="4"/>
  <c r="AK32" i="4"/>
  <c r="AL32" i="4"/>
  <c r="AA32" i="4"/>
  <c r="P32" i="4"/>
  <c r="Q32" i="4"/>
  <c r="R32" i="4"/>
  <c r="S32" i="4"/>
  <c r="T32" i="4"/>
  <c r="U32" i="4"/>
  <c r="V32" i="4"/>
  <c r="W32" i="4"/>
  <c r="X32" i="4"/>
  <c r="Y32" i="4"/>
  <c r="Z32" i="4"/>
  <c r="O32" i="4"/>
  <c r="D32" i="4"/>
  <c r="E32" i="4"/>
  <c r="F32" i="4"/>
  <c r="G32" i="4"/>
  <c r="H32" i="4"/>
  <c r="I32" i="4"/>
  <c r="J32" i="4"/>
  <c r="K32" i="4"/>
  <c r="L32" i="4"/>
  <c r="M32" i="4"/>
  <c r="N32" i="4"/>
  <c r="C32" i="4"/>
  <c r="Q40" i="4"/>
  <c r="AB36" i="4"/>
  <c r="AB40" i="4" s="1"/>
  <c r="AC36" i="4"/>
  <c r="AC40" i="4" s="1"/>
  <c r="AD36" i="4"/>
  <c r="AD40" i="4" s="1"/>
  <c r="AF36" i="4"/>
  <c r="AF40" i="4" s="1"/>
  <c r="AH36" i="4"/>
  <c r="AH40" i="4" s="1"/>
  <c r="AI36" i="4"/>
  <c r="AI40" i="4" s="1"/>
  <c r="AL36" i="4"/>
  <c r="AL40" i="4" s="1"/>
  <c r="Q36" i="4"/>
  <c r="X36" i="4"/>
  <c r="X40" i="4" s="1"/>
  <c r="Y36" i="4"/>
  <c r="Y40" i="4" s="1"/>
  <c r="Z36" i="4"/>
  <c r="Z40" i="4" s="1"/>
  <c r="O36" i="4"/>
  <c r="O40" i="4" s="1"/>
  <c r="F36" i="4"/>
  <c r="F40" i="4" s="1"/>
  <c r="L36" i="4"/>
  <c r="L40" i="4" s="1"/>
  <c r="M36" i="4"/>
  <c r="M40" i="4" s="1"/>
  <c r="N36" i="4"/>
  <c r="N40" i="4" s="1"/>
  <c r="AF31" i="4"/>
  <c r="AG31" i="4"/>
  <c r="AG36" i="4" s="1"/>
  <c r="AG40" i="4" s="1"/>
  <c r="AH31" i="4"/>
  <c r="AI31" i="4"/>
  <c r="AJ31" i="4"/>
  <c r="AJ36" i="4" s="1"/>
  <c r="AJ40" i="4" s="1"/>
  <c r="AK31" i="4"/>
  <c r="AK36" i="4" s="1"/>
  <c r="AK40" i="4" s="1"/>
  <c r="AL31" i="4"/>
  <c r="AE31" i="4"/>
  <c r="AE36" i="4" s="1"/>
  <c r="AE40" i="4" s="1"/>
  <c r="Y31" i="4"/>
  <c r="Z31" i="4"/>
  <c r="AA31" i="4"/>
  <c r="AA36" i="4" s="1"/>
  <c r="AA40" i="4" s="1"/>
  <c r="AB31" i="4"/>
  <c r="AC31" i="4"/>
  <c r="AD31" i="4"/>
  <c r="X31" i="4"/>
  <c r="R31" i="4"/>
  <c r="R36" i="4" s="1"/>
  <c r="R40" i="4" s="1"/>
  <c r="S31" i="4"/>
  <c r="S36" i="4" s="1"/>
  <c r="S40" i="4" s="1"/>
  <c r="T31" i="4"/>
  <c r="T36" i="4" s="1"/>
  <c r="T40" i="4" s="1"/>
  <c r="U31" i="4"/>
  <c r="U36" i="4" s="1"/>
  <c r="U40" i="4" s="1"/>
  <c r="V31" i="4"/>
  <c r="V36" i="4" s="1"/>
  <c r="V40" i="4" s="1"/>
  <c r="W31" i="4"/>
  <c r="W36" i="4" s="1"/>
  <c r="W40" i="4" s="1"/>
  <c r="Q31" i="4"/>
  <c r="M31" i="4"/>
  <c r="N31" i="4"/>
  <c r="O31" i="4"/>
  <c r="P31" i="4"/>
  <c r="P36" i="4" s="1"/>
  <c r="P40" i="4" s="1"/>
  <c r="L31" i="4"/>
  <c r="D31" i="4"/>
  <c r="D36" i="4" s="1"/>
  <c r="D40" i="4" s="1"/>
  <c r="E31" i="4"/>
  <c r="E36" i="4" s="1"/>
  <c r="E40" i="4" s="1"/>
  <c r="F31" i="4"/>
  <c r="G31" i="4"/>
  <c r="G36" i="4" s="1"/>
  <c r="G40" i="4" s="1"/>
  <c r="H31" i="4"/>
  <c r="H36" i="4" s="1"/>
  <c r="H40" i="4" s="1"/>
  <c r="I31" i="4"/>
  <c r="I36" i="4" s="1"/>
  <c r="I40" i="4" s="1"/>
  <c r="J31" i="4"/>
  <c r="J36" i="4" s="1"/>
  <c r="J40" i="4" s="1"/>
  <c r="K31" i="4"/>
  <c r="K36" i="4" s="1"/>
  <c r="K40" i="4" s="1"/>
  <c r="C31" i="4"/>
  <c r="C36" i="4" s="1"/>
  <c r="C30" i="4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B35" i="4"/>
  <c r="AC35" i="4"/>
  <c r="AD35" i="4"/>
  <c r="AE35" i="4"/>
  <c r="AF35" i="4"/>
  <c r="AG35" i="4"/>
  <c r="AH35" i="4"/>
  <c r="AI35" i="4"/>
  <c r="AJ35" i="4"/>
  <c r="AK35" i="4"/>
  <c r="AL35" i="4"/>
  <c r="AA35" i="4"/>
  <c r="P35" i="4"/>
  <c r="Q35" i="4"/>
  <c r="R35" i="4"/>
  <c r="S35" i="4"/>
  <c r="T35" i="4"/>
  <c r="U35" i="4"/>
  <c r="V35" i="4"/>
  <c r="W35" i="4"/>
  <c r="X35" i="4"/>
  <c r="Y35" i="4"/>
  <c r="Z35" i="4"/>
  <c r="O35" i="4"/>
  <c r="N35" i="4"/>
  <c r="D35" i="4"/>
  <c r="E35" i="4"/>
  <c r="F35" i="4"/>
  <c r="G35" i="4"/>
  <c r="H35" i="4"/>
  <c r="I35" i="4"/>
  <c r="J35" i="4"/>
  <c r="K35" i="4"/>
  <c r="L35" i="4"/>
  <c r="M35" i="4"/>
  <c r="C35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C17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C14" i="4"/>
  <c r="C12" i="4" s="1"/>
  <c r="C38" i="4" s="1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C13" i="4"/>
  <c r="D13" i="4" s="1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D27" i="4"/>
  <c r="E27" i="4" s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C27" i="4"/>
  <c r="V26" i="4"/>
  <c r="W26" i="4"/>
  <c r="X26" i="4"/>
  <c r="Y26" i="4"/>
  <c r="Z26" i="4"/>
  <c r="AB26" i="4"/>
  <c r="AC26" i="4"/>
  <c r="AD26" i="4"/>
  <c r="AE26" i="4"/>
  <c r="AF26" i="4"/>
  <c r="AG26" i="4"/>
  <c r="AH26" i="4"/>
  <c r="AI26" i="4"/>
  <c r="AJ26" i="4"/>
  <c r="AK26" i="4"/>
  <c r="AL26" i="4"/>
  <c r="U26" i="4"/>
  <c r="D26" i="4"/>
  <c r="E26" i="4"/>
  <c r="F26" i="4"/>
  <c r="G26" i="4"/>
  <c r="H26" i="4"/>
  <c r="I26" i="4"/>
  <c r="J26" i="4"/>
  <c r="K26" i="4"/>
  <c r="L26" i="4"/>
  <c r="M26" i="4"/>
  <c r="N26" i="4"/>
  <c r="C26" i="4"/>
  <c r="V25" i="4"/>
  <c r="W25" i="4"/>
  <c r="X25" i="4"/>
  <c r="Y25" i="4"/>
  <c r="Z25" i="4"/>
  <c r="AB25" i="4"/>
  <c r="AC25" i="4"/>
  <c r="AD25" i="4"/>
  <c r="AE25" i="4"/>
  <c r="AF25" i="4"/>
  <c r="AG25" i="4"/>
  <c r="AH25" i="4"/>
  <c r="AI25" i="4"/>
  <c r="AJ25" i="4"/>
  <c r="AK25" i="4"/>
  <c r="AL25" i="4"/>
  <c r="U25" i="4"/>
  <c r="D25" i="4"/>
  <c r="E25" i="4"/>
  <c r="F25" i="4"/>
  <c r="G25" i="4"/>
  <c r="H25" i="4"/>
  <c r="I25" i="4"/>
  <c r="J25" i="4"/>
  <c r="K25" i="4"/>
  <c r="L25" i="4"/>
  <c r="M25" i="4"/>
  <c r="N25" i="4"/>
  <c r="C25" i="4"/>
  <c r="AB23" i="4"/>
  <c r="AC23" i="4"/>
  <c r="AD23" i="4"/>
  <c r="AE23" i="4"/>
  <c r="AF23" i="4"/>
  <c r="AG23" i="4"/>
  <c r="AH23" i="4"/>
  <c r="AI23" i="4"/>
  <c r="AJ23" i="4"/>
  <c r="AK23" i="4"/>
  <c r="AL23" i="4"/>
  <c r="AA23" i="4"/>
  <c r="P23" i="4"/>
  <c r="Q23" i="4"/>
  <c r="R23" i="4"/>
  <c r="S23" i="4"/>
  <c r="T23" i="4"/>
  <c r="U23" i="4"/>
  <c r="V23" i="4"/>
  <c r="W23" i="4"/>
  <c r="X23" i="4"/>
  <c r="Y23" i="4"/>
  <c r="Z23" i="4"/>
  <c r="O23" i="4"/>
  <c r="D23" i="4"/>
  <c r="E23" i="4"/>
  <c r="F23" i="4"/>
  <c r="G23" i="4"/>
  <c r="H23" i="4"/>
  <c r="I23" i="4"/>
  <c r="J23" i="4"/>
  <c r="K23" i="4"/>
  <c r="L23" i="4"/>
  <c r="M23" i="4"/>
  <c r="N23" i="4"/>
  <c r="C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C24" i="4"/>
  <c r="AJ41" i="11" l="1"/>
  <c r="AX41" i="11"/>
  <c r="AW41" i="11"/>
  <c r="AV41" i="11"/>
  <c r="AS41" i="11"/>
  <c r="AR41" i="11"/>
  <c r="D38" i="11"/>
  <c r="AQ41" i="11"/>
  <c r="C38" i="11"/>
  <c r="AO41" i="11"/>
  <c r="AM13" i="10"/>
  <c r="AP41" i="10"/>
  <c r="AO14" i="10"/>
  <c r="AO16" i="10" s="1"/>
  <c r="AM38" i="10"/>
  <c r="D13" i="13"/>
  <c r="C39" i="13"/>
  <c r="D38" i="13"/>
  <c r="E14" i="13"/>
  <c r="D16" i="13"/>
  <c r="E16" i="13" s="1"/>
  <c r="C20" i="13"/>
  <c r="C21" i="13" s="1"/>
  <c r="C30" i="13" s="1"/>
  <c r="C29" i="13" s="1"/>
  <c r="C40" i="13" s="1"/>
  <c r="C35" i="13" s="1"/>
  <c r="K41" i="13"/>
  <c r="AA41" i="13"/>
  <c r="C41" i="13"/>
  <c r="S41" i="13"/>
  <c r="AI41" i="13"/>
  <c r="E41" i="13"/>
  <c r="U41" i="13"/>
  <c r="AK41" i="13"/>
  <c r="F41" i="13"/>
  <c r="V41" i="13"/>
  <c r="AL41" i="13"/>
  <c r="G41" i="13"/>
  <c r="W41" i="13"/>
  <c r="E13" i="13"/>
  <c r="D7" i="13"/>
  <c r="D17" i="13"/>
  <c r="D39" i="13"/>
  <c r="D20" i="13"/>
  <c r="D21" i="13" s="1"/>
  <c r="L41" i="13"/>
  <c r="AB41" i="13"/>
  <c r="D41" i="13"/>
  <c r="T41" i="13"/>
  <c r="AJ41" i="13"/>
  <c r="M41" i="13"/>
  <c r="AC41" i="13"/>
  <c r="N41" i="13"/>
  <c r="AD41" i="13"/>
  <c r="C17" i="13"/>
  <c r="O41" i="13"/>
  <c r="AE41" i="13"/>
  <c r="C7" i="13"/>
  <c r="P41" i="13"/>
  <c r="AF41" i="13"/>
  <c r="Q41" i="13"/>
  <c r="AG41" i="13"/>
  <c r="R41" i="13"/>
  <c r="AH41" i="13"/>
  <c r="C21" i="11"/>
  <c r="C40" i="11" s="1"/>
  <c r="Z41" i="10"/>
  <c r="D13" i="11"/>
  <c r="D39" i="11" s="1"/>
  <c r="C7" i="11"/>
  <c r="C17" i="11"/>
  <c r="E14" i="11"/>
  <c r="E38" i="11" s="1"/>
  <c r="C41" i="10"/>
  <c r="S41" i="10"/>
  <c r="AI41" i="10"/>
  <c r="D16" i="10"/>
  <c r="I41" i="10"/>
  <c r="Y41" i="10"/>
  <c r="F41" i="10"/>
  <c r="V41" i="10"/>
  <c r="AL41" i="10"/>
  <c r="G41" i="10"/>
  <c r="W41" i="10"/>
  <c r="H41" i="10"/>
  <c r="X41" i="10"/>
  <c r="E14" i="10"/>
  <c r="E16" i="10" s="1"/>
  <c r="D38" i="10"/>
  <c r="D13" i="10"/>
  <c r="C7" i="10"/>
  <c r="C17" i="10"/>
  <c r="C20" i="10"/>
  <c r="C21" i="10" s="1"/>
  <c r="D41" i="10"/>
  <c r="T41" i="10"/>
  <c r="AJ41" i="10"/>
  <c r="E41" i="10"/>
  <c r="U41" i="10"/>
  <c r="AK41" i="10"/>
  <c r="C39" i="10"/>
  <c r="O41" i="10"/>
  <c r="AE41" i="10"/>
  <c r="K41" i="10"/>
  <c r="L41" i="10"/>
  <c r="AB41" i="10"/>
  <c r="Q41" i="10"/>
  <c r="AG41" i="10"/>
  <c r="AA41" i="10"/>
  <c r="N41" i="10"/>
  <c r="AD41" i="10"/>
  <c r="M41" i="10"/>
  <c r="AC41" i="10"/>
  <c r="P41" i="10"/>
  <c r="AF41" i="10"/>
  <c r="R41" i="10"/>
  <c r="AH41" i="10"/>
  <c r="C38" i="10"/>
  <c r="L40" i="9"/>
  <c r="AB40" i="9"/>
  <c r="J40" i="9"/>
  <c r="Z40" i="9"/>
  <c r="P40" i="9"/>
  <c r="AF40" i="9"/>
  <c r="M40" i="9"/>
  <c r="AC40" i="9"/>
  <c r="E13" i="9"/>
  <c r="D37" i="9"/>
  <c r="R40" i="9"/>
  <c r="AH40" i="9"/>
  <c r="O40" i="9"/>
  <c r="C40" i="9"/>
  <c r="S40" i="9"/>
  <c r="AI40" i="9"/>
  <c r="AE40" i="9"/>
  <c r="D40" i="9"/>
  <c r="T40" i="9"/>
  <c r="AJ40" i="9"/>
  <c r="E40" i="9"/>
  <c r="U40" i="9"/>
  <c r="AK40" i="9"/>
  <c r="D12" i="9"/>
  <c r="C6" i="9"/>
  <c r="C16" i="9"/>
  <c r="C19" i="9"/>
  <c r="C20" i="9" s="1"/>
  <c r="H40" i="9"/>
  <c r="X40" i="9"/>
  <c r="G40" i="9"/>
  <c r="W40" i="9"/>
  <c r="I40" i="9"/>
  <c r="Y40" i="9"/>
  <c r="N40" i="9"/>
  <c r="AD40" i="9"/>
  <c r="Q40" i="9"/>
  <c r="AG40" i="9"/>
  <c r="C37" i="9"/>
  <c r="C6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D12" i="4"/>
  <c r="C19" i="4"/>
  <c r="C20" i="4" s="1"/>
  <c r="C5" i="4" s="1"/>
  <c r="AM20" i="10" l="1"/>
  <c r="AM21" i="10" s="1"/>
  <c r="AM39" i="10"/>
  <c r="AM7" i="10"/>
  <c r="AM17" i="10"/>
  <c r="AN13" i="10"/>
  <c r="AO38" i="10"/>
  <c r="AP14" i="10"/>
  <c r="C6" i="13"/>
  <c r="C8" i="13"/>
  <c r="C6" i="11"/>
  <c r="E38" i="13"/>
  <c r="F14" i="13"/>
  <c r="D8" i="13"/>
  <c r="D6" i="13"/>
  <c r="D30" i="13"/>
  <c r="D29" i="13" s="1"/>
  <c r="D40" i="13" s="1"/>
  <c r="D35" i="13" s="1"/>
  <c r="D42" i="13" s="1"/>
  <c r="F13" i="13"/>
  <c r="E7" i="13"/>
  <c r="E17" i="13"/>
  <c r="E39" i="13"/>
  <c r="E20" i="13"/>
  <c r="E21" i="13" s="1"/>
  <c r="C8" i="11"/>
  <c r="F14" i="11"/>
  <c r="F38" i="11" s="1"/>
  <c r="E13" i="11"/>
  <c r="E39" i="11" s="1"/>
  <c r="D17" i="11"/>
  <c r="D7" i="11"/>
  <c r="D20" i="11"/>
  <c r="D21" i="11" s="1"/>
  <c r="D40" i="11" s="1"/>
  <c r="E16" i="11"/>
  <c r="C8" i="10"/>
  <c r="C6" i="10"/>
  <c r="C30" i="10"/>
  <c r="E13" i="10"/>
  <c r="D7" i="10"/>
  <c r="D17" i="10"/>
  <c r="D20" i="10"/>
  <c r="D21" i="10" s="1"/>
  <c r="D39" i="10"/>
  <c r="F14" i="10"/>
  <c r="E38" i="10"/>
  <c r="F13" i="9"/>
  <c r="E37" i="9"/>
  <c r="E15" i="9"/>
  <c r="F15" i="9" s="1"/>
  <c r="C7" i="9"/>
  <c r="C5" i="9"/>
  <c r="C29" i="9"/>
  <c r="E12" i="9"/>
  <c r="D6" i="9"/>
  <c r="D16" i="9"/>
  <c r="D19" i="9"/>
  <c r="D20" i="9" s="1"/>
  <c r="D38" i="9"/>
  <c r="D6" i="4"/>
  <c r="D38" i="4"/>
  <c r="C29" i="4"/>
  <c r="C7" i="4"/>
  <c r="E12" i="4"/>
  <c r="D16" i="4"/>
  <c r="D19" i="4"/>
  <c r="AN20" i="10" l="1"/>
  <c r="AN21" i="10" s="1"/>
  <c r="AN39" i="10"/>
  <c r="AN7" i="10"/>
  <c r="AN17" i="10"/>
  <c r="AO13" i="10"/>
  <c r="AP38" i="10"/>
  <c r="AQ14" i="10"/>
  <c r="AM6" i="10"/>
  <c r="AM30" i="10"/>
  <c r="AM29" i="10" s="1"/>
  <c r="AM40" i="10" s="1"/>
  <c r="AM35" i="10" s="1"/>
  <c r="AM8" i="10"/>
  <c r="AP16" i="10"/>
  <c r="AQ16" i="10" s="1"/>
  <c r="D9" i="13"/>
  <c r="D44" i="13" s="1"/>
  <c r="F16" i="11"/>
  <c r="C9" i="13"/>
  <c r="C44" i="13" s="1"/>
  <c r="C49" i="13" s="1"/>
  <c r="C51" i="13" s="1"/>
  <c r="C9" i="11"/>
  <c r="F38" i="13"/>
  <c r="G14" i="13"/>
  <c r="F16" i="13"/>
  <c r="E8" i="13"/>
  <c r="E6" i="13"/>
  <c r="E30" i="13"/>
  <c r="E29" i="13" s="1"/>
  <c r="E40" i="13" s="1"/>
  <c r="E35" i="13" s="1"/>
  <c r="E42" i="13" s="1"/>
  <c r="G13" i="13"/>
  <c r="F7" i="13"/>
  <c r="F17" i="13"/>
  <c r="F39" i="13"/>
  <c r="F20" i="13"/>
  <c r="F21" i="13" s="1"/>
  <c r="D20" i="4"/>
  <c r="D5" i="4" s="1"/>
  <c r="D8" i="11"/>
  <c r="D6" i="11"/>
  <c r="E17" i="11"/>
  <c r="F13" i="11"/>
  <c r="F39" i="11" s="1"/>
  <c r="E7" i="11"/>
  <c r="E20" i="11"/>
  <c r="E21" i="11" s="1"/>
  <c r="E40" i="11" s="1"/>
  <c r="G14" i="11"/>
  <c r="G38" i="11" s="1"/>
  <c r="C29" i="10"/>
  <c r="C28" i="4"/>
  <c r="C39" i="4" s="1"/>
  <c r="C34" i="4" s="1"/>
  <c r="C28" i="9"/>
  <c r="C39" i="9" s="1"/>
  <c r="C9" i="10"/>
  <c r="C8" i="9"/>
  <c r="F38" i="10"/>
  <c r="G14" i="10"/>
  <c r="F16" i="10"/>
  <c r="G16" i="10" s="1"/>
  <c r="D8" i="10"/>
  <c r="D6" i="10"/>
  <c r="D30" i="10"/>
  <c r="D29" i="10" s="1"/>
  <c r="F13" i="10"/>
  <c r="E7" i="10"/>
  <c r="E17" i="10"/>
  <c r="E20" i="10"/>
  <c r="E21" i="10" s="1"/>
  <c r="E39" i="10"/>
  <c r="D7" i="9"/>
  <c r="D5" i="9"/>
  <c r="D29" i="9"/>
  <c r="D28" i="9" s="1"/>
  <c r="F12" i="9"/>
  <c r="E6" i="9"/>
  <c r="E16" i="9"/>
  <c r="E19" i="9"/>
  <c r="E20" i="9" s="1"/>
  <c r="E38" i="9"/>
  <c r="F37" i="9"/>
  <c r="G13" i="9"/>
  <c r="G15" i="9"/>
  <c r="E6" i="4"/>
  <c r="E38" i="4"/>
  <c r="C8" i="4"/>
  <c r="F12" i="4"/>
  <c r="E16" i="4"/>
  <c r="E19" i="4"/>
  <c r="E20" i="4" s="1"/>
  <c r="E5" i="4" s="1"/>
  <c r="AM9" i="10" l="1"/>
  <c r="AM44" i="10" s="1"/>
  <c r="AN6" i="10"/>
  <c r="AN30" i="10"/>
  <c r="AN29" i="10" s="1"/>
  <c r="AN40" i="10" s="1"/>
  <c r="AN35" i="10" s="1"/>
  <c r="AN42" i="10" s="1"/>
  <c r="AN8" i="10"/>
  <c r="AR16" i="10"/>
  <c r="AO20" i="10"/>
  <c r="AO21" i="10" s="1"/>
  <c r="AO39" i="10"/>
  <c r="AO7" i="10"/>
  <c r="AO17" i="10"/>
  <c r="AP13" i="10"/>
  <c r="AQ38" i="10"/>
  <c r="AR14" i="10"/>
  <c r="C34" i="9"/>
  <c r="C43" i="9" s="1"/>
  <c r="C48" i="9" s="1"/>
  <c r="C50" i="9" s="1"/>
  <c r="E9" i="13"/>
  <c r="E10" i="13" s="1"/>
  <c r="C46" i="13"/>
  <c r="C45" i="13"/>
  <c r="D45" i="13" s="1"/>
  <c r="D10" i="13"/>
  <c r="G16" i="13"/>
  <c r="G38" i="13"/>
  <c r="H14" i="13"/>
  <c r="C53" i="13"/>
  <c r="C52" i="13"/>
  <c r="H13" i="13"/>
  <c r="G7" i="13"/>
  <c r="G17" i="13"/>
  <c r="G39" i="13"/>
  <c r="G20" i="13"/>
  <c r="G21" i="13" s="1"/>
  <c r="D49" i="13"/>
  <c r="D51" i="13" s="1"/>
  <c r="D53" i="13" s="1"/>
  <c r="D46" i="13"/>
  <c r="F8" i="13"/>
  <c r="F6" i="13"/>
  <c r="F30" i="13"/>
  <c r="F29" i="13" s="1"/>
  <c r="F40" i="13" s="1"/>
  <c r="F35" i="13" s="1"/>
  <c r="F42" i="13" s="1"/>
  <c r="D7" i="4"/>
  <c r="D8" i="4" s="1"/>
  <c r="D29" i="4"/>
  <c r="D28" i="4" s="1"/>
  <c r="D39" i="4" s="1"/>
  <c r="D34" i="4" s="1"/>
  <c r="D41" i="4" s="1"/>
  <c r="H14" i="11"/>
  <c r="H38" i="11" s="1"/>
  <c r="E8" i="11"/>
  <c r="E6" i="11"/>
  <c r="G13" i="11"/>
  <c r="G39" i="11" s="1"/>
  <c r="F7" i="11"/>
  <c r="F17" i="11"/>
  <c r="F20" i="11"/>
  <c r="F21" i="11" s="1"/>
  <c r="F40" i="11" s="1"/>
  <c r="D9" i="11"/>
  <c r="G16" i="11"/>
  <c r="C43" i="4"/>
  <c r="C48" i="4" s="1"/>
  <c r="D39" i="9"/>
  <c r="D9" i="10"/>
  <c r="G13" i="10"/>
  <c r="F7" i="10"/>
  <c r="F17" i="10"/>
  <c r="F20" i="10"/>
  <c r="F21" i="10" s="1"/>
  <c r="F39" i="10"/>
  <c r="H14" i="10"/>
  <c r="H16" i="10" s="1"/>
  <c r="G38" i="10"/>
  <c r="E8" i="10"/>
  <c r="E6" i="10"/>
  <c r="E30" i="10"/>
  <c r="E29" i="10" s="1"/>
  <c r="D8" i="9"/>
  <c r="E5" i="9"/>
  <c r="E29" i="9"/>
  <c r="E28" i="9" s="1"/>
  <c r="E7" i="9"/>
  <c r="H13" i="9"/>
  <c r="G37" i="9"/>
  <c r="F6" i="9"/>
  <c r="G12" i="9"/>
  <c r="F16" i="9"/>
  <c r="F19" i="9"/>
  <c r="F20" i="9" s="1"/>
  <c r="F38" i="9"/>
  <c r="F6" i="4"/>
  <c r="F38" i="4"/>
  <c r="E29" i="4"/>
  <c r="E28" i="4" s="1"/>
  <c r="E39" i="4" s="1"/>
  <c r="E34" i="4" s="1"/>
  <c r="F19" i="4"/>
  <c r="F20" i="4" s="1"/>
  <c r="F5" i="4" s="1"/>
  <c r="E7" i="4"/>
  <c r="G12" i="4"/>
  <c r="F16" i="4"/>
  <c r="AM49" i="10" l="1"/>
  <c r="AM51" i="10" s="1"/>
  <c r="AM46" i="10"/>
  <c r="AS16" i="10"/>
  <c r="AO6" i="10"/>
  <c r="AO30" i="10"/>
  <c r="AO29" i="10" s="1"/>
  <c r="AO40" i="10" s="1"/>
  <c r="AO35" i="10" s="1"/>
  <c r="AO42" i="10" s="1"/>
  <c r="AO8" i="10"/>
  <c r="AN9" i="10"/>
  <c r="AQ13" i="10"/>
  <c r="AP20" i="10"/>
  <c r="AP21" i="10" s="1"/>
  <c r="AP39" i="10"/>
  <c r="AP17" i="10"/>
  <c r="AP7" i="10"/>
  <c r="AR38" i="10"/>
  <c r="AS14" i="10"/>
  <c r="D34" i="9"/>
  <c r="D41" i="9" s="1"/>
  <c r="E44" i="13"/>
  <c r="E45" i="13" s="1"/>
  <c r="H16" i="11"/>
  <c r="I14" i="13"/>
  <c r="H38" i="13"/>
  <c r="H16" i="13"/>
  <c r="I16" i="13" s="1"/>
  <c r="I13" i="13"/>
  <c r="H7" i="13"/>
  <c r="H17" i="13"/>
  <c r="H39" i="13"/>
  <c r="H20" i="13"/>
  <c r="H21" i="13" s="1"/>
  <c r="G8" i="13"/>
  <c r="G30" i="13"/>
  <c r="G29" i="13" s="1"/>
  <c r="G40" i="13" s="1"/>
  <c r="G35" i="13" s="1"/>
  <c r="G42" i="13" s="1"/>
  <c r="G6" i="13"/>
  <c r="F9" i="13"/>
  <c r="D52" i="13"/>
  <c r="E9" i="11"/>
  <c r="E41" i="4"/>
  <c r="D10" i="11"/>
  <c r="H13" i="11"/>
  <c r="H39" i="11" s="1"/>
  <c r="G7" i="11"/>
  <c r="G17" i="11"/>
  <c r="G20" i="11"/>
  <c r="G21" i="11" s="1"/>
  <c r="G40" i="11" s="1"/>
  <c r="F6" i="11"/>
  <c r="F8" i="11"/>
  <c r="I14" i="11"/>
  <c r="I38" i="11" s="1"/>
  <c r="C50" i="4"/>
  <c r="C51" i="4" s="1"/>
  <c r="C44" i="4"/>
  <c r="C45" i="4"/>
  <c r="E39" i="9"/>
  <c r="C44" i="9"/>
  <c r="C45" i="9"/>
  <c r="E9" i="10"/>
  <c r="E10" i="10" s="1"/>
  <c r="D10" i="10"/>
  <c r="F6" i="10"/>
  <c r="F30" i="10"/>
  <c r="F29" i="10" s="1"/>
  <c r="F8" i="10"/>
  <c r="H13" i="10"/>
  <c r="G7" i="10"/>
  <c r="G17" i="10"/>
  <c r="G20" i="10"/>
  <c r="G21" i="10" s="1"/>
  <c r="G39" i="10"/>
  <c r="I14" i="10"/>
  <c r="I16" i="10" s="1"/>
  <c r="H38" i="10"/>
  <c r="D9" i="9"/>
  <c r="C52" i="9"/>
  <c r="C51" i="9"/>
  <c r="H12" i="9"/>
  <c r="G6" i="9"/>
  <c r="G16" i="9"/>
  <c r="G19" i="9"/>
  <c r="G20" i="9" s="1"/>
  <c r="G38" i="9"/>
  <c r="I13" i="9"/>
  <c r="H37" i="9"/>
  <c r="E8" i="9"/>
  <c r="H15" i="9"/>
  <c r="I15" i="9" s="1"/>
  <c r="F5" i="9"/>
  <c r="F29" i="9"/>
  <c r="F28" i="9" s="1"/>
  <c r="F7" i="9"/>
  <c r="G6" i="4"/>
  <c r="G38" i="4"/>
  <c r="D9" i="4"/>
  <c r="D43" i="4"/>
  <c r="D48" i="4" s="1"/>
  <c r="F7" i="4"/>
  <c r="F29" i="4"/>
  <c r="E8" i="4"/>
  <c r="H12" i="4"/>
  <c r="G16" i="4"/>
  <c r="G19" i="4"/>
  <c r="G20" i="4" s="1"/>
  <c r="G5" i="4" s="1"/>
  <c r="AM53" i="10" l="1"/>
  <c r="AQ7" i="10"/>
  <c r="AQ17" i="10"/>
  <c r="AR13" i="10"/>
  <c r="AQ20" i="10"/>
  <c r="AQ21" i="10" s="1"/>
  <c r="AQ39" i="10"/>
  <c r="AN10" i="10"/>
  <c r="AN44" i="10"/>
  <c r="AO9" i="10"/>
  <c r="AP6" i="10"/>
  <c r="AP30" i="10"/>
  <c r="AP29" i="10" s="1"/>
  <c r="AP40" i="10" s="1"/>
  <c r="AP35" i="10" s="1"/>
  <c r="AP42" i="10" s="1"/>
  <c r="AP8" i="10"/>
  <c r="AT14" i="10"/>
  <c r="AS38" i="10"/>
  <c r="E34" i="9"/>
  <c r="E41" i="9" s="1"/>
  <c r="D43" i="9"/>
  <c r="D44" i="9" s="1"/>
  <c r="G9" i="13"/>
  <c r="G10" i="13" s="1"/>
  <c r="E49" i="13"/>
  <c r="E51" i="13" s="1"/>
  <c r="E53" i="13" s="1"/>
  <c r="E46" i="13"/>
  <c r="J14" i="13"/>
  <c r="I38" i="13"/>
  <c r="H8" i="13"/>
  <c r="H6" i="13"/>
  <c r="H30" i="13"/>
  <c r="H29" i="13" s="1"/>
  <c r="H40" i="13" s="1"/>
  <c r="H35" i="13" s="1"/>
  <c r="H42" i="13" s="1"/>
  <c r="J13" i="13"/>
  <c r="I7" i="13"/>
  <c r="I17" i="13"/>
  <c r="I39" i="13"/>
  <c r="I20" i="13"/>
  <c r="I21" i="13" s="1"/>
  <c r="F10" i="13"/>
  <c r="F44" i="13"/>
  <c r="E10" i="11"/>
  <c r="F9" i="11"/>
  <c r="I13" i="11"/>
  <c r="I39" i="11" s="1"/>
  <c r="H7" i="11"/>
  <c r="H17" i="11"/>
  <c r="H20" i="11"/>
  <c r="H21" i="11" s="1"/>
  <c r="H40" i="11" s="1"/>
  <c r="J14" i="11"/>
  <c r="J38" i="11" s="1"/>
  <c r="G8" i="11"/>
  <c r="G6" i="11"/>
  <c r="I16" i="11"/>
  <c r="C52" i="4"/>
  <c r="F28" i="4"/>
  <c r="F39" i="4" s="1"/>
  <c r="F34" i="4" s="1"/>
  <c r="F41" i="4" s="1"/>
  <c r="F39" i="9"/>
  <c r="G6" i="10"/>
  <c r="G30" i="10"/>
  <c r="G29" i="10" s="1"/>
  <c r="G8" i="10"/>
  <c r="I13" i="10"/>
  <c r="H7" i="10"/>
  <c r="H17" i="10"/>
  <c r="H20" i="10"/>
  <c r="H21" i="10" s="1"/>
  <c r="H39" i="10"/>
  <c r="J14" i="10"/>
  <c r="J16" i="10" s="1"/>
  <c r="I38" i="10"/>
  <c r="F9" i="10"/>
  <c r="J13" i="9"/>
  <c r="I37" i="9"/>
  <c r="J15" i="9"/>
  <c r="I12" i="9"/>
  <c r="H6" i="9"/>
  <c r="H16" i="9"/>
  <c r="H19" i="9"/>
  <c r="H20" i="9" s="1"/>
  <c r="H38" i="9"/>
  <c r="F8" i="9"/>
  <c r="E9" i="9"/>
  <c r="G5" i="9"/>
  <c r="G29" i="9"/>
  <c r="G28" i="9" s="1"/>
  <c r="G7" i="9"/>
  <c r="H6" i="4"/>
  <c r="H38" i="4"/>
  <c r="D50" i="4"/>
  <c r="D44" i="4"/>
  <c r="D45" i="4"/>
  <c r="E9" i="4"/>
  <c r="E43" i="4"/>
  <c r="E48" i="4" s="1"/>
  <c r="G29" i="4"/>
  <c r="F8" i="4"/>
  <c r="G7" i="4"/>
  <c r="I12" i="4"/>
  <c r="H16" i="4"/>
  <c r="H19" i="4"/>
  <c r="H20" i="4" s="1"/>
  <c r="H5" i="4" s="1"/>
  <c r="AP9" i="10" l="1"/>
  <c r="AN49" i="10"/>
  <c r="AN51" i="10" s="1"/>
  <c r="AN46" i="10"/>
  <c r="AQ6" i="10"/>
  <c r="AQ30" i="10"/>
  <c r="AQ29" i="10" s="1"/>
  <c r="AQ40" i="10" s="1"/>
  <c r="AQ35" i="10" s="1"/>
  <c r="AQ42" i="10" s="1"/>
  <c r="AQ8" i="10"/>
  <c r="AO10" i="10"/>
  <c r="AO44" i="10"/>
  <c r="AR7" i="10"/>
  <c r="AR17" i="10"/>
  <c r="AS13" i="10"/>
  <c r="AR20" i="10"/>
  <c r="AR21" i="10" s="1"/>
  <c r="AR39" i="10"/>
  <c r="AU14" i="10"/>
  <c r="AT38" i="10"/>
  <c r="AT16" i="10"/>
  <c r="AU16" i="10" s="1"/>
  <c r="D45" i="9"/>
  <c r="D48" i="9"/>
  <c r="D50" i="9" s="1"/>
  <c r="D52" i="9" s="1"/>
  <c r="E43" i="9"/>
  <c r="E45" i="9" s="1"/>
  <c r="F34" i="9"/>
  <c r="F41" i="9" s="1"/>
  <c r="G44" i="13"/>
  <c r="G49" i="13" s="1"/>
  <c r="G51" i="13" s="1"/>
  <c r="G53" i="13" s="1"/>
  <c r="E52" i="13"/>
  <c r="H9" i="13"/>
  <c r="H10" i="13" s="1"/>
  <c r="K14" i="13"/>
  <c r="J38" i="13"/>
  <c r="J16" i="13"/>
  <c r="K16" i="13" s="1"/>
  <c r="J7" i="13"/>
  <c r="K13" i="13"/>
  <c r="J17" i="13"/>
  <c r="J39" i="13"/>
  <c r="J20" i="13"/>
  <c r="J21" i="13" s="1"/>
  <c r="I8" i="13"/>
  <c r="I6" i="13"/>
  <c r="I30" i="13"/>
  <c r="I29" i="13" s="1"/>
  <c r="I40" i="13" s="1"/>
  <c r="I35" i="13" s="1"/>
  <c r="I42" i="13" s="1"/>
  <c r="F49" i="13"/>
  <c r="F51" i="13" s="1"/>
  <c r="F46" i="13"/>
  <c r="F45" i="13"/>
  <c r="F10" i="11"/>
  <c r="J16" i="11"/>
  <c r="G9" i="11"/>
  <c r="J13" i="11"/>
  <c r="J39" i="11" s="1"/>
  <c r="I7" i="11"/>
  <c r="I17" i="11"/>
  <c r="I20" i="11"/>
  <c r="I21" i="11" s="1"/>
  <c r="I40" i="11" s="1"/>
  <c r="K16" i="11"/>
  <c r="H8" i="11"/>
  <c r="H6" i="11"/>
  <c r="K14" i="11"/>
  <c r="K38" i="11" s="1"/>
  <c r="G28" i="4"/>
  <c r="G39" i="4" s="1"/>
  <c r="G34" i="4" s="1"/>
  <c r="G41" i="4" s="1"/>
  <c r="G39" i="9"/>
  <c r="H6" i="10"/>
  <c r="H30" i="10"/>
  <c r="H29" i="10" s="1"/>
  <c r="H8" i="10"/>
  <c r="F10" i="10"/>
  <c r="J13" i="10"/>
  <c r="I7" i="10"/>
  <c r="I17" i="10"/>
  <c r="I20" i="10"/>
  <c r="I21" i="10" s="1"/>
  <c r="I39" i="10"/>
  <c r="G9" i="10"/>
  <c r="J38" i="10"/>
  <c r="K14" i="10"/>
  <c r="G8" i="9"/>
  <c r="G9" i="9" s="1"/>
  <c r="K13" i="9"/>
  <c r="J37" i="9"/>
  <c r="F9" i="9"/>
  <c r="K15" i="9"/>
  <c r="H5" i="9"/>
  <c r="H29" i="9"/>
  <c r="H28" i="9" s="1"/>
  <c r="H7" i="9"/>
  <c r="J12" i="9"/>
  <c r="I16" i="9"/>
  <c r="I19" i="9"/>
  <c r="I20" i="9" s="1"/>
  <c r="I38" i="9"/>
  <c r="I6" i="9"/>
  <c r="I6" i="4"/>
  <c r="I38" i="4"/>
  <c r="D51" i="4"/>
  <c r="D52" i="4"/>
  <c r="E50" i="4"/>
  <c r="E44" i="4"/>
  <c r="E45" i="4"/>
  <c r="F9" i="4"/>
  <c r="F43" i="4"/>
  <c r="F48" i="4" s="1"/>
  <c r="H29" i="4"/>
  <c r="G8" i="4"/>
  <c r="H7" i="4"/>
  <c r="J12" i="4"/>
  <c r="I16" i="4"/>
  <c r="I19" i="4"/>
  <c r="I20" i="4" s="1"/>
  <c r="I5" i="4" s="1"/>
  <c r="AN53" i="10" l="1"/>
  <c r="AS7" i="10"/>
  <c r="AS17" i="10"/>
  <c r="AT13" i="10"/>
  <c r="AS20" i="10"/>
  <c r="AS21" i="10" s="1"/>
  <c r="AS39" i="10"/>
  <c r="AQ9" i="10"/>
  <c r="AV14" i="10"/>
  <c r="AU38" i="10"/>
  <c r="AP10" i="10"/>
  <c r="AP44" i="10"/>
  <c r="AO49" i="10"/>
  <c r="AO51" i="10" s="1"/>
  <c r="AO53" i="10" s="1"/>
  <c r="AO46" i="10"/>
  <c r="AV16" i="10"/>
  <c r="AR6" i="10"/>
  <c r="AR30" i="10"/>
  <c r="AR29" i="10" s="1"/>
  <c r="AR40" i="10" s="1"/>
  <c r="AR35" i="10" s="1"/>
  <c r="AR42" i="10" s="1"/>
  <c r="AR8" i="10"/>
  <c r="F43" i="9"/>
  <c r="F48" i="9" s="1"/>
  <c r="F50" i="9" s="1"/>
  <c r="F52" i="9" s="1"/>
  <c r="D51" i="9"/>
  <c r="E48" i="9"/>
  <c r="E50" i="9" s="1"/>
  <c r="E44" i="9"/>
  <c r="G34" i="9"/>
  <c r="G41" i="9" s="1"/>
  <c r="G45" i="13"/>
  <c r="G46" i="13"/>
  <c r="H44" i="13"/>
  <c r="H46" i="13" s="1"/>
  <c r="I9" i="13"/>
  <c r="I44" i="13" s="1"/>
  <c r="K38" i="13"/>
  <c r="L14" i="13"/>
  <c r="J6" i="13"/>
  <c r="J30" i="13"/>
  <c r="J29" i="13" s="1"/>
  <c r="J40" i="13" s="1"/>
  <c r="J35" i="13" s="1"/>
  <c r="J42" i="13" s="1"/>
  <c r="J8" i="13"/>
  <c r="F53" i="13"/>
  <c r="F52" i="13"/>
  <c r="G52" i="13" s="1"/>
  <c r="L13" i="13"/>
  <c r="K7" i="13"/>
  <c r="K17" i="13"/>
  <c r="K39" i="13"/>
  <c r="K20" i="13"/>
  <c r="K21" i="13" s="1"/>
  <c r="G10" i="11"/>
  <c r="H9" i="11"/>
  <c r="L14" i="11"/>
  <c r="L38" i="11" s="1"/>
  <c r="I8" i="11"/>
  <c r="I6" i="11"/>
  <c r="J17" i="11"/>
  <c r="J20" i="11"/>
  <c r="J21" i="11" s="1"/>
  <c r="J40" i="11" s="1"/>
  <c r="J7" i="11"/>
  <c r="K13" i="11"/>
  <c r="K39" i="11" s="1"/>
  <c r="H28" i="4"/>
  <c r="H39" i="4" s="1"/>
  <c r="H34" i="4" s="1"/>
  <c r="H41" i="4" s="1"/>
  <c r="H39" i="9"/>
  <c r="H9" i="10"/>
  <c r="L14" i="10"/>
  <c r="K38" i="10"/>
  <c r="G10" i="10"/>
  <c r="I6" i="10"/>
  <c r="I8" i="10"/>
  <c r="I30" i="10"/>
  <c r="I29" i="10" s="1"/>
  <c r="K16" i="10"/>
  <c r="J17" i="10"/>
  <c r="J20" i="10"/>
  <c r="J21" i="10" s="1"/>
  <c r="J39" i="10"/>
  <c r="K13" i="10"/>
  <c r="J7" i="10"/>
  <c r="H8" i="9"/>
  <c r="H9" i="9" s="1"/>
  <c r="L13" i="9"/>
  <c r="K37" i="9"/>
  <c r="I29" i="9"/>
  <c r="I28" i="9" s="1"/>
  <c r="I7" i="9"/>
  <c r="I5" i="9"/>
  <c r="J16" i="9"/>
  <c r="J19" i="9"/>
  <c r="J20" i="9" s="1"/>
  <c r="J38" i="9"/>
  <c r="J6" i="9"/>
  <c r="K12" i="9"/>
  <c r="J6" i="4"/>
  <c r="J38" i="4"/>
  <c r="E51" i="4"/>
  <c r="E52" i="4"/>
  <c r="F50" i="4"/>
  <c r="F44" i="4"/>
  <c r="F45" i="4"/>
  <c r="G9" i="4"/>
  <c r="G43" i="4"/>
  <c r="G48" i="4" s="1"/>
  <c r="I29" i="4"/>
  <c r="H8" i="4"/>
  <c r="I7" i="4"/>
  <c r="K12" i="4"/>
  <c r="J16" i="4"/>
  <c r="J19" i="4"/>
  <c r="J20" i="4" s="1"/>
  <c r="J5" i="4" s="1"/>
  <c r="AP49" i="10" l="1"/>
  <c r="AP51" i="10" s="1"/>
  <c r="AP53" i="10" s="1"/>
  <c r="AP46" i="10"/>
  <c r="AQ10" i="10"/>
  <c r="AQ44" i="10"/>
  <c r="AS6" i="10"/>
  <c r="AS30" i="10"/>
  <c r="AS29" i="10" s="1"/>
  <c r="AS40" i="10" s="1"/>
  <c r="AS35" i="10" s="1"/>
  <c r="AS42" i="10" s="1"/>
  <c r="AS8" i="10"/>
  <c r="AW14" i="10"/>
  <c r="AW16" i="10" s="1"/>
  <c r="AV38" i="10"/>
  <c r="AR9" i="10"/>
  <c r="AT7" i="10"/>
  <c r="AT17" i="10"/>
  <c r="AU13" i="10"/>
  <c r="AT20" i="10"/>
  <c r="AT21" i="10" s="1"/>
  <c r="AT39" i="10"/>
  <c r="H10" i="11"/>
  <c r="E51" i="9"/>
  <c r="F51" i="9" s="1"/>
  <c r="F45" i="9"/>
  <c r="F44" i="9"/>
  <c r="G43" i="9"/>
  <c r="G45" i="9" s="1"/>
  <c r="E52" i="9"/>
  <c r="H34" i="9"/>
  <c r="H41" i="9" s="1"/>
  <c r="H49" i="13"/>
  <c r="H51" i="13" s="1"/>
  <c r="H52" i="13" s="1"/>
  <c r="H45" i="13"/>
  <c r="I45" i="13" s="1"/>
  <c r="I10" i="13"/>
  <c r="M14" i="13"/>
  <c r="L38" i="13"/>
  <c r="L16" i="13"/>
  <c r="M16" i="13" s="1"/>
  <c r="J9" i="13"/>
  <c r="K6" i="13"/>
  <c r="K30" i="13"/>
  <c r="K29" i="13" s="1"/>
  <c r="K40" i="13" s="1"/>
  <c r="K35" i="13" s="1"/>
  <c r="K42" i="13" s="1"/>
  <c r="K8" i="13"/>
  <c r="M13" i="13"/>
  <c r="L7" i="13"/>
  <c r="L17" i="13"/>
  <c r="L39" i="13"/>
  <c r="L20" i="13"/>
  <c r="L21" i="13" s="1"/>
  <c r="I9" i="11"/>
  <c r="I46" i="13"/>
  <c r="I49" i="13"/>
  <c r="I51" i="13" s="1"/>
  <c r="M14" i="11"/>
  <c r="M38" i="11" s="1"/>
  <c r="J6" i="11"/>
  <c r="J8" i="11"/>
  <c r="L13" i="11"/>
  <c r="L39" i="11" s="1"/>
  <c r="K7" i="11"/>
  <c r="K17" i="11"/>
  <c r="K20" i="11"/>
  <c r="K21" i="11" s="1"/>
  <c r="K40" i="11" s="1"/>
  <c r="L16" i="11"/>
  <c r="I28" i="4"/>
  <c r="I39" i="4" s="1"/>
  <c r="I34" i="4" s="1"/>
  <c r="I41" i="4" s="1"/>
  <c r="I39" i="9"/>
  <c r="H10" i="10"/>
  <c r="I8" i="9"/>
  <c r="K20" i="10"/>
  <c r="K21" i="10" s="1"/>
  <c r="K39" i="10"/>
  <c r="L13" i="10"/>
  <c r="K7" i="10"/>
  <c r="K17" i="10"/>
  <c r="I9" i="10"/>
  <c r="M14" i="10"/>
  <c r="L38" i="10"/>
  <c r="J6" i="10"/>
  <c r="J30" i="10"/>
  <c r="J29" i="10" s="1"/>
  <c r="J8" i="10"/>
  <c r="L16" i="10"/>
  <c r="K19" i="9"/>
  <c r="K20" i="9" s="1"/>
  <c r="K38" i="9"/>
  <c r="K6" i="9"/>
  <c r="L12" i="9"/>
  <c r="K16" i="9"/>
  <c r="J5" i="9"/>
  <c r="J29" i="9"/>
  <c r="J28" i="9" s="1"/>
  <c r="J7" i="9"/>
  <c r="M13" i="9"/>
  <c r="L37" i="9"/>
  <c r="L15" i="9"/>
  <c r="M15" i="9" s="1"/>
  <c r="K6" i="4"/>
  <c r="K38" i="4"/>
  <c r="F51" i="4"/>
  <c r="F52" i="4"/>
  <c r="G50" i="4"/>
  <c r="G44" i="4"/>
  <c r="G45" i="4"/>
  <c r="H9" i="4"/>
  <c r="H43" i="4"/>
  <c r="H48" i="4" s="1"/>
  <c r="J29" i="4"/>
  <c r="I8" i="4"/>
  <c r="J7" i="4"/>
  <c r="L12" i="4"/>
  <c r="K16" i="4"/>
  <c r="K19" i="4"/>
  <c r="K20" i="4" s="1"/>
  <c r="K5" i="4" s="1"/>
  <c r="AQ49" i="10" l="1"/>
  <c r="AQ51" i="10" s="1"/>
  <c r="AQ46" i="10"/>
  <c r="AR10" i="10"/>
  <c r="AR44" i="10"/>
  <c r="AX14" i="10"/>
  <c r="AX38" i="10" s="1"/>
  <c r="AW38" i="10"/>
  <c r="AS9" i="10"/>
  <c r="AU7" i="10"/>
  <c r="AU17" i="10"/>
  <c r="AV13" i="10"/>
  <c r="AU20" i="10"/>
  <c r="AU21" i="10" s="1"/>
  <c r="AU39" i="10"/>
  <c r="AT6" i="10"/>
  <c r="AT30" i="10"/>
  <c r="AT29" i="10" s="1"/>
  <c r="AT40" i="10" s="1"/>
  <c r="AT35" i="10" s="1"/>
  <c r="AT42" i="10" s="1"/>
  <c r="AT8" i="10"/>
  <c r="I10" i="11"/>
  <c r="H43" i="9"/>
  <c r="H45" i="9" s="1"/>
  <c r="G48" i="9"/>
  <c r="G50" i="9" s="1"/>
  <c r="G52" i="9" s="1"/>
  <c r="G44" i="9"/>
  <c r="I34" i="9"/>
  <c r="I41" i="9" s="1"/>
  <c r="H53" i="13"/>
  <c r="N14" i="13"/>
  <c r="M38" i="13"/>
  <c r="I53" i="13"/>
  <c r="K9" i="13"/>
  <c r="I52" i="13"/>
  <c r="N13" i="13"/>
  <c r="M7" i="13"/>
  <c r="M17" i="13"/>
  <c r="M39" i="13"/>
  <c r="M20" i="13"/>
  <c r="M21" i="13" s="1"/>
  <c r="L6" i="13"/>
  <c r="L30" i="13"/>
  <c r="L29" i="13" s="1"/>
  <c r="L40" i="13" s="1"/>
  <c r="L35" i="13" s="1"/>
  <c r="L42" i="13" s="1"/>
  <c r="L8" i="13"/>
  <c r="J10" i="13"/>
  <c r="J44" i="13"/>
  <c r="L17" i="11"/>
  <c r="L20" i="11"/>
  <c r="L21" i="11" s="1"/>
  <c r="L40" i="11" s="1"/>
  <c r="M13" i="11"/>
  <c r="M39" i="11" s="1"/>
  <c r="L7" i="11"/>
  <c r="J9" i="11"/>
  <c r="N14" i="11"/>
  <c r="K6" i="11"/>
  <c r="K8" i="11"/>
  <c r="M16" i="11"/>
  <c r="J28" i="4"/>
  <c r="J39" i="4" s="1"/>
  <c r="J34" i="4" s="1"/>
  <c r="J41" i="4" s="1"/>
  <c r="J39" i="9"/>
  <c r="I9" i="9"/>
  <c r="N14" i="10"/>
  <c r="M38" i="10"/>
  <c r="L20" i="10"/>
  <c r="L21" i="10" s="1"/>
  <c r="L39" i="10"/>
  <c r="M13" i="10"/>
  <c r="L7" i="10"/>
  <c r="L17" i="10"/>
  <c r="M16" i="10"/>
  <c r="I10" i="10"/>
  <c r="K6" i="10"/>
  <c r="K30" i="10"/>
  <c r="K29" i="10" s="1"/>
  <c r="K8" i="10"/>
  <c r="J9" i="10"/>
  <c r="J8" i="9"/>
  <c r="K5" i="9"/>
  <c r="K29" i="9"/>
  <c r="K28" i="9" s="1"/>
  <c r="K7" i="9"/>
  <c r="L19" i="9"/>
  <c r="L20" i="9" s="1"/>
  <c r="L38" i="9"/>
  <c r="M12" i="9"/>
  <c r="L6" i="9"/>
  <c r="L16" i="9"/>
  <c r="N13" i="9"/>
  <c r="N15" i="9" s="1"/>
  <c r="M37" i="9"/>
  <c r="L6" i="4"/>
  <c r="L38" i="4"/>
  <c r="G51" i="4"/>
  <c r="G52" i="4"/>
  <c r="H50" i="4"/>
  <c r="H44" i="4"/>
  <c r="H45" i="4"/>
  <c r="I9" i="4"/>
  <c r="I43" i="4"/>
  <c r="I48" i="4" s="1"/>
  <c r="K29" i="4"/>
  <c r="J8" i="4"/>
  <c r="K7" i="4"/>
  <c r="M12" i="4"/>
  <c r="L16" i="4"/>
  <c r="L19" i="4"/>
  <c r="L20" i="4" s="1"/>
  <c r="L5" i="4" s="1"/>
  <c r="O14" i="11" l="1"/>
  <c r="O38" i="11" s="1"/>
  <c r="N38" i="11"/>
  <c r="AQ53" i="10"/>
  <c r="AV7" i="10"/>
  <c r="AV17" i="10"/>
  <c r="AW13" i="10"/>
  <c r="AV20" i="10"/>
  <c r="AV21" i="10" s="1"/>
  <c r="AV39" i="10"/>
  <c r="AR49" i="10"/>
  <c r="AR51" i="10" s="1"/>
  <c r="AR53" i="10" s="1"/>
  <c r="AR46" i="10"/>
  <c r="AU8" i="10"/>
  <c r="AU6" i="10"/>
  <c r="AU30" i="10"/>
  <c r="AU29" i="10" s="1"/>
  <c r="AU40" i="10" s="1"/>
  <c r="AU35" i="10" s="1"/>
  <c r="AU42" i="10" s="1"/>
  <c r="AS10" i="10"/>
  <c r="AS44" i="10"/>
  <c r="AT9" i="10"/>
  <c r="AX16" i="10"/>
  <c r="G51" i="9"/>
  <c r="H44" i="9"/>
  <c r="H48" i="9"/>
  <c r="H50" i="9" s="1"/>
  <c r="H52" i="9" s="1"/>
  <c r="I43" i="9"/>
  <c r="I45" i="9" s="1"/>
  <c r="J34" i="9"/>
  <c r="J41" i="9" s="1"/>
  <c r="N38" i="13"/>
  <c r="O14" i="13"/>
  <c r="N16" i="13"/>
  <c r="O16" i="13" s="1"/>
  <c r="L9" i="13"/>
  <c r="L44" i="13" s="1"/>
  <c r="K10" i="13"/>
  <c r="K44" i="13"/>
  <c r="M6" i="13"/>
  <c r="M30" i="13"/>
  <c r="M29" i="13" s="1"/>
  <c r="M40" i="13" s="1"/>
  <c r="M35" i="13" s="1"/>
  <c r="M42" i="13" s="1"/>
  <c r="M8" i="13"/>
  <c r="J46" i="13"/>
  <c r="J45" i="13"/>
  <c r="J49" i="13"/>
  <c r="J51" i="13" s="1"/>
  <c r="N39" i="13"/>
  <c r="N20" i="13"/>
  <c r="N21" i="13" s="1"/>
  <c r="O13" i="13"/>
  <c r="N7" i="13"/>
  <c r="J10" i="11"/>
  <c r="N16" i="11"/>
  <c r="K9" i="11"/>
  <c r="L6" i="11"/>
  <c r="L8" i="11"/>
  <c r="N13" i="11"/>
  <c r="N39" i="11" s="1"/>
  <c r="M7" i="11"/>
  <c r="M20" i="11"/>
  <c r="M21" i="11" s="1"/>
  <c r="M40" i="11" s="1"/>
  <c r="M17" i="11"/>
  <c r="K28" i="4"/>
  <c r="K39" i="4" s="1"/>
  <c r="K34" i="4" s="1"/>
  <c r="K41" i="4" s="1"/>
  <c r="K39" i="9"/>
  <c r="N16" i="10"/>
  <c r="K9" i="10"/>
  <c r="M20" i="10"/>
  <c r="M21" i="10" s="1"/>
  <c r="M39" i="10"/>
  <c r="N13" i="10"/>
  <c r="M7" i="10"/>
  <c r="M17" i="10"/>
  <c r="O16" i="10"/>
  <c r="L6" i="10"/>
  <c r="L30" i="10"/>
  <c r="L29" i="10" s="1"/>
  <c r="L8" i="10"/>
  <c r="J10" i="10"/>
  <c r="O14" i="10"/>
  <c r="N38" i="10"/>
  <c r="J9" i="9"/>
  <c r="L5" i="9"/>
  <c r="L29" i="9"/>
  <c r="L28" i="9" s="1"/>
  <c r="L7" i="9"/>
  <c r="K8" i="9"/>
  <c r="O13" i="9"/>
  <c r="N37" i="9"/>
  <c r="M19" i="9"/>
  <c r="M20" i="9" s="1"/>
  <c r="M38" i="9"/>
  <c r="N12" i="9"/>
  <c r="M6" i="9"/>
  <c r="M16" i="9"/>
  <c r="M6" i="4"/>
  <c r="M38" i="4"/>
  <c r="H51" i="4"/>
  <c r="H52" i="4"/>
  <c r="I50" i="4"/>
  <c r="I44" i="4"/>
  <c r="I45" i="4"/>
  <c r="J9" i="4"/>
  <c r="J43" i="4"/>
  <c r="J48" i="4" s="1"/>
  <c r="L29" i="4"/>
  <c r="K8" i="4"/>
  <c r="L7" i="4"/>
  <c r="N12" i="4"/>
  <c r="M16" i="4"/>
  <c r="M19" i="4"/>
  <c r="M20" i="4" s="1"/>
  <c r="M5" i="4" s="1"/>
  <c r="AU9" i="10" l="1"/>
  <c r="AU44" i="10" s="1"/>
  <c r="AV8" i="10"/>
  <c r="AV6" i="10"/>
  <c r="AV30" i="10"/>
  <c r="AV29" i="10" s="1"/>
  <c r="AV40" i="10" s="1"/>
  <c r="AV35" i="10" s="1"/>
  <c r="AV42" i="10" s="1"/>
  <c r="AW7" i="10"/>
  <c r="AW17" i="10"/>
  <c r="AX13" i="10"/>
  <c r="AW20" i="10"/>
  <c r="AW21" i="10" s="1"/>
  <c r="AW39" i="10"/>
  <c r="AT10" i="10"/>
  <c r="AT44" i="10"/>
  <c r="AS49" i="10"/>
  <c r="AS51" i="10" s="1"/>
  <c r="AS53" i="10" s="1"/>
  <c r="AS46" i="10"/>
  <c r="L10" i="13"/>
  <c r="H51" i="9"/>
  <c r="I48" i="9"/>
  <c r="I50" i="9" s="1"/>
  <c r="I52" i="9" s="1"/>
  <c r="I44" i="9"/>
  <c r="J43" i="9"/>
  <c r="J48" i="9" s="1"/>
  <c r="J50" i="9" s="1"/>
  <c r="J52" i="9" s="1"/>
  <c r="K34" i="9"/>
  <c r="K41" i="9" s="1"/>
  <c r="P14" i="13"/>
  <c r="O38" i="13"/>
  <c r="N17" i="13"/>
  <c r="J53" i="13"/>
  <c r="J52" i="13"/>
  <c r="M9" i="13"/>
  <c r="N6" i="13"/>
  <c r="N30" i="13"/>
  <c r="N29" i="13" s="1"/>
  <c r="N40" i="13" s="1"/>
  <c r="N35" i="13" s="1"/>
  <c r="N42" i="13" s="1"/>
  <c r="N8" i="13"/>
  <c r="O39" i="13"/>
  <c r="O20" i="13"/>
  <c r="O21" i="13" s="1"/>
  <c r="P13" i="13"/>
  <c r="O7" i="13"/>
  <c r="O17" i="13"/>
  <c r="K46" i="13"/>
  <c r="K45" i="13"/>
  <c r="L45" i="13" s="1"/>
  <c r="K49" i="13"/>
  <c r="K51" i="13" s="1"/>
  <c r="K53" i="13" s="1"/>
  <c r="L49" i="13"/>
  <c r="L51" i="13" s="1"/>
  <c r="L53" i="13" s="1"/>
  <c r="L46" i="13"/>
  <c r="N17" i="11"/>
  <c r="N20" i="11"/>
  <c r="N21" i="11" s="1"/>
  <c r="N40" i="11" s="1"/>
  <c r="N7" i="11"/>
  <c r="O13" i="11"/>
  <c r="O39" i="11" s="1"/>
  <c r="O16" i="11"/>
  <c r="K10" i="11"/>
  <c r="L9" i="11"/>
  <c r="P14" i="11"/>
  <c r="P38" i="11" s="1"/>
  <c r="M6" i="11"/>
  <c r="M8" i="11"/>
  <c r="L28" i="4"/>
  <c r="L39" i="4" s="1"/>
  <c r="L34" i="4" s="1"/>
  <c r="L41" i="4" s="1"/>
  <c r="L39" i="9"/>
  <c r="L9" i="10"/>
  <c r="N20" i="10"/>
  <c r="N21" i="10" s="1"/>
  <c r="N39" i="10"/>
  <c r="O13" i="10"/>
  <c r="N7" i="10"/>
  <c r="N17" i="10"/>
  <c r="M6" i="10"/>
  <c r="M30" i="10"/>
  <c r="M29" i="10" s="1"/>
  <c r="M8" i="10"/>
  <c r="K10" i="10"/>
  <c r="P14" i="10"/>
  <c r="P16" i="10" s="1"/>
  <c r="O38" i="10"/>
  <c r="M29" i="9"/>
  <c r="M28" i="9" s="1"/>
  <c r="M7" i="9"/>
  <c r="M5" i="9"/>
  <c r="K9" i="9"/>
  <c r="P13" i="9"/>
  <c r="O37" i="9"/>
  <c r="L8" i="9"/>
  <c r="N19" i="9"/>
  <c r="N20" i="9" s="1"/>
  <c r="N38" i="9"/>
  <c r="N6" i="9"/>
  <c r="O12" i="9"/>
  <c r="N16" i="9"/>
  <c r="O15" i="9"/>
  <c r="N6" i="4"/>
  <c r="N38" i="4"/>
  <c r="I51" i="4"/>
  <c r="I52" i="4"/>
  <c r="J50" i="4"/>
  <c r="J44" i="4"/>
  <c r="J45" i="4"/>
  <c r="K9" i="4"/>
  <c r="K43" i="4"/>
  <c r="K48" i="4" s="1"/>
  <c r="M29" i="4"/>
  <c r="L8" i="4"/>
  <c r="M7" i="4"/>
  <c r="O12" i="4"/>
  <c r="N16" i="4"/>
  <c r="N19" i="4"/>
  <c r="N20" i="4" s="1"/>
  <c r="N5" i="4" s="1"/>
  <c r="AU10" i="10" l="1"/>
  <c r="AV9" i="10"/>
  <c r="AV10" i="10" s="1"/>
  <c r="AW8" i="10"/>
  <c r="AW6" i="10"/>
  <c r="AW30" i="10"/>
  <c r="AW29" i="10" s="1"/>
  <c r="AW40" i="10" s="1"/>
  <c r="AW35" i="10" s="1"/>
  <c r="AW42" i="10" s="1"/>
  <c r="AT49" i="10"/>
  <c r="AT51" i="10" s="1"/>
  <c r="AT53" i="10" s="1"/>
  <c r="AT46" i="10"/>
  <c r="AX7" i="10"/>
  <c r="AX17" i="10"/>
  <c r="AX20" i="10"/>
  <c r="AX21" i="10" s="1"/>
  <c r="AX39" i="10"/>
  <c r="AU46" i="10"/>
  <c r="AU49" i="10"/>
  <c r="AU51" i="10" s="1"/>
  <c r="AU53" i="10" s="1"/>
  <c r="K43" i="9"/>
  <c r="K45" i="9" s="1"/>
  <c r="I51" i="9"/>
  <c r="J51" i="9" s="1"/>
  <c r="J45" i="9"/>
  <c r="J44" i="9"/>
  <c r="L34" i="9"/>
  <c r="L41" i="9" s="1"/>
  <c r="Q14" i="13"/>
  <c r="P38" i="13"/>
  <c r="P16" i="13"/>
  <c r="O30" i="13"/>
  <c r="O29" i="13" s="1"/>
  <c r="O40" i="13" s="1"/>
  <c r="O35" i="13" s="1"/>
  <c r="O42" i="13" s="1"/>
  <c r="O6" i="13"/>
  <c r="O8" i="13"/>
  <c r="N9" i="13"/>
  <c r="M10" i="13"/>
  <c r="M44" i="13"/>
  <c r="K52" i="13"/>
  <c r="L52" i="13" s="1"/>
  <c r="P39" i="13"/>
  <c r="P20" i="13"/>
  <c r="P21" i="13" s="1"/>
  <c r="Q13" i="13"/>
  <c r="P7" i="13"/>
  <c r="P17" i="13"/>
  <c r="L10" i="11"/>
  <c r="O20" i="11"/>
  <c r="O21" i="11" s="1"/>
  <c r="O40" i="11" s="1"/>
  <c r="O17" i="11"/>
  <c r="P13" i="11"/>
  <c r="P39" i="11" s="1"/>
  <c r="O7" i="11"/>
  <c r="Q14" i="11"/>
  <c r="Q38" i="11" s="1"/>
  <c r="N8" i="11"/>
  <c r="N6" i="11"/>
  <c r="P16" i="11"/>
  <c r="M9" i="11"/>
  <c r="M28" i="4"/>
  <c r="M39" i="4" s="1"/>
  <c r="M34" i="4" s="1"/>
  <c r="M41" i="4" s="1"/>
  <c r="M39" i="9"/>
  <c r="L10" i="10"/>
  <c r="M9" i="10"/>
  <c r="N30" i="10"/>
  <c r="N29" i="10" s="1"/>
  <c r="N8" i="10"/>
  <c r="N6" i="10"/>
  <c r="O39" i="10"/>
  <c r="P13" i="10"/>
  <c r="O7" i="10"/>
  <c r="O17" i="10"/>
  <c r="O20" i="10"/>
  <c r="O21" i="10" s="1"/>
  <c r="Q14" i="10"/>
  <c r="Q16" i="10" s="1"/>
  <c r="P38" i="10"/>
  <c r="M8" i="9"/>
  <c r="M9" i="9" s="1"/>
  <c r="O38" i="9"/>
  <c r="P12" i="9"/>
  <c r="O6" i="9"/>
  <c r="O16" i="9"/>
  <c r="O19" i="9"/>
  <c r="O20" i="9" s="1"/>
  <c r="N29" i="9"/>
  <c r="N28" i="9" s="1"/>
  <c r="N7" i="9"/>
  <c r="N5" i="9"/>
  <c r="Q13" i="9"/>
  <c r="P37" i="9"/>
  <c r="L9" i="9"/>
  <c r="P15" i="9"/>
  <c r="O6" i="4"/>
  <c r="O38" i="4"/>
  <c r="J51" i="4"/>
  <c r="J52" i="4"/>
  <c r="K50" i="4"/>
  <c r="K44" i="4"/>
  <c r="K45" i="4"/>
  <c r="L9" i="4"/>
  <c r="L43" i="4"/>
  <c r="L48" i="4" s="1"/>
  <c r="N29" i="4"/>
  <c r="M8" i="4"/>
  <c r="N7" i="4"/>
  <c r="P12" i="4"/>
  <c r="O16" i="4"/>
  <c r="O19" i="4"/>
  <c r="O20" i="4" s="1"/>
  <c r="O5" i="4" s="1"/>
  <c r="AV44" i="10" l="1"/>
  <c r="AW9" i="10"/>
  <c r="AW10" i="10" s="1"/>
  <c r="AV46" i="10"/>
  <c r="AV49" i="10"/>
  <c r="AV51" i="10" s="1"/>
  <c r="AV53" i="10" s="1"/>
  <c r="AX8" i="10"/>
  <c r="AX6" i="10"/>
  <c r="AX30" i="10"/>
  <c r="AX29" i="10" s="1"/>
  <c r="AX40" i="10" s="1"/>
  <c r="AX35" i="10" s="1"/>
  <c r="AX42" i="10" s="1"/>
  <c r="K48" i="9"/>
  <c r="K50" i="9" s="1"/>
  <c r="K51" i="9" s="1"/>
  <c r="K44" i="9"/>
  <c r="L43" i="9"/>
  <c r="L48" i="9" s="1"/>
  <c r="L50" i="9" s="1"/>
  <c r="L52" i="9" s="1"/>
  <c r="M34" i="9"/>
  <c r="M41" i="9" s="1"/>
  <c r="N9" i="10"/>
  <c r="N10" i="10" s="1"/>
  <c r="Q16" i="13"/>
  <c r="R14" i="13"/>
  <c r="Q38" i="13"/>
  <c r="Q39" i="13"/>
  <c r="Q20" i="13"/>
  <c r="Q21" i="13" s="1"/>
  <c r="R13" i="13"/>
  <c r="Q7" i="13"/>
  <c r="Q17" i="13"/>
  <c r="P6" i="13"/>
  <c r="P30" i="13"/>
  <c r="P29" i="13" s="1"/>
  <c r="P40" i="13" s="1"/>
  <c r="P35" i="13" s="1"/>
  <c r="P42" i="13" s="1"/>
  <c r="P8" i="13"/>
  <c r="N10" i="13"/>
  <c r="N44" i="13"/>
  <c r="O9" i="13"/>
  <c r="M45" i="13"/>
  <c r="M49" i="13"/>
  <c r="M51" i="13" s="1"/>
  <c r="M46" i="13"/>
  <c r="N9" i="11"/>
  <c r="P20" i="11"/>
  <c r="P21" i="11" s="1"/>
  <c r="P40" i="11" s="1"/>
  <c r="P17" i="11"/>
  <c r="P7" i="11"/>
  <c r="Q13" i="11"/>
  <c r="Q39" i="11" s="1"/>
  <c r="O6" i="11"/>
  <c r="O8" i="11"/>
  <c r="R14" i="11"/>
  <c r="R38" i="11" s="1"/>
  <c r="Q16" i="11"/>
  <c r="M10" i="11"/>
  <c r="N28" i="4"/>
  <c r="N39" i="4" s="1"/>
  <c r="N34" i="4" s="1"/>
  <c r="N41" i="4" s="1"/>
  <c r="N39" i="9"/>
  <c r="P39" i="10"/>
  <c r="Q13" i="10"/>
  <c r="P7" i="10"/>
  <c r="P17" i="10"/>
  <c r="P20" i="10"/>
  <c r="P21" i="10" s="1"/>
  <c r="M10" i="10"/>
  <c r="R14" i="10"/>
  <c r="Q38" i="10"/>
  <c r="O30" i="10"/>
  <c r="O29" i="10" s="1"/>
  <c r="O8" i="10"/>
  <c r="O6" i="10"/>
  <c r="N8" i="9"/>
  <c r="N9" i="9" s="1"/>
  <c r="R13" i="9"/>
  <c r="Q37" i="9"/>
  <c r="Q15" i="9"/>
  <c r="R15" i="9" s="1"/>
  <c r="P38" i="9"/>
  <c r="Q12" i="9"/>
  <c r="P6" i="9"/>
  <c r="P16" i="9"/>
  <c r="P19" i="9"/>
  <c r="P20" i="9" s="1"/>
  <c r="O29" i="9"/>
  <c r="O28" i="9" s="1"/>
  <c r="O7" i="9"/>
  <c r="O5" i="9"/>
  <c r="P6" i="4"/>
  <c r="P38" i="4"/>
  <c r="K51" i="4"/>
  <c r="K52" i="4"/>
  <c r="L50" i="4"/>
  <c r="L44" i="4"/>
  <c r="L45" i="4"/>
  <c r="M9" i="4"/>
  <c r="M43" i="4"/>
  <c r="M48" i="4" s="1"/>
  <c r="O29" i="4"/>
  <c r="N8" i="4"/>
  <c r="O7" i="4"/>
  <c r="Q12" i="4"/>
  <c r="P16" i="4"/>
  <c r="P19" i="4"/>
  <c r="P20" i="4" s="1"/>
  <c r="AX9" i="10" l="1"/>
  <c r="AX10" i="10" s="1"/>
  <c r="AW44" i="10"/>
  <c r="AW46" i="10" s="1"/>
  <c r="K52" i="9"/>
  <c r="N10" i="11"/>
  <c r="M43" i="9"/>
  <c r="M45" i="9" s="1"/>
  <c r="L44" i="9"/>
  <c r="L45" i="9"/>
  <c r="N34" i="9"/>
  <c r="N41" i="9" s="1"/>
  <c r="R16" i="11"/>
  <c r="R38" i="13"/>
  <c r="S14" i="13"/>
  <c r="R16" i="13"/>
  <c r="S16" i="13" s="1"/>
  <c r="M53" i="13"/>
  <c r="M52" i="13"/>
  <c r="N45" i="13"/>
  <c r="N49" i="13"/>
  <c r="N51" i="13" s="1"/>
  <c r="N46" i="13"/>
  <c r="R39" i="13"/>
  <c r="R20" i="13"/>
  <c r="R21" i="13" s="1"/>
  <c r="S13" i="13"/>
  <c r="R7" i="13"/>
  <c r="R17" i="13"/>
  <c r="O10" i="13"/>
  <c r="O44" i="13"/>
  <c r="Q6" i="13"/>
  <c r="Q30" i="13"/>
  <c r="Q29" i="13" s="1"/>
  <c r="Q40" i="13" s="1"/>
  <c r="Q35" i="13" s="1"/>
  <c r="Q42" i="13" s="1"/>
  <c r="Q8" i="13"/>
  <c r="P9" i="13"/>
  <c r="O9" i="11"/>
  <c r="S14" i="11"/>
  <c r="S38" i="11" s="1"/>
  <c r="Q20" i="11"/>
  <c r="Q21" i="11" s="1"/>
  <c r="Q40" i="11" s="1"/>
  <c r="R13" i="11"/>
  <c r="R39" i="11" s="1"/>
  <c r="Q7" i="11"/>
  <c r="Q17" i="11"/>
  <c r="P8" i="11"/>
  <c r="P6" i="11"/>
  <c r="O28" i="4"/>
  <c r="O39" i="4" s="1"/>
  <c r="O34" i="4" s="1"/>
  <c r="O41" i="4" s="1"/>
  <c r="O39" i="9"/>
  <c r="O8" i="9"/>
  <c r="O9" i="9" s="1"/>
  <c r="S14" i="10"/>
  <c r="R38" i="10"/>
  <c r="P30" i="10"/>
  <c r="P29" i="10" s="1"/>
  <c r="P8" i="10"/>
  <c r="P6" i="10"/>
  <c r="Q39" i="10"/>
  <c r="R13" i="10"/>
  <c r="Q7" i="10"/>
  <c r="Q17" i="10"/>
  <c r="Q20" i="10"/>
  <c r="Q21" i="10" s="1"/>
  <c r="O9" i="10"/>
  <c r="R16" i="10"/>
  <c r="S16" i="10" s="1"/>
  <c r="Q38" i="9"/>
  <c r="Q6" i="9"/>
  <c r="R12" i="9"/>
  <c r="Q16" i="9"/>
  <c r="Q19" i="9"/>
  <c r="Q20" i="9" s="1"/>
  <c r="P29" i="9"/>
  <c r="P7" i="9"/>
  <c r="P5" i="9"/>
  <c r="L51" i="9"/>
  <c r="S13" i="9"/>
  <c r="S15" i="9" s="1"/>
  <c r="R37" i="9"/>
  <c r="P5" i="4"/>
  <c r="Q6" i="4"/>
  <c r="Q38" i="4"/>
  <c r="L51" i="4"/>
  <c r="L52" i="4"/>
  <c r="M50" i="4"/>
  <c r="M44" i="4"/>
  <c r="M45" i="4"/>
  <c r="N9" i="4"/>
  <c r="N43" i="4"/>
  <c r="N48" i="4" s="1"/>
  <c r="P29" i="4"/>
  <c r="O8" i="4"/>
  <c r="P7" i="4"/>
  <c r="R12" i="4"/>
  <c r="Q16" i="4"/>
  <c r="Q19" i="4"/>
  <c r="Q20" i="4" s="1"/>
  <c r="AX44" i="10" l="1"/>
  <c r="AW49" i="10"/>
  <c r="AW51" i="10" s="1"/>
  <c r="AW53" i="10" s="1"/>
  <c r="AX46" i="10"/>
  <c r="AX49" i="10"/>
  <c r="AX51" i="10" s="1"/>
  <c r="M48" i="9"/>
  <c r="M50" i="9" s="1"/>
  <c r="M52" i="9" s="1"/>
  <c r="M44" i="9"/>
  <c r="N43" i="9"/>
  <c r="N45" i="9" s="1"/>
  <c r="O34" i="9"/>
  <c r="O41" i="9" s="1"/>
  <c r="S16" i="11"/>
  <c r="T14" i="13"/>
  <c r="S38" i="13"/>
  <c r="N53" i="13"/>
  <c r="D58" i="13"/>
  <c r="O45" i="13"/>
  <c r="O49" i="13"/>
  <c r="O51" i="13" s="1"/>
  <c r="O46" i="13"/>
  <c r="R30" i="13"/>
  <c r="R29" i="13" s="1"/>
  <c r="R40" i="13" s="1"/>
  <c r="R35" i="13" s="1"/>
  <c r="R42" i="13" s="1"/>
  <c r="R8" i="13"/>
  <c r="R6" i="13"/>
  <c r="T13" i="13"/>
  <c r="S7" i="13"/>
  <c r="S17" i="13"/>
  <c r="S39" i="13"/>
  <c r="S20" i="13"/>
  <c r="S21" i="13" s="1"/>
  <c r="P10" i="13"/>
  <c r="P44" i="13"/>
  <c r="N52" i="13"/>
  <c r="Q9" i="13"/>
  <c r="P9" i="11"/>
  <c r="O10" i="11"/>
  <c r="Q6" i="11"/>
  <c r="Q8" i="11"/>
  <c r="T14" i="11"/>
  <c r="T38" i="11" s="1"/>
  <c r="P9" i="10"/>
  <c r="P10" i="10" s="1"/>
  <c r="R20" i="11"/>
  <c r="R21" i="11" s="1"/>
  <c r="R40" i="11" s="1"/>
  <c r="S13" i="11"/>
  <c r="S39" i="11" s="1"/>
  <c r="R7" i="11"/>
  <c r="R17" i="11"/>
  <c r="P28" i="4"/>
  <c r="P39" i="4" s="1"/>
  <c r="P34" i="4" s="1"/>
  <c r="P41" i="4" s="1"/>
  <c r="P28" i="9"/>
  <c r="P39" i="9" s="1"/>
  <c r="T14" i="10"/>
  <c r="S38" i="10"/>
  <c r="T16" i="10"/>
  <c r="O10" i="10"/>
  <c r="Q30" i="10"/>
  <c r="Q29" i="10" s="1"/>
  <c r="Q8" i="10"/>
  <c r="Q6" i="10"/>
  <c r="R39" i="10"/>
  <c r="R7" i="10"/>
  <c r="S13" i="10"/>
  <c r="R17" i="10"/>
  <c r="R20" i="10"/>
  <c r="R21" i="10" s="1"/>
  <c r="P8" i="9"/>
  <c r="Q29" i="9"/>
  <c r="Q28" i="9" s="1"/>
  <c r="Q7" i="9"/>
  <c r="Q5" i="9"/>
  <c r="R38" i="9"/>
  <c r="R16" i="9"/>
  <c r="S12" i="9"/>
  <c r="R6" i="9"/>
  <c r="R19" i="9"/>
  <c r="R20" i="9" s="1"/>
  <c r="T13" i="9"/>
  <c r="S37" i="9"/>
  <c r="Q5" i="4"/>
  <c r="R6" i="4"/>
  <c r="R38" i="4"/>
  <c r="M51" i="4"/>
  <c r="M52" i="4"/>
  <c r="N50" i="4"/>
  <c r="D57" i="4" s="1"/>
  <c r="N44" i="4"/>
  <c r="N45" i="4"/>
  <c r="O9" i="4"/>
  <c r="O43" i="4"/>
  <c r="O48" i="4" s="1"/>
  <c r="Q29" i="4"/>
  <c r="P8" i="4"/>
  <c r="Q7" i="4"/>
  <c r="S12" i="4"/>
  <c r="R16" i="4"/>
  <c r="R19" i="4"/>
  <c r="R20" i="4" s="1"/>
  <c r="AX53" i="10" l="1"/>
  <c r="G58" i="10"/>
  <c r="P10" i="11"/>
  <c r="M51" i="9"/>
  <c r="O43" i="9"/>
  <c r="O48" i="9" s="1"/>
  <c r="O50" i="9" s="1"/>
  <c r="O52" i="9" s="1"/>
  <c r="N44" i="9"/>
  <c r="N48" i="9"/>
  <c r="N50" i="9" s="1"/>
  <c r="N52" i="9" s="1"/>
  <c r="P34" i="9"/>
  <c r="P41" i="9" s="1"/>
  <c r="R9" i="13"/>
  <c r="R44" i="13" s="1"/>
  <c r="T16" i="13"/>
  <c r="T38" i="13"/>
  <c r="U14" i="13"/>
  <c r="O53" i="13"/>
  <c r="O52" i="13"/>
  <c r="P49" i="13"/>
  <c r="P51" i="13" s="1"/>
  <c r="P46" i="13"/>
  <c r="P45" i="13"/>
  <c r="T7" i="13"/>
  <c r="T17" i="13"/>
  <c r="T39" i="13"/>
  <c r="T20" i="13"/>
  <c r="T21" i="13" s="1"/>
  <c r="Q10" i="13"/>
  <c r="Q44" i="13"/>
  <c r="S8" i="13"/>
  <c r="S6" i="13"/>
  <c r="S30" i="13"/>
  <c r="S29" i="13" s="1"/>
  <c r="S40" i="13" s="1"/>
  <c r="S35" i="13" s="1"/>
  <c r="S42" i="13" s="1"/>
  <c r="U14" i="11"/>
  <c r="U38" i="11" s="1"/>
  <c r="T13" i="11"/>
  <c r="T39" i="11" s="1"/>
  <c r="S7" i="11"/>
  <c r="S17" i="11"/>
  <c r="S20" i="11"/>
  <c r="S21" i="11" s="1"/>
  <c r="S40" i="11" s="1"/>
  <c r="T16" i="11"/>
  <c r="R8" i="11"/>
  <c r="R6" i="11"/>
  <c r="Q9" i="11"/>
  <c r="Q28" i="4"/>
  <c r="Q39" i="4" s="1"/>
  <c r="Q34" i="4" s="1"/>
  <c r="Q41" i="4" s="1"/>
  <c r="Q8" i="9"/>
  <c r="Q9" i="9" s="1"/>
  <c r="Q39" i="9"/>
  <c r="Q9" i="10"/>
  <c r="Q10" i="10" s="1"/>
  <c r="U14" i="10"/>
  <c r="T38" i="10"/>
  <c r="R30" i="10"/>
  <c r="R29" i="10" s="1"/>
  <c r="R8" i="10"/>
  <c r="R6" i="10"/>
  <c r="T13" i="10"/>
  <c r="S7" i="10"/>
  <c r="S17" i="10"/>
  <c r="S20" i="10"/>
  <c r="S21" i="10" s="1"/>
  <c r="S39" i="10"/>
  <c r="U13" i="9"/>
  <c r="T37" i="9"/>
  <c r="R29" i="9"/>
  <c r="R7" i="9"/>
  <c r="R5" i="9"/>
  <c r="P9" i="9"/>
  <c r="T15" i="9"/>
  <c r="T12" i="9"/>
  <c r="S6" i="9"/>
  <c r="S16" i="9"/>
  <c r="S19" i="9"/>
  <c r="S20" i="9" s="1"/>
  <c r="S38" i="9"/>
  <c r="R5" i="4"/>
  <c r="S6" i="4"/>
  <c r="S38" i="4"/>
  <c r="N51" i="4"/>
  <c r="N52" i="4"/>
  <c r="O50" i="4"/>
  <c r="O44" i="4"/>
  <c r="O45" i="4"/>
  <c r="P9" i="4"/>
  <c r="P43" i="4"/>
  <c r="P48" i="4" s="1"/>
  <c r="R29" i="4"/>
  <c r="R28" i="4" s="1"/>
  <c r="R39" i="4" s="1"/>
  <c r="R34" i="4" s="1"/>
  <c r="Q8" i="4"/>
  <c r="R7" i="4"/>
  <c r="T12" i="4"/>
  <c r="S16" i="4"/>
  <c r="S19" i="4"/>
  <c r="S20" i="4" s="1"/>
  <c r="P43" i="9" l="1"/>
  <c r="P48" i="9" s="1"/>
  <c r="P50" i="9" s="1"/>
  <c r="O44" i="9"/>
  <c r="O45" i="9"/>
  <c r="D57" i="9"/>
  <c r="N51" i="9"/>
  <c r="O51" i="9" s="1"/>
  <c r="Q34" i="9"/>
  <c r="Q41" i="9" s="1"/>
  <c r="R10" i="13"/>
  <c r="S9" i="13"/>
  <c r="S44" i="13" s="1"/>
  <c r="U16" i="11"/>
  <c r="V14" i="13"/>
  <c r="U38" i="13"/>
  <c r="U16" i="13"/>
  <c r="V16" i="13" s="1"/>
  <c r="U13" i="13"/>
  <c r="V13" i="13" s="1"/>
  <c r="P53" i="13"/>
  <c r="R49" i="13"/>
  <c r="R51" i="13" s="1"/>
  <c r="R53" i="13" s="1"/>
  <c r="R46" i="13"/>
  <c r="P52" i="13"/>
  <c r="Q49" i="13"/>
  <c r="Q51" i="13" s="1"/>
  <c r="Q46" i="13"/>
  <c r="Q45" i="13"/>
  <c r="R45" i="13" s="1"/>
  <c r="U7" i="13"/>
  <c r="U17" i="13"/>
  <c r="U39" i="13"/>
  <c r="U20" i="13"/>
  <c r="U21" i="13" s="1"/>
  <c r="T8" i="13"/>
  <c r="T6" i="13"/>
  <c r="T30" i="13"/>
  <c r="T29" i="13" s="1"/>
  <c r="T40" i="13" s="1"/>
  <c r="T35" i="13" s="1"/>
  <c r="T42" i="13" s="1"/>
  <c r="R9" i="11"/>
  <c r="U13" i="11"/>
  <c r="U39" i="11" s="1"/>
  <c r="T17" i="11"/>
  <c r="T20" i="11"/>
  <c r="T21" i="11" s="1"/>
  <c r="T40" i="11" s="1"/>
  <c r="T7" i="11"/>
  <c r="S8" i="11"/>
  <c r="S6" i="11"/>
  <c r="Q10" i="11"/>
  <c r="V14" i="11"/>
  <c r="V38" i="11" s="1"/>
  <c r="R41" i="4"/>
  <c r="R28" i="9"/>
  <c r="R39" i="9" s="1"/>
  <c r="R9" i="10"/>
  <c r="R10" i="10" s="1"/>
  <c r="R8" i="9"/>
  <c r="R9" i="9" s="1"/>
  <c r="V14" i="10"/>
  <c r="U38" i="10"/>
  <c r="S8" i="10"/>
  <c r="S6" i="10"/>
  <c r="S30" i="10"/>
  <c r="S29" i="10" s="1"/>
  <c r="U16" i="10"/>
  <c r="V16" i="10" s="1"/>
  <c r="U13" i="10"/>
  <c r="T7" i="10"/>
  <c r="T17" i="10"/>
  <c r="T20" i="10"/>
  <c r="T21" i="10" s="1"/>
  <c r="T39" i="10"/>
  <c r="V13" i="9"/>
  <c r="U37" i="9"/>
  <c r="S7" i="9"/>
  <c r="S5" i="9"/>
  <c r="S29" i="9"/>
  <c r="S28" i="9" s="1"/>
  <c r="U15" i="9"/>
  <c r="V15" i="9" s="1"/>
  <c r="U12" i="9"/>
  <c r="T6" i="9"/>
  <c r="T16" i="9"/>
  <c r="T19" i="9"/>
  <c r="T20" i="9" s="1"/>
  <c r="T38" i="9"/>
  <c r="S5" i="4"/>
  <c r="T6" i="4"/>
  <c r="T38" i="4"/>
  <c r="O51" i="4"/>
  <c r="O52" i="4"/>
  <c r="P50" i="4"/>
  <c r="P44" i="4"/>
  <c r="P45" i="4"/>
  <c r="Q9" i="4"/>
  <c r="Q43" i="4"/>
  <c r="Q48" i="4" s="1"/>
  <c r="S29" i="4"/>
  <c r="R8" i="4"/>
  <c r="S7" i="4"/>
  <c r="U12" i="4"/>
  <c r="T16" i="4"/>
  <c r="T19" i="4"/>
  <c r="T20" i="4" s="1"/>
  <c r="Q43" i="9" l="1"/>
  <c r="Q45" i="9" s="1"/>
  <c r="P45" i="9"/>
  <c r="P44" i="9"/>
  <c r="R34" i="9"/>
  <c r="R41" i="9" s="1"/>
  <c r="S10" i="13"/>
  <c r="T9" i="13"/>
  <c r="T10" i="13" s="1"/>
  <c r="V38" i="13"/>
  <c r="W14" i="13"/>
  <c r="Q53" i="13"/>
  <c r="U8" i="13"/>
  <c r="U6" i="13"/>
  <c r="U30" i="13"/>
  <c r="U29" i="13" s="1"/>
  <c r="U40" i="13" s="1"/>
  <c r="U35" i="13" s="1"/>
  <c r="U42" i="13" s="1"/>
  <c r="S49" i="13"/>
  <c r="S51" i="13" s="1"/>
  <c r="S46" i="13"/>
  <c r="S45" i="13"/>
  <c r="W13" i="13"/>
  <c r="V7" i="13"/>
  <c r="V17" i="13"/>
  <c r="V39" i="13"/>
  <c r="V20" i="13"/>
  <c r="V21" i="13" s="1"/>
  <c r="Q52" i="13"/>
  <c r="R52" i="13" s="1"/>
  <c r="S9" i="11"/>
  <c r="R10" i="11"/>
  <c r="T8" i="11"/>
  <c r="T6" i="11"/>
  <c r="U17" i="11"/>
  <c r="V13" i="11"/>
  <c r="V39" i="11" s="1"/>
  <c r="U7" i="11"/>
  <c r="U20" i="11"/>
  <c r="U21" i="11" s="1"/>
  <c r="U40" i="11" s="1"/>
  <c r="W14" i="11"/>
  <c r="W38" i="11" s="1"/>
  <c r="V16" i="11"/>
  <c r="S8" i="9"/>
  <c r="S9" i="9" s="1"/>
  <c r="S28" i="4"/>
  <c r="S39" i="4" s="1"/>
  <c r="S34" i="4" s="1"/>
  <c r="S41" i="4" s="1"/>
  <c r="S39" i="9"/>
  <c r="S9" i="10"/>
  <c r="T8" i="10"/>
  <c r="T6" i="10"/>
  <c r="T30" i="10"/>
  <c r="T29" i="10" s="1"/>
  <c r="W16" i="10"/>
  <c r="V13" i="10"/>
  <c r="U7" i="10"/>
  <c r="U17" i="10"/>
  <c r="U20" i="10"/>
  <c r="U21" i="10" s="1"/>
  <c r="U39" i="10"/>
  <c r="V38" i="10"/>
  <c r="W14" i="10"/>
  <c r="P52" i="9"/>
  <c r="P51" i="9"/>
  <c r="T7" i="9"/>
  <c r="T5" i="9"/>
  <c r="T29" i="9"/>
  <c r="T28" i="9" s="1"/>
  <c r="V12" i="9"/>
  <c r="U6" i="9"/>
  <c r="U16" i="9"/>
  <c r="U19" i="9"/>
  <c r="U20" i="9" s="1"/>
  <c r="U38" i="9"/>
  <c r="V37" i="9"/>
  <c r="W13" i="9"/>
  <c r="T5" i="4"/>
  <c r="U6" i="4"/>
  <c r="U38" i="4"/>
  <c r="P51" i="4"/>
  <c r="P52" i="4"/>
  <c r="Q50" i="4"/>
  <c r="Q44" i="4"/>
  <c r="Q45" i="4"/>
  <c r="R9" i="4"/>
  <c r="R43" i="4"/>
  <c r="R48" i="4" s="1"/>
  <c r="T29" i="4"/>
  <c r="S8" i="4"/>
  <c r="T7" i="4"/>
  <c r="V12" i="4"/>
  <c r="U16" i="4"/>
  <c r="U19" i="4"/>
  <c r="U20" i="4" s="1"/>
  <c r="Q48" i="9" l="1"/>
  <c r="Q50" i="9" s="1"/>
  <c r="Q52" i="9" s="1"/>
  <c r="Q44" i="9"/>
  <c r="S10" i="11"/>
  <c r="R43" i="9"/>
  <c r="R48" i="9" s="1"/>
  <c r="R50" i="9" s="1"/>
  <c r="R52" i="9" s="1"/>
  <c r="S34" i="9"/>
  <c r="S41" i="9" s="1"/>
  <c r="T44" i="13"/>
  <c r="T49" i="13" s="1"/>
  <c r="T51" i="13" s="1"/>
  <c r="T53" i="13" s="1"/>
  <c r="U9" i="13"/>
  <c r="U44" i="13" s="1"/>
  <c r="W16" i="11"/>
  <c r="W38" i="13"/>
  <c r="X14" i="13"/>
  <c r="W16" i="13"/>
  <c r="S53" i="13"/>
  <c r="X13" i="13"/>
  <c r="W7" i="13"/>
  <c r="W17" i="13"/>
  <c r="W39" i="13"/>
  <c r="W20" i="13"/>
  <c r="W21" i="13" s="1"/>
  <c r="S52" i="13"/>
  <c r="V8" i="13"/>
  <c r="V6" i="13"/>
  <c r="V30" i="13"/>
  <c r="V29" i="13" s="1"/>
  <c r="V40" i="13" s="1"/>
  <c r="V35" i="13" s="1"/>
  <c r="V42" i="13" s="1"/>
  <c r="T9" i="11"/>
  <c r="X14" i="11"/>
  <c r="X38" i="11" s="1"/>
  <c r="U8" i="11"/>
  <c r="U6" i="11"/>
  <c r="W13" i="11"/>
  <c r="W39" i="11" s="1"/>
  <c r="V7" i="11"/>
  <c r="V17" i="11"/>
  <c r="V20" i="11"/>
  <c r="V21" i="11" s="1"/>
  <c r="V40" i="11" s="1"/>
  <c r="T9" i="10"/>
  <c r="T10" i="10" s="1"/>
  <c r="T28" i="4"/>
  <c r="T39" i="4" s="1"/>
  <c r="T34" i="4" s="1"/>
  <c r="T41" i="4" s="1"/>
  <c r="T39" i="9"/>
  <c r="S10" i="10"/>
  <c r="W13" i="10"/>
  <c r="V7" i="10"/>
  <c r="V17" i="10"/>
  <c r="V20" i="10"/>
  <c r="V21" i="10" s="1"/>
  <c r="V39" i="10"/>
  <c r="U8" i="10"/>
  <c r="U6" i="10"/>
  <c r="U30" i="10"/>
  <c r="U29" i="10" s="1"/>
  <c r="X14" i="10"/>
  <c r="X16" i="10" s="1"/>
  <c r="W38" i="10"/>
  <c r="U5" i="9"/>
  <c r="U29" i="9"/>
  <c r="U28" i="9" s="1"/>
  <c r="U7" i="9"/>
  <c r="W12" i="9"/>
  <c r="V6" i="9"/>
  <c r="V16" i="9"/>
  <c r="V19" i="9"/>
  <c r="V20" i="9" s="1"/>
  <c r="V38" i="9"/>
  <c r="X13" i="9"/>
  <c r="W37" i="9"/>
  <c r="W15" i="9"/>
  <c r="X15" i="9" s="1"/>
  <c r="T8" i="9"/>
  <c r="U5" i="4"/>
  <c r="V6" i="4"/>
  <c r="V38" i="4"/>
  <c r="Q51" i="4"/>
  <c r="Q52" i="4"/>
  <c r="R50" i="4"/>
  <c r="R44" i="4"/>
  <c r="R45" i="4"/>
  <c r="S9" i="4"/>
  <c r="S43" i="4"/>
  <c r="S48" i="4" s="1"/>
  <c r="U29" i="4"/>
  <c r="T8" i="4"/>
  <c r="U7" i="4"/>
  <c r="W12" i="4"/>
  <c r="V16" i="4"/>
  <c r="V19" i="4"/>
  <c r="V20" i="4" s="1"/>
  <c r="Q51" i="9" l="1"/>
  <c r="R51" i="9" s="1"/>
  <c r="T10" i="11"/>
  <c r="R45" i="9"/>
  <c r="S43" i="9"/>
  <c r="S48" i="9" s="1"/>
  <c r="S50" i="9" s="1"/>
  <c r="S52" i="9" s="1"/>
  <c r="R44" i="9"/>
  <c r="T34" i="9"/>
  <c r="T41" i="9" s="1"/>
  <c r="U10" i="13"/>
  <c r="T45" i="13"/>
  <c r="U45" i="13" s="1"/>
  <c r="T46" i="13"/>
  <c r="X16" i="13"/>
  <c r="Y14" i="13"/>
  <c r="X38" i="13"/>
  <c r="W8" i="13"/>
  <c r="W30" i="13"/>
  <c r="W29" i="13" s="1"/>
  <c r="W40" i="13" s="1"/>
  <c r="W35" i="13" s="1"/>
  <c r="W42" i="13" s="1"/>
  <c r="W6" i="13"/>
  <c r="T52" i="13"/>
  <c r="U49" i="13"/>
  <c r="U51" i="13" s="1"/>
  <c r="U53" i="13" s="1"/>
  <c r="U46" i="13"/>
  <c r="Y13" i="13"/>
  <c r="X7" i="13"/>
  <c r="X17" i="13"/>
  <c r="X39" i="13"/>
  <c r="X20" i="13"/>
  <c r="X21" i="13" s="1"/>
  <c r="V9" i="13"/>
  <c r="U9" i="11"/>
  <c r="X13" i="11"/>
  <c r="X39" i="11" s="1"/>
  <c r="W7" i="11"/>
  <c r="W17" i="11"/>
  <c r="W20" i="11"/>
  <c r="W21" i="11" s="1"/>
  <c r="W40" i="11" s="1"/>
  <c r="Y14" i="11"/>
  <c r="Y38" i="11" s="1"/>
  <c r="X16" i="11"/>
  <c r="V6" i="11"/>
  <c r="V8" i="11"/>
  <c r="U28" i="4"/>
  <c r="U39" i="4" s="1"/>
  <c r="U34" i="4" s="1"/>
  <c r="U41" i="4" s="1"/>
  <c r="U39" i="9"/>
  <c r="V6" i="10"/>
  <c r="V30" i="10"/>
  <c r="V29" i="10" s="1"/>
  <c r="V8" i="10"/>
  <c r="X13" i="10"/>
  <c r="W7" i="10"/>
  <c r="W17" i="10"/>
  <c r="W20" i="10"/>
  <c r="W21" i="10" s="1"/>
  <c r="W39" i="10"/>
  <c r="Y14" i="10"/>
  <c r="X38" i="10"/>
  <c r="U9" i="10"/>
  <c r="V5" i="9"/>
  <c r="V29" i="9"/>
  <c r="V28" i="9" s="1"/>
  <c r="V7" i="9"/>
  <c r="Y13" i="9"/>
  <c r="X37" i="9"/>
  <c r="X12" i="9"/>
  <c r="W6" i="9"/>
  <c r="W16" i="9"/>
  <c r="W19" i="9"/>
  <c r="W20" i="9" s="1"/>
  <c r="W38" i="9"/>
  <c r="U8" i="9"/>
  <c r="T9" i="9"/>
  <c r="V5" i="4"/>
  <c r="W6" i="4"/>
  <c r="W38" i="4"/>
  <c r="R51" i="4"/>
  <c r="R52" i="4"/>
  <c r="S50" i="4"/>
  <c r="S44" i="4"/>
  <c r="S45" i="4"/>
  <c r="T9" i="4"/>
  <c r="T43" i="4"/>
  <c r="T48" i="4" s="1"/>
  <c r="V29" i="4"/>
  <c r="U8" i="4"/>
  <c r="V7" i="4"/>
  <c r="X12" i="4"/>
  <c r="W16" i="4"/>
  <c r="W19" i="4"/>
  <c r="W20" i="4" s="1"/>
  <c r="U10" i="11" l="1"/>
  <c r="S51" i="9"/>
  <c r="S44" i="9"/>
  <c r="S45" i="9"/>
  <c r="T43" i="9"/>
  <c r="T45" i="9" s="1"/>
  <c r="U34" i="9"/>
  <c r="U41" i="9" s="1"/>
  <c r="W9" i="13"/>
  <c r="W44" i="13" s="1"/>
  <c r="Y16" i="11"/>
  <c r="Y38" i="13"/>
  <c r="Z14" i="13"/>
  <c r="Y16" i="13"/>
  <c r="Z16" i="13" s="1"/>
  <c r="Z13" i="13"/>
  <c r="Y7" i="13"/>
  <c r="Y17" i="13"/>
  <c r="Y39" i="13"/>
  <c r="Y20" i="13"/>
  <c r="Y21" i="13" s="1"/>
  <c r="U52" i="13"/>
  <c r="V10" i="13"/>
  <c r="V44" i="13"/>
  <c r="X8" i="13"/>
  <c r="X6" i="13"/>
  <c r="X30" i="13"/>
  <c r="X29" i="13" s="1"/>
  <c r="X40" i="13" s="1"/>
  <c r="X35" i="13" s="1"/>
  <c r="X42" i="13" s="1"/>
  <c r="Z14" i="11"/>
  <c r="Z38" i="11" s="1"/>
  <c r="W8" i="11"/>
  <c r="W6" i="11"/>
  <c r="Y13" i="11"/>
  <c r="Y39" i="11" s="1"/>
  <c r="X7" i="11"/>
  <c r="X17" i="11"/>
  <c r="X20" i="11"/>
  <c r="X21" i="11" s="1"/>
  <c r="X40" i="11" s="1"/>
  <c r="V9" i="11"/>
  <c r="V28" i="4"/>
  <c r="V39" i="4" s="1"/>
  <c r="V34" i="4" s="1"/>
  <c r="V41" i="4" s="1"/>
  <c r="V39" i="9"/>
  <c r="X7" i="10"/>
  <c r="Y13" i="10"/>
  <c r="X17" i="10"/>
  <c r="X20" i="10"/>
  <c r="X21" i="10" s="1"/>
  <c r="X39" i="10"/>
  <c r="Z14" i="10"/>
  <c r="Y38" i="10"/>
  <c r="W6" i="10"/>
  <c r="W30" i="10"/>
  <c r="W29" i="10" s="1"/>
  <c r="W8" i="10"/>
  <c r="U10" i="10"/>
  <c r="V9" i="10"/>
  <c r="Y16" i="10"/>
  <c r="Z13" i="9"/>
  <c r="Y37" i="9"/>
  <c r="W5" i="9"/>
  <c r="W29" i="9"/>
  <c r="W28" i="9" s="1"/>
  <c r="W7" i="9"/>
  <c r="U9" i="9"/>
  <c r="Y12" i="9"/>
  <c r="X6" i="9"/>
  <c r="X16" i="9"/>
  <c r="X19" i="9"/>
  <c r="X20" i="9" s="1"/>
  <c r="X38" i="9"/>
  <c r="V8" i="9"/>
  <c r="Y15" i="9"/>
  <c r="Z15" i="9" s="1"/>
  <c r="W5" i="4"/>
  <c r="X6" i="4"/>
  <c r="X38" i="4"/>
  <c r="S51" i="4"/>
  <c r="S52" i="4"/>
  <c r="T50" i="4"/>
  <c r="T44" i="4"/>
  <c r="T45" i="4"/>
  <c r="U9" i="4"/>
  <c r="U43" i="4"/>
  <c r="U48" i="4" s="1"/>
  <c r="W29" i="4"/>
  <c r="V8" i="4"/>
  <c r="W7" i="4"/>
  <c r="Y12" i="4"/>
  <c r="X16" i="4"/>
  <c r="X19" i="4"/>
  <c r="X20" i="4" s="1"/>
  <c r="W10" i="13" l="1"/>
  <c r="U43" i="9"/>
  <c r="U45" i="9" s="1"/>
  <c r="T44" i="9"/>
  <c r="T48" i="9"/>
  <c r="T50" i="9" s="1"/>
  <c r="V34" i="9"/>
  <c r="V41" i="9" s="1"/>
  <c r="Z16" i="11"/>
  <c r="Z38" i="13"/>
  <c r="AA14" i="13"/>
  <c r="X9" i="13"/>
  <c r="X10" i="13" s="1"/>
  <c r="W49" i="13"/>
  <c r="W51" i="13" s="1"/>
  <c r="W53" i="13" s="1"/>
  <c r="W46" i="13"/>
  <c r="Y8" i="13"/>
  <c r="Y6" i="13"/>
  <c r="Y30" i="13"/>
  <c r="Y29" i="13" s="1"/>
  <c r="Y40" i="13" s="1"/>
  <c r="Y35" i="13" s="1"/>
  <c r="Y42" i="13" s="1"/>
  <c r="V49" i="13"/>
  <c r="V51" i="13" s="1"/>
  <c r="V46" i="13"/>
  <c r="V45" i="13"/>
  <c r="W45" i="13" s="1"/>
  <c r="AA13" i="13"/>
  <c r="Z7" i="13"/>
  <c r="Z17" i="13"/>
  <c r="Z39" i="13"/>
  <c r="Z20" i="13"/>
  <c r="Z21" i="13" s="1"/>
  <c r="W9" i="11"/>
  <c r="V10" i="11"/>
  <c r="Z13" i="11"/>
  <c r="Z39" i="11" s="1"/>
  <c r="Y7" i="11"/>
  <c r="Y20" i="11"/>
  <c r="Y21" i="11" s="1"/>
  <c r="Y40" i="11" s="1"/>
  <c r="Y17" i="11"/>
  <c r="AA14" i="11"/>
  <c r="X6" i="11"/>
  <c r="X8" i="11"/>
  <c r="W28" i="4"/>
  <c r="W39" i="4" s="1"/>
  <c r="W34" i="4" s="1"/>
  <c r="W41" i="4" s="1"/>
  <c r="W39" i="9"/>
  <c r="AA14" i="10"/>
  <c r="Z38" i="10"/>
  <c r="Z13" i="10"/>
  <c r="Y7" i="10"/>
  <c r="Y17" i="10"/>
  <c r="Y20" i="10"/>
  <c r="Y21" i="10" s="1"/>
  <c r="Y39" i="10"/>
  <c r="Z16" i="10"/>
  <c r="AA16" i="10" s="1"/>
  <c r="X6" i="10"/>
  <c r="X30" i="10"/>
  <c r="X29" i="10" s="1"/>
  <c r="X8" i="10"/>
  <c r="V10" i="10"/>
  <c r="W9" i="10"/>
  <c r="Z12" i="9"/>
  <c r="Y16" i="9"/>
  <c r="Y19" i="9"/>
  <c r="Y20" i="9" s="1"/>
  <c r="Y38" i="9"/>
  <c r="Y6" i="9"/>
  <c r="W8" i="9"/>
  <c r="AA13" i="9"/>
  <c r="Z37" i="9"/>
  <c r="T52" i="9"/>
  <c r="AA15" i="9"/>
  <c r="V9" i="9"/>
  <c r="T51" i="9"/>
  <c r="X5" i="9"/>
  <c r="X29" i="9"/>
  <c r="X28" i="9" s="1"/>
  <c r="X7" i="9"/>
  <c r="X5" i="4"/>
  <c r="Y6" i="4"/>
  <c r="Y38" i="4"/>
  <c r="T51" i="4"/>
  <c r="T52" i="4"/>
  <c r="U50" i="4"/>
  <c r="U44" i="4"/>
  <c r="U45" i="4"/>
  <c r="V9" i="4"/>
  <c r="V43" i="4"/>
  <c r="V48" i="4" s="1"/>
  <c r="X29" i="4"/>
  <c r="W8" i="4"/>
  <c r="X7" i="4"/>
  <c r="Z12" i="4"/>
  <c r="Y16" i="4"/>
  <c r="Y19" i="4"/>
  <c r="Y20" i="4" s="1"/>
  <c r="AA16" i="11" l="1"/>
  <c r="AA38" i="11"/>
  <c r="W10" i="11"/>
  <c r="U48" i="9"/>
  <c r="U50" i="9" s="1"/>
  <c r="U52" i="9" s="1"/>
  <c r="U44" i="9"/>
  <c r="V43" i="9"/>
  <c r="V48" i="9" s="1"/>
  <c r="V50" i="9" s="1"/>
  <c r="V52" i="9" s="1"/>
  <c r="W34" i="9"/>
  <c r="W41" i="9" s="1"/>
  <c r="Y9" i="13"/>
  <c r="Y44" i="13" s="1"/>
  <c r="X44" i="13"/>
  <c r="X45" i="13" s="1"/>
  <c r="AA38" i="13"/>
  <c r="AB14" i="13"/>
  <c r="AA16" i="13"/>
  <c r="AB16" i="13" s="1"/>
  <c r="V53" i="13"/>
  <c r="V52" i="13"/>
  <c r="W52" i="13" s="1"/>
  <c r="Z6" i="13"/>
  <c r="Z30" i="13"/>
  <c r="Z29" i="13" s="1"/>
  <c r="Z40" i="13" s="1"/>
  <c r="Z35" i="13" s="1"/>
  <c r="Z42" i="13" s="1"/>
  <c r="Z8" i="13"/>
  <c r="AB13" i="13"/>
  <c r="AA7" i="13"/>
  <c r="AA17" i="13"/>
  <c r="AA39" i="13"/>
  <c r="AA20" i="13"/>
  <c r="AA21" i="13" s="1"/>
  <c r="AB14" i="11"/>
  <c r="AB38" i="11" s="1"/>
  <c r="Z17" i="11"/>
  <c r="Z20" i="11"/>
  <c r="Z21" i="11" s="1"/>
  <c r="Z40" i="11" s="1"/>
  <c r="AA13" i="11"/>
  <c r="AA39" i="11" s="1"/>
  <c r="Z7" i="11"/>
  <c r="X9" i="11"/>
  <c r="Y8" i="11"/>
  <c r="Y6" i="11"/>
  <c r="X28" i="4"/>
  <c r="X39" i="4" s="1"/>
  <c r="X34" i="4" s="1"/>
  <c r="X41" i="4" s="1"/>
  <c r="X39" i="9"/>
  <c r="X9" i="10"/>
  <c r="X10" i="10" s="1"/>
  <c r="W10" i="10"/>
  <c r="Z17" i="10"/>
  <c r="Z20" i="10"/>
  <c r="Z21" i="10" s="1"/>
  <c r="Z39" i="10"/>
  <c r="AA13" i="10"/>
  <c r="Z7" i="10"/>
  <c r="AB14" i="10"/>
  <c r="AA38" i="10"/>
  <c r="Y6" i="10"/>
  <c r="Y30" i="10"/>
  <c r="Y29" i="10" s="1"/>
  <c r="Y8" i="10"/>
  <c r="AB13" i="9"/>
  <c r="AA37" i="9"/>
  <c r="W9" i="9"/>
  <c r="X8" i="9"/>
  <c r="AB15" i="9"/>
  <c r="Y5" i="9"/>
  <c r="Y29" i="9"/>
  <c r="Y28" i="9" s="1"/>
  <c r="Y7" i="9"/>
  <c r="Z16" i="9"/>
  <c r="Z19" i="9"/>
  <c r="Z20" i="9" s="1"/>
  <c r="Z38" i="9"/>
  <c r="Z6" i="9"/>
  <c r="AA12" i="9"/>
  <c r="Y5" i="4"/>
  <c r="Z6" i="4"/>
  <c r="Z38" i="4"/>
  <c r="U51" i="4"/>
  <c r="U52" i="4"/>
  <c r="V50" i="4"/>
  <c r="V44" i="4"/>
  <c r="V45" i="4"/>
  <c r="W9" i="4"/>
  <c r="W43" i="4"/>
  <c r="W48" i="4" s="1"/>
  <c r="Y29" i="4"/>
  <c r="X8" i="4"/>
  <c r="Y7" i="4"/>
  <c r="AA12" i="4"/>
  <c r="Z16" i="4"/>
  <c r="Z19" i="4"/>
  <c r="Z20" i="4" s="1"/>
  <c r="U51" i="9" l="1"/>
  <c r="V51" i="9" s="1"/>
  <c r="W43" i="9"/>
  <c r="W45" i="9" s="1"/>
  <c r="V44" i="9"/>
  <c r="V45" i="9"/>
  <c r="X34" i="9"/>
  <c r="X41" i="9" s="1"/>
  <c r="Y10" i="13"/>
  <c r="X46" i="13"/>
  <c r="X49" i="13"/>
  <c r="X51" i="13" s="1"/>
  <c r="X53" i="13" s="1"/>
  <c r="AB38" i="13"/>
  <c r="AC14" i="13"/>
  <c r="AC13" i="13"/>
  <c r="AB7" i="13"/>
  <c r="AB17" i="13"/>
  <c r="AB39" i="13"/>
  <c r="AB20" i="13"/>
  <c r="AB21" i="13" s="1"/>
  <c r="Y46" i="13"/>
  <c r="Y45" i="13"/>
  <c r="Y49" i="13"/>
  <c r="Y51" i="13" s="1"/>
  <c r="Y53" i="13" s="1"/>
  <c r="Z9" i="13"/>
  <c r="AA6" i="13"/>
  <c r="AA30" i="13"/>
  <c r="AA29" i="13" s="1"/>
  <c r="AA40" i="13" s="1"/>
  <c r="AA35" i="13" s="1"/>
  <c r="AA42" i="13" s="1"/>
  <c r="AA8" i="13"/>
  <c r="Y9" i="11"/>
  <c r="AC14" i="11"/>
  <c r="AC38" i="11" s="1"/>
  <c r="AB13" i="11"/>
  <c r="AB39" i="11" s="1"/>
  <c r="AA7" i="11"/>
  <c r="AA17" i="11"/>
  <c r="AA20" i="11"/>
  <c r="AA21" i="11" s="1"/>
  <c r="AA40" i="11" s="1"/>
  <c r="AB16" i="11"/>
  <c r="AC16" i="11" s="1"/>
  <c r="X10" i="11"/>
  <c r="Z6" i="11"/>
  <c r="Z8" i="11"/>
  <c r="Y28" i="4"/>
  <c r="Y39" i="4" s="1"/>
  <c r="Y34" i="4" s="1"/>
  <c r="Y41" i="4" s="1"/>
  <c r="Y39" i="9"/>
  <c r="Y9" i="10"/>
  <c r="Y10" i="10" s="1"/>
  <c r="AA20" i="10"/>
  <c r="AA21" i="10" s="1"/>
  <c r="AA39" i="10"/>
  <c r="AB13" i="10"/>
  <c r="AA7" i="10"/>
  <c r="AA17" i="10"/>
  <c r="AC14" i="10"/>
  <c r="AB38" i="10"/>
  <c r="Z6" i="10"/>
  <c r="Z30" i="10"/>
  <c r="Z29" i="10" s="1"/>
  <c r="Z8" i="10"/>
  <c r="AB16" i="10"/>
  <c r="AC13" i="9"/>
  <c r="AB37" i="9"/>
  <c r="AC15" i="9"/>
  <c r="Y8" i="9"/>
  <c r="Z5" i="9"/>
  <c r="Z29" i="9"/>
  <c r="Z28" i="9" s="1"/>
  <c r="Z7" i="9"/>
  <c r="X9" i="9"/>
  <c r="X43" i="9"/>
  <c r="AA19" i="9"/>
  <c r="AA20" i="9" s="1"/>
  <c r="AA38" i="9"/>
  <c r="AA6" i="9"/>
  <c r="AA16" i="9"/>
  <c r="AB12" i="9"/>
  <c r="Z5" i="4"/>
  <c r="AA6" i="4"/>
  <c r="AA38" i="4"/>
  <c r="V51" i="4"/>
  <c r="V52" i="4"/>
  <c r="W50" i="4"/>
  <c r="W44" i="4"/>
  <c r="W45" i="4"/>
  <c r="X9" i="4"/>
  <c r="X43" i="4"/>
  <c r="X48" i="4" s="1"/>
  <c r="Z29" i="4"/>
  <c r="Z28" i="4" s="1"/>
  <c r="Z39" i="4" s="1"/>
  <c r="Z34" i="4" s="1"/>
  <c r="Y8" i="4"/>
  <c r="Z7" i="4"/>
  <c r="AB12" i="4"/>
  <c r="AA16" i="4"/>
  <c r="AA19" i="4"/>
  <c r="AA20" i="4" s="1"/>
  <c r="Y10" i="11" l="1"/>
  <c r="W48" i="9"/>
  <c r="W50" i="9" s="1"/>
  <c r="W52" i="9" s="1"/>
  <c r="W44" i="9"/>
  <c r="X44" i="9" s="1"/>
  <c r="Y34" i="9"/>
  <c r="Y41" i="9" s="1"/>
  <c r="X52" i="13"/>
  <c r="Y52" i="13" s="1"/>
  <c r="AC38" i="13"/>
  <c r="AD14" i="13"/>
  <c r="AC16" i="13"/>
  <c r="AD16" i="13" s="1"/>
  <c r="AA9" i="13"/>
  <c r="AA44" i="13" s="1"/>
  <c r="AB6" i="13"/>
  <c r="AB30" i="13"/>
  <c r="AB29" i="13" s="1"/>
  <c r="AB40" i="13" s="1"/>
  <c r="AB35" i="13" s="1"/>
  <c r="AB42" i="13" s="1"/>
  <c r="AB8" i="13"/>
  <c r="AD13" i="13"/>
  <c r="AC7" i="13"/>
  <c r="AC17" i="13"/>
  <c r="AC39" i="13"/>
  <c r="AC20" i="13"/>
  <c r="AC21" i="13" s="1"/>
  <c r="Z10" i="13"/>
  <c r="Z44" i="13"/>
  <c r="Z41" i="4"/>
  <c r="AA6" i="11"/>
  <c r="AA8" i="11"/>
  <c r="AD14" i="11"/>
  <c r="AD38" i="11" s="1"/>
  <c r="AB17" i="11"/>
  <c r="AB20" i="11"/>
  <c r="AB21" i="11" s="1"/>
  <c r="AB40" i="11" s="1"/>
  <c r="AC13" i="11"/>
  <c r="AC39" i="11" s="1"/>
  <c r="AB7" i="11"/>
  <c r="Z9" i="11"/>
  <c r="Z39" i="9"/>
  <c r="Z9" i="10"/>
  <c r="AB20" i="10"/>
  <c r="AB21" i="10" s="1"/>
  <c r="AB39" i="10"/>
  <c r="AC13" i="10"/>
  <c r="AB7" i="10"/>
  <c r="AB17" i="10"/>
  <c r="AD14" i="10"/>
  <c r="AC38" i="10"/>
  <c r="AA6" i="10"/>
  <c r="AA30" i="10"/>
  <c r="AA29" i="10" s="1"/>
  <c r="AA8" i="10"/>
  <c r="AC16" i="10"/>
  <c r="Y9" i="9"/>
  <c r="X45" i="9"/>
  <c r="X48" i="9"/>
  <c r="X50" i="9" s="1"/>
  <c r="Z8" i="9"/>
  <c r="AD13" i="9"/>
  <c r="AC37" i="9"/>
  <c r="AA5" i="9"/>
  <c r="AA29" i="9"/>
  <c r="AA28" i="9" s="1"/>
  <c r="AA7" i="9"/>
  <c r="AB19" i="9"/>
  <c r="AB20" i="9" s="1"/>
  <c r="AB38" i="9"/>
  <c r="AC12" i="9"/>
  <c r="AB6" i="9"/>
  <c r="AB16" i="9"/>
  <c r="AA5" i="4"/>
  <c r="AB6" i="4"/>
  <c r="AB38" i="4"/>
  <c r="W51" i="4"/>
  <c r="W52" i="4"/>
  <c r="X50" i="4"/>
  <c r="X44" i="4"/>
  <c r="X45" i="4"/>
  <c r="Y9" i="4"/>
  <c r="Y43" i="4"/>
  <c r="Y48" i="4" s="1"/>
  <c r="AA29" i="4"/>
  <c r="Z8" i="4"/>
  <c r="AA7" i="4"/>
  <c r="AC12" i="4"/>
  <c r="AB16" i="4"/>
  <c r="AB19" i="4"/>
  <c r="AB20" i="4" s="1"/>
  <c r="W51" i="9" l="1"/>
  <c r="Y43" i="9"/>
  <c r="AA10" i="13"/>
  <c r="Z34" i="9"/>
  <c r="Z41" i="9" s="1"/>
  <c r="AD38" i="13"/>
  <c r="AE14" i="13"/>
  <c r="AA46" i="13"/>
  <c r="AA49" i="13"/>
  <c r="AA51" i="13" s="1"/>
  <c r="AC6" i="13"/>
  <c r="AC30" i="13"/>
  <c r="AC29" i="13" s="1"/>
  <c r="AC40" i="13" s="1"/>
  <c r="AC35" i="13" s="1"/>
  <c r="AC42" i="13" s="1"/>
  <c r="AC8" i="13"/>
  <c r="AB9" i="13"/>
  <c r="AD17" i="13"/>
  <c r="AD39" i="13"/>
  <c r="AD20" i="13"/>
  <c r="AD21" i="13" s="1"/>
  <c r="AE13" i="13"/>
  <c r="AD7" i="13"/>
  <c r="Z46" i="13"/>
  <c r="Z45" i="13"/>
  <c r="AA45" i="13" s="1"/>
  <c r="Z49" i="13"/>
  <c r="Z51" i="13" s="1"/>
  <c r="Z10" i="11"/>
  <c r="AE14" i="11"/>
  <c r="AE38" i="11" s="1"/>
  <c r="AA9" i="11"/>
  <c r="AD13" i="11"/>
  <c r="AD39" i="11" s="1"/>
  <c r="AC7" i="11"/>
  <c r="AC20" i="11"/>
  <c r="AC21" i="11" s="1"/>
  <c r="AC40" i="11" s="1"/>
  <c r="AC17" i="11"/>
  <c r="AB6" i="11"/>
  <c r="AB8" i="11"/>
  <c r="AD16" i="11"/>
  <c r="AA28" i="4"/>
  <c r="AA39" i="4" s="1"/>
  <c r="AA34" i="4" s="1"/>
  <c r="AA41" i="4" s="1"/>
  <c r="AA39" i="9"/>
  <c r="AA9" i="10"/>
  <c r="AA10" i="10" s="1"/>
  <c r="AB6" i="10"/>
  <c r="AB30" i="10"/>
  <c r="AB29" i="10" s="1"/>
  <c r="AB8" i="10"/>
  <c r="Z10" i="10"/>
  <c r="AC20" i="10"/>
  <c r="AC21" i="10" s="1"/>
  <c r="AC7" i="10"/>
  <c r="AC39" i="10"/>
  <c r="AD13" i="10"/>
  <c r="AC17" i="10"/>
  <c r="AE14" i="10"/>
  <c r="AD38" i="10"/>
  <c r="AD16" i="10"/>
  <c r="X52" i="9"/>
  <c r="X51" i="9"/>
  <c r="AE13" i="9"/>
  <c r="AD37" i="9"/>
  <c r="AB5" i="9"/>
  <c r="AB29" i="9"/>
  <c r="AB28" i="9" s="1"/>
  <c r="AB7" i="9"/>
  <c r="Z9" i="9"/>
  <c r="AA8" i="9"/>
  <c r="Y45" i="9"/>
  <c r="Y44" i="9"/>
  <c r="Y48" i="9"/>
  <c r="Y50" i="9" s="1"/>
  <c r="Y52" i="9" s="1"/>
  <c r="AD15" i="9"/>
  <c r="AC19" i="9"/>
  <c r="AC20" i="9" s="1"/>
  <c r="AC38" i="9"/>
  <c r="AD12" i="9"/>
  <c r="AC16" i="9"/>
  <c r="AC6" i="9"/>
  <c r="AB5" i="4"/>
  <c r="AC6" i="4"/>
  <c r="AC38" i="4"/>
  <c r="X51" i="4"/>
  <c r="X52" i="4"/>
  <c r="Y50" i="4"/>
  <c r="Y44" i="4"/>
  <c r="Y45" i="4"/>
  <c r="Z9" i="4"/>
  <c r="Z43" i="4"/>
  <c r="Z48" i="4" s="1"/>
  <c r="AB29" i="4"/>
  <c r="AA8" i="4"/>
  <c r="AB7" i="4"/>
  <c r="AD12" i="4"/>
  <c r="AC16" i="4"/>
  <c r="AC19" i="4"/>
  <c r="AC20" i="4" s="1"/>
  <c r="Z43" i="9" l="1"/>
  <c r="Z44" i="9" s="1"/>
  <c r="AA34" i="9"/>
  <c r="AA41" i="9" s="1"/>
  <c r="AE38" i="13"/>
  <c r="AF14" i="13"/>
  <c r="AE16" i="13"/>
  <c r="AF16" i="13" s="1"/>
  <c r="AA53" i="13"/>
  <c r="Z53" i="13"/>
  <c r="E58" i="13"/>
  <c r="Z52" i="13"/>
  <c r="AA52" i="13" s="1"/>
  <c r="AD6" i="13"/>
  <c r="AD30" i="13"/>
  <c r="AD29" i="13" s="1"/>
  <c r="AD40" i="13" s="1"/>
  <c r="AD35" i="13" s="1"/>
  <c r="AD42" i="13" s="1"/>
  <c r="AD8" i="13"/>
  <c r="AC9" i="13"/>
  <c r="AB10" i="13"/>
  <c r="AB44" i="13"/>
  <c r="AE39" i="13"/>
  <c r="AE20" i="13"/>
  <c r="AE21" i="13" s="1"/>
  <c r="AF13" i="13"/>
  <c r="AE7" i="13"/>
  <c r="AE17" i="13"/>
  <c r="AA10" i="11"/>
  <c r="AB9" i="11"/>
  <c r="AD17" i="11"/>
  <c r="AD20" i="11"/>
  <c r="AD21" i="11" s="1"/>
  <c r="AD40" i="11" s="1"/>
  <c r="AE13" i="11"/>
  <c r="AE39" i="11" s="1"/>
  <c r="AD7" i="11"/>
  <c r="AC6" i="11"/>
  <c r="AC8" i="11"/>
  <c r="AF14" i="11"/>
  <c r="AF38" i="11" s="1"/>
  <c r="AE16" i="11"/>
  <c r="AB28" i="4"/>
  <c r="AB39" i="4" s="1"/>
  <c r="AB34" i="4" s="1"/>
  <c r="AB41" i="4" s="1"/>
  <c r="AB39" i="9"/>
  <c r="AD20" i="10"/>
  <c r="AD21" i="10" s="1"/>
  <c r="AD39" i="10"/>
  <c r="AD17" i="10"/>
  <c r="AE13" i="10"/>
  <c r="AD7" i="10"/>
  <c r="AC6" i="10"/>
  <c r="AC30" i="10"/>
  <c r="AC29" i="10" s="1"/>
  <c r="AC8" i="10"/>
  <c r="AF14" i="10"/>
  <c r="AE38" i="10"/>
  <c r="AE16" i="10"/>
  <c r="AB9" i="10"/>
  <c r="AB8" i="9"/>
  <c r="Y51" i="9"/>
  <c r="AA9" i="9"/>
  <c r="AF13" i="9"/>
  <c r="AE37" i="9"/>
  <c r="AE15" i="9"/>
  <c r="AF15" i="9" s="1"/>
  <c r="AD19" i="9"/>
  <c r="AD20" i="9" s="1"/>
  <c r="AD38" i="9"/>
  <c r="AE12" i="9"/>
  <c r="AD6" i="9"/>
  <c r="AD16" i="9"/>
  <c r="AC29" i="9"/>
  <c r="AC28" i="9" s="1"/>
  <c r="AC7" i="9"/>
  <c r="AC5" i="9"/>
  <c r="AC5" i="4"/>
  <c r="AD6" i="4"/>
  <c r="AD38" i="4"/>
  <c r="Y51" i="4"/>
  <c r="Y52" i="4"/>
  <c r="Z50" i="4"/>
  <c r="E57" i="4" s="1"/>
  <c r="Z44" i="4"/>
  <c r="Z45" i="4"/>
  <c r="AA9" i="4"/>
  <c r="AA43" i="4"/>
  <c r="AA48" i="4" s="1"/>
  <c r="AC29" i="4"/>
  <c r="AB8" i="4"/>
  <c r="AC7" i="4"/>
  <c r="AE12" i="4"/>
  <c r="AD16" i="4"/>
  <c r="AD19" i="4"/>
  <c r="AD20" i="4" s="1"/>
  <c r="Z45" i="9" l="1"/>
  <c r="Z48" i="9"/>
  <c r="Z50" i="9" s="1"/>
  <c r="E57" i="9" s="1"/>
  <c r="AA43" i="9"/>
  <c r="AA48" i="9" s="1"/>
  <c r="AA50" i="9" s="1"/>
  <c r="AB34" i="9"/>
  <c r="AB41" i="9" s="1"/>
  <c r="AF16" i="11"/>
  <c r="AG14" i="13"/>
  <c r="AF38" i="13"/>
  <c r="AB45" i="13"/>
  <c r="AB49" i="13"/>
  <c r="AB51" i="13" s="1"/>
  <c r="AB46" i="13"/>
  <c r="AC10" i="13"/>
  <c r="AC44" i="13"/>
  <c r="AD9" i="13"/>
  <c r="AF39" i="13"/>
  <c r="AF20" i="13"/>
  <c r="AF21" i="13" s="1"/>
  <c r="AG13" i="13"/>
  <c r="AF7" i="13"/>
  <c r="AF17" i="13"/>
  <c r="AE30" i="13"/>
  <c r="AE29" i="13" s="1"/>
  <c r="AE40" i="13" s="1"/>
  <c r="AE35" i="13" s="1"/>
  <c r="AE42" i="13" s="1"/>
  <c r="AE6" i="13"/>
  <c r="AE8" i="13"/>
  <c r="AE20" i="11"/>
  <c r="AE21" i="11" s="1"/>
  <c r="AE40" i="11" s="1"/>
  <c r="AE17" i="11"/>
  <c r="AF13" i="11"/>
  <c r="AF39" i="11" s="1"/>
  <c r="AE7" i="11"/>
  <c r="AC9" i="11"/>
  <c r="AD8" i="11"/>
  <c r="AD6" i="11"/>
  <c r="AB10" i="11"/>
  <c r="AG14" i="11"/>
  <c r="AG38" i="11" s="1"/>
  <c r="AC28" i="4"/>
  <c r="AC39" i="4" s="1"/>
  <c r="AC34" i="4" s="1"/>
  <c r="AC41" i="4" s="1"/>
  <c r="AC39" i="9"/>
  <c r="AC8" i="9"/>
  <c r="AC9" i="9" s="1"/>
  <c r="AE39" i="10"/>
  <c r="AF13" i="10"/>
  <c r="AE7" i="10"/>
  <c r="AE17" i="10"/>
  <c r="AE20" i="10"/>
  <c r="AE21" i="10" s="1"/>
  <c r="AC9" i="10"/>
  <c r="AG14" i="10"/>
  <c r="AF38" i="10"/>
  <c r="AB10" i="10"/>
  <c r="AD30" i="10"/>
  <c r="AD29" i="10" s="1"/>
  <c r="AD8" i="10"/>
  <c r="AD6" i="10"/>
  <c r="AF16" i="10"/>
  <c r="AE38" i="9"/>
  <c r="AE16" i="9"/>
  <c r="AF12" i="9"/>
  <c r="AE6" i="9"/>
  <c r="AE19" i="9"/>
  <c r="AE20" i="9" s="1"/>
  <c r="AD29" i="9"/>
  <c r="AD28" i="9" s="1"/>
  <c r="AD7" i="9"/>
  <c r="AD5" i="9"/>
  <c r="AG13" i="9"/>
  <c r="AF37" i="9"/>
  <c r="AB9" i="9"/>
  <c r="AB43" i="9"/>
  <c r="AA45" i="9"/>
  <c r="AD5" i="4"/>
  <c r="AE6" i="4"/>
  <c r="AE38" i="4"/>
  <c r="Z51" i="4"/>
  <c r="Z52" i="4"/>
  <c r="AA50" i="4"/>
  <c r="AA44" i="4"/>
  <c r="AA45" i="4"/>
  <c r="AB9" i="4"/>
  <c r="AB43" i="4"/>
  <c r="AB48" i="4" s="1"/>
  <c r="AD29" i="4"/>
  <c r="AD28" i="4" s="1"/>
  <c r="AD39" i="4" s="1"/>
  <c r="AD34" i="4" s="1"/>
  <c r="AC8" i="4"/>
  <c r="AD7" i="4"/>
  <c r="AF12" i="4"/>
  <c r="AE16" i="4"/>
  <c r="AE19" i="4"/>
  <c r="AE20" i="4" s="1"/>
  <c r="AA44" i="9" l="1"/>
  <c r="Z52" i="9"/>
  <c r="Z51" i="9"/>
  <c r="AA51" i="9" s="1"/>
  <c r="AC34" i="9"/>
  <c r="AC41" i="9" s="1"/>
  <c r="AG16" i="11"/>
  <c r="AG38" i="13"/>
  <c r="AH14" i="13"/>
  <c r="AG16" i="13"/>
  <c r="AB53" i="13"/>
  <c r="AB52" i="13"/>
  <c r="AG39" i="13"/>
  <c r="AG20" i="13"/>
  <c r="AG21" i="13" s="1"/>
  <c r="AH13" i="13"/>
  <c r="AG7" i="13"/>
  <c r="AG17" i="13"/>
  <c r="AC45" i="13"/>
  <c r="AC49" i="13"/>
  <c r="AC51" i="13" s="1"/>
  <c r="AC46" i="13"/>
  <c r="AD10" i="13"/>
  <c r="AD44" i="13"/>
  <c r="AE9" i="13"/>
  <c r="AF6" i="13"/>
  <c r="AF30" i="13"/>
  <c r="AF29" i="13" s="1"/>
  <c r="AF40" i="13" s="1"/>
  <c r="AF35" i="13" s="1"/>
  <c r="AF42" i="13" s="1"/>
  <c r="AF8" i="13"/>
  <c r="AD9" i="11"/>
  <c r="AD41" i="4"/>
  <c r="AE6" i="11"/>
  <c r="AE8" i="11"/>
  <c r="AC10" i="11"/>
  <c r="AF20" i="11"/>
  <c r="AF21" i="11" s="1"/>
  <c r="AF40" i="11" s="1"/>
  <c r="AF17" i="11"/>
  <c r="AG13" i="11"/>
  <c r="AG39" i="11" s="1"/>
  <c r="AF7" i="11"/>
  <c r="AH14" i="11"/>
  <c r="AH38" i="11" s="1"/>
  <c r="AD39" i="9"/>
  <c r="AD9" i="10"/>
  <c r="AD10" i="10" s="1"/>
  <c r="AF39" i="10"/>
  <c r="AG13" i="10"/>
  <c r="AF7" i="10"/>
  <c r="AF17" i="10"/>
  <c r="AF20" i="10"/>
  <c r="AF21" i="10" s="1"/>
  <c r="AH14" i="10"/>
  <c r="AG38" i="10"/>
  <c r="AC10" i="10"/>
  <c r="AG16" i="10"/>
  <c r="AE30" i="10"/>
  <c r="AE29" i="10" s="1"/>
  <c r="AE8" i="10"/>
  <c r="AE6" i="10"/>
  <c r="AD8" i="9"/>
  <c r="AD9" i="9" s="1"/>
  <c r="AA52" i="9"/>
  <c r="AE29" i="9"/>
  <c r="AE28" i="9" s="1"/>
  <c r="AE39" i="9" s="1"/>
  <c r="AE7" i="9"/>
  <c r="AE5" i="9"/>
  <c r="AB44" i="9"/>
  <c r="AB48" i="9"/>
  <c r="AB50" i="9" s="1"/>
  <c r="AB45" i="9"/>
  <c r="AH13" i="9"/>
  <c r="AG37" i="9"/>
  <c r="AF38" i="9"/>
  <c r="AG12" i="9"/>
  <c r="AF6" i="9"/>
  <c r="AF16" i="9"/>
  <c r="AF19" i="9"/>
  <c r="AF20" i="9" s="1"/>
  <c r="AG15" i="9"/>
  <c r="AE5" i="4"/>
  <c r="AF6" i="4"/>
  <c r="AF38" i="4"/>
  <c r="AA51" i="4"/>
  <c r="AA52" i="4"/>
  <c r="AB50" i="4"/>
  <c r="AB52" i="4" s="1"/>
  <c r="AB44" i="4"/>
  <c r="AB45" i="4"/>
  <c r="AC9" i="4"/>
  <c r="AC43" i="4"/>
  <c r="AC48" i="4" s="1"/>
  <c r="AE29" i="4"/>
  <c r="AE28" i="4" s="1"/>
  <c r="AE39" i="4" s="1"/>
  <c r="AE34" i="4" s="1"/>
  <c r="AE41" i="4" s="1"/>
  <c r="AD8" i="4"/>
  <c r="AE7" i="4"/>
  <c r="AG12" i="4"/>
  <c r="AF16" i="4"/>
  <c r="AF19" i="4"/>
  <c r="AF20" i="4" s="1"/>
  <c r="AC43" i="9" l="1"/>
  <c r="AC48" i="9" s="1"/>
  <c r="AC50" i="9" s="1"/>
  <c r="AC52" i="9" s="1"/>
  <c r="AD10" i="11"/>
  <c r="AE34" i="9"/>
  <c r="AD34" i="9"/>
  <c r="AD41" i="9" s="1"/>
  <c r="AH16" i="11"/>
  <c r="AE9" i="10"/>
  <c r="AE10" i="10" s="1"/>
  <c r="AH16" i="13"/>
  <c r="AH38" i="13"/>
  <c r="AI14" i="13"/>
  <c r="AC53" i="13"/>
  <c r="AF9" i="13"/>
  <c r="AG6" i="13"/>
  <c r="AG30" i="13"/>
  <c r="AG29" i="13" s="1"/>
  <c r="AG40" i="13" s="1"/>
  <c r="AG35" i="13" s="1"/>
  <c r="AG42" i="13" s="1"/>
  <c r="AG8" i="13"/>
  <c r="AE10" i="13"/>
  <c r="AE44" i="13"/>
  <c r="AC52" i="13"/>
  <c r="AD45" i="13"/>
  <c r="AD49" i="13"/>
  <c r="AD51" i="13" s="1"/>
  <c r="AD46" i="13"/>
  <c r="AH39" i="13"/>
  <c r="AH20" i="13"/>
  <c r="AH21" i="13" s="1"/>
  <c r="AI13" i="13"/>
  <c r="AH7" i="13"/>
  <c r="AH17" i="13"/>
  <c r="AF8" i="11"/>
  <c r="AF6" i="11"/>
  <c r="AE9" i="11"/>
  <c r="AI14" i="11"/>
  <c r="AI38" i="11" s="1"/>
  <c r="AC44" i="9"/>
  <c r="AG20" i="11"/>
  <c r="AG21" i="11" s="1"/>
  <c r="AG40" i="11" s="1"/>
  <c r="AH13" i="11"/>
  <c r="AH39" i="11" s="1"/>
  <c r="AG7" i="11"/>
  <c r="AG17" i="11"/>
  <c r="AE8" i="9"/>
  <c r="AE9" i="9" s="1"/>
  <c r="AC45" i="9"/>
  <c r="AG39" i="10"/>
  <c r="AH13" i="10"/>
  <c r="AG7" i="10"/>
  <c r="AG17" i="10"/>
  <c r="AG20" i="10"/>
  <c r="AG21" i="10" s="1"/>
  <c r="AI14" i="10"/>
  <c r="AH38" i="10"/>
  <c r="AH16" i="10"/>
  <c r="AI16" i="10" s="1"/>
  <c r="AF30" i="10"/>
  <c r="AF29" i="10" s="1"/>
  <c r="AF8" i="10"/>
  <c r="AF6" i="10"/>
  <c r="AB52" i="9"/>
  <c r="AI13" i="9"/>
  <c r="AH37" i="9"/>
  <c r="AH15" i="9"/>
  <c r="AI15" i="9" s="1"/>
  <c r="AB51" i="9"/>
  <c r="AC51" i="9" s="1"/>
  <c r="AG38" i="9"/>
  <c r="AH12" i="9"/>
  <c r="AG6" i="9"/>
  <c r="AG16" i="9"/>
  <c r="AG19" i="9"/>
  <c r="AG20" i="9" s="1"/>
  <c r="AF29" i="9"/>
  <c r="AF28" i="9" s="1"/>
  <c r="AF39" i="9" s="1"/>
  <c r="AF7" i="9"/>
  <c r="AF5" i="9"/>
  <c r="AF5" i="4"/>
  <c r="AG6" i="4"/>
  <c r="AG38" i="4"/>
  <c r="AB51" i="4"/>
  <c r="AC50" i="4"/>
  <c r="AC44" i="4"/>
  <c r="AC45" i="4"/>
  <c r="AD9" i="4"/>
  <c r="AD43" i="4"/>
  <c r="AD48" i="4" s="1"/>
  <c r="AF29" i="4"/>
  <c r="AE8" i="4"/>
  <c r="AF7" i="4"/>
  <c r="AH12" i="4"/>
  <c r="AG16" i="4"/>
  <c r="AG19" i="4"/>
  <c r="AG20" i="4" s="1"/>
  <c r="AG5" i="4" s="1"/>
  <c r="AD43" i="9" l="1"/>
  <c r="AD45" i="9" s="1"/>
  <c r="AE41" i="9"/>
  <c r="AF34" i="9"/>
  <c r="AF41" i="9" s="1"/>
  <c r="AI38" i="13"/>
  <c r="AJ14" i="13"/>
  <c r="AI16" i="13"/>
  <c r="AJ16" i="13" s="1"/>
  <c r="AE43" i="9"/>
  <c r="AE48" i="9" s="1"/>
  <c r="AE50" i="9" s="1"/>
  <c r="AD53" i="13"/>
  <c r="AD52" i="13"/>
  <c r="AE45" i="13"/>
  <c r="AE49" i="13"/>
  <c r="AE51" i="13" s="1"/>
  <c r="AE46" i="13"/>
  <c r="AG9" i="13"/>
  <c r="AH30" i="13"/>
  <c r="AH29" i="13" s="1"/>
  <c r="AH40" i="13" s="1"/>
  <c r="AH35" i="13" s="1"/>
  <c r="AH42" i="13" s="1"/>
  <c r="AH8" i="13"/>
  <c r="AH6" i="13"/>
  <c r="AF10" i="13"/>
  <c r="AF44" i="13"/>
  <c r="AJ13" i="13"/>
  <c r="AI7" i="13"/>
  <c r="AI17" i="13"/>
  <c r="AI39" i="13"/>
  <c r="AI20" i="13"/>
  <c r="AI21" i="13" s="1"/>
  <c r="AF9" i="11"/>
  <c r="AG6" i="11"/>
  <c r="AG8" i="11"/>
  <c r="AH20" i="11"/>
  <c r="AH21" i="11" s="1"/>
  <c r="AH40" i="11" s="1"/>
  <c r="AI13" i="11"/>
  <c r="AI39" i="11" s="1"/>
  <c r="AH7" i="11"/>
  <c r="AH17" i="11"/>
  <c r="AJ14" i="11"/>
  <c r="AJ38" i="11" s="1"/>
  <c r="AE10" i="11"/>
  <c r="AI16" i="11"/>
  <c r="AF28" i="4"/>
  <c r="AF39" i="4" s="1"/>
  <c r="AF34" i="4" s="1"/>
  <c r="AF41" i="4" s="1"/>
  <c r="AF9" i="10"/>
  <c r="AF10" i="10" s="1"/>
  <c r="AF8" i="9"/>
  <c r="AH39" i="10"/>
  <c r="AH7" i="10"/>
  <c r="AI13" i="10"/>
  <c r="AH20" i="10"/>
  <c r="AH21" i="10" s="1"/>
  <c r="AH17" i="10"/>
  <c r="AJ14" i="10"/>
  <c r="AI38" i="10"/>
  <c r="AG30" i="10"/>
  <c r="AG29" i="10" s="1"/>
  <c r="AG8" i="10"/>
  <c r="AG6" i="10"/>
  <c r="AG29" i="9"/>
  <c r="AG7" i="9"/>
  <c r="AG5" i="9"/>
  <c r="AJ15" i="9"/>
  <c r="AH38" i="9"/>
  <c r="AI12" i="9"/>
  <c r="AH6" i="9"/>
  <c r="AH16" i="9"/>
  <c r="AH19" i="9"/>
  <c r="AH20" i="9" s="1"/>
  <c r="AJ13" i="9"/>
  <c r="AI37" i="9"/>
  <c r="AH6" i="4"/>
  <c r="AH38" i="4"/>
  <c r="AC51" i="4"/>
  <c r="AC52" i="4"/>
  <c r="AD50" i="4"/>
  <c r="AD44" i="4"/>
  <c r="AD45" i="4"/>
  <c r="AE9" i="4"/>
  <c r="AE43" i="4"/>
  <c r="AE48" i="4" s="1"/>
  <c r="AG29" i="4"/>
  <c r="AF8" i="4"/>
  <c r="AG7" i="4"/>
  <c r="AI12" i="4"/>
  <c r="AH16" i="4"/>
  <c r="AH19" i="4"/>
  <c r="AH20" i="4" s="1"/>
  <c r="AH5" i="4" s="1"/>
  <c r="AD48" i="9" l="1"/>
  <c r="AD50" i="9" s="1"/>
  <c r="AD52" i="9" s="1"/>
  <c r="AD44" i="9"/>
  <c r="AF10" i="11"/>
  <c r="AF43" i="9"/>
  <c r="AF48" i="9" s="1"/>
  <c r="AF50" i="9" s="1"/>
  <c r="AE45" i="9"/>
  <c r="AH9" i="13"/>
  <c r="AE44" i="9"/>
  <c r="AJ38" i="13"/>
  <c r="AK14" i="13"/>
  <c r="AE53" i="13"/>
  <c r="AG10" i="13"/>
  <c r="AG44" i="13"/>
  <c r="AI8" i="13"/>
  <c r="AI6" i="13"/>
  <c r="AI30" i="13"/>
  <c r="AI29" i="13" s="1"/>
  <c r="AI40" i="13" s="1"/>
  <c r="AI35" i="13" s="1"/>
  <c r="AI42" i="13" s="1"/>
  <c r="AF49" i="13"/>
  <c r="AF51" i="13" s="1"/>
  <c r="AF53" i="13" s="1"/>
  <c r="AF46" i="13"/>
  <c r="AF45" i="13"/>
  <c r="AK13" i="13"/>
  <c r="AJ7" i="13"/>
  <c r="AJ17" i="13"/>
  <c r="AJ39" i="13"/>
  <c r="AJ20" i="13"/>
  <c r="AJ21" i="13" s="1"/>
  <c r="AE52" i="13"/>
  <c r="AH10" i="13"/>
  <c r="AH44" i="13"/>
  <c r="AF9" i="9"/>
  <c r="AG9" i="10"/>
  <c r="AG10" i="10" s="1"/>
  <c r="AJ13" i="11"/>
  <c r="AJ39" i="11" s="1"/>
  <c r="AI7" i="11"/>
  <c r="AI17" i="11"/>
  <c r="AI20" i="11"/>
  <c r="AI21" i="11" s="1"/>
  <c r="AI40" i="11" s="1"/>
  <c r="AG9" i="11"/>
  <c r="AK14" i="11"/>
  <c r="AK38" i="11" s="1"/>
  <c r="AH8" i="11"/>
  <c r="AH6" i="11"/>
  <c r="AJ16" i="11"/>
  <c r="AG28" i="4"/>
  <c r="AG39" i="4" s="1"/>
  <c r="AG34" i="4" s="1"/>
  <c r="AG41" i="4" s="1"/>
  <c r="AG28" i="9"/>
  <c r="AG39" i="9" s="1"/>
  <c r="AG8" i="9"/>
  <c r="AG9" i="9" s="1"/>
  <c r="AD51" i="9"/>
  <c r="AE51" i="9" s="1"/>
  <c r="AI17" i="10"/>
  <c r="AJ13" i="10"/>
  <c r="AI7" i="10"/>
  <c r="AI20" i="10"/>
  <c r="AI21" i="10" s="1"/>
  <c r="AI39" i="10"/>
  <c r="AK14" i="10"/>
  <c r="AJ38" i="10"/>
  <c r="AH30" i="10"/>
  <c r="AH29" i="10" s="1"/>
  <c r="AH8" i="10"/>
  <c r="AH6" i="10"/>
  <c r="AJ16" i="10"/>
  <c r="AK16" i="10" s="1"/>
  <c r="AE52" i="9"/>
  <c r="AK13" i="9"/>
  <c r="AJ37" i="9"/>
  <c r="AH29" i="9"/>
  <c r="AH28" i="9" s="1"/>
  <c r="AH7" i="9"/>
  <c r="AH5" i="9"/>
  <c r="AJ12" i="9"/>
  <c r="AI6" i="9"/>
  <c r="AI16" i="9"/>
  <c r="AI19" i="9"/>
  <c r="AI20" i="9" s="1"/>
  <c r="AI38" i="9"/>
  <c r="AI6" i="4"/>
  <c r="AI38" i="4"/>
  <c r="AD51" i="4"/>
  <c r="AD52" i="4"/>
  <c r="AE50" i="4"/>
  <c r="AE44" i="4"/>
  <c r="AE45" i="4"/>
  <c r="AF9" i="4"/>
  <c r="AF43" i="4"/>
  <c r="AF48" i="4" s="1"/>
  <c r="AH29" i="4"/>
  <c r="AG8" i="4"/>
  <c r="AH7" i="4"/>
  <c r="AJ12" i="4"/>
  <c r="AI16" i="4"/>
  <c r="AI19" i="4"/>
  <c r="AI20" i="4" s="1"/>
  <c r="AI5" i="4" s="1"/>
  <c r="AI9" i="13" l="1"/>
  <c r="AF45" i="9"/>
  <c r="AF44" i="9"/>
  <c r="AG34" i="9"/>
  <c r="AG41" i="9" s="1"/>
  <c r="AK16" i="13"/>
  <c r="AL14" i="13"/>
  <c r="AL38" i="13" s="1"/>
  <c r="AK38" i="13"/>
  <c r="AI44" i="13"/>
  <c r="AI10" i="13"/>
  <c r="AH49" i="13"/>
  <c r="AH51" i="13" s="1"/>
  <c r="AH53" i="13" s="1"/>
  <c r="AH46" i="13"/>
  <c r="AG49" i="13"/>
  <c r="AG51" i="13" s="1"/>
  <c r="AG53" i="13" s="1"/>
  <c r="AG46" i="13"/>
  <c r="AG45" i="13"/>
  <c r="AH45" i="13" s="1"/>
  <c r="AF52" i="13"/>
  <c r="AL13" i="13"/>
  <c r="AK7" i="13"/>
  <c r="AK17" i="13"/>
  <c r="AK39" i="13"/>
  <c r="AK20" i="13"/>
  <c r="AK21" i="13" s="1"/>
  <c r="AJ8" i="13"/>
  <c r="AJ6" i="13"/>
  <c r="AJ30" i="13"/>
  <c r="AJ29" i="13" s="1"/>
  <c r="AJ40" i="13" s="1"/>
  <c r="AJ35" i="13" s="1"/>
  <c r="AJ42" i="13" s="1"/>
  <c r="AH9" i="11"/>
  <c r="AL14" i="11"/>
  <c r="AI8" i="11"/>
  <c r="AI6" i="11"/>
  <c r="AK16" i="11"/>
  <c r="AL16" i="11" s="1"/>
  <c r="AK13" i="11"/>
  <c r="AK39" i="11" s="1"/>
  <c r="AJ17" i="11"/>
  <c r="AJ20" i="11"/>
  <c r="AJ21" i="11" s="1"/>
  <c r="AJ40" i="11" s="1"/>
  <c r="AJ7" i="11"/>
  <c r="AG10" i="11"/>
  <c r="AH28" i="4"/>
  <c r="AH39" i="4" s="1"/>
  <c r="AH34" i="4" s="1"/>
  <c r="AH41" i="4" s="1"/>
  <c r="AH9" i="10"/>
  <c r="AH10" i="10" s="1"/>
  <c r="AH39" i="9"/>
  <c r="AK13" i="10"/>
  <c r="AJ7" i="10"/>
  <c r="AJ17" i="10"/>
  <c r="AJ20" i="10"/>
  <c r="AJ21" i="10" s="1"/>
  <c r="AJ39" i="10"/>
  <c r="AL14" i="10"/>
  <c r="AL38" i="10" s="1"/>
  <c r="AK38" i="10"/>
  <c r="AI8" i="10"/>
  <c r="AI6" i="10"/>
  <c r="AI30" i="10"/>
  <c r="AI29" i="10" s="1"/>
  <c r="AF52" i="9"/>
  <c r="AK12" i="9"/>
  <c r="AJ6" i="9"/>
  <c r="AJ16" i="9"/>
  <c r="AJ19" i="9"/>
  <c r="AJ20" i="9" s="1"/>
  <c r="AJ38" i="9"/>
  <c r="AL13" i="9"/>
  <c r="AL37" i="9" s="1"/>
  <c r="AK37" i="9"/>
  <c r="AK15" i="9"/>
  <c r="AL15" i="9" s="1"/>
  <c r="AF51" i="9"/>
  <c r="AI7" i="9"/>
  <c r="AI5" i="9"/>
  <c r="AI29" i="9"/>
  <c r="AI28" i="9" s="1"/>
  <c r="AH8" i="9"/>
  <c r="AJ6" i="4"/>
  <c r="AJ38" i="4"/>
  <c r="AE51" i="4"/>
  <c r="AE52" i="4"/>
  <c r="AF50" i="4"/>
  <c r="AF44" i="4"/>
  <c r="AF45" i="4"/>
  <c r="AG9" i="4"/>
  <c r="AG43" i="4"/>
  <c r="AG48" i="4" s="1"/>
  <c r="AI29" i="4"/>
  <c r="AH8" i="4"/>
  <c r="AI7" i="4"/>
  <c r="AK12" i="4"/>
  <c r="AJ16" i="4"/>
  <c r="AJ19" i="4"/>
  <c r="AJ20" i="4" s="1"/>
  <c r="AJ5" i="4" s="1"/>
  <c r="AM14" i="11" l="1"/>
  <c r="AL38" i="11"/>
  <c r="AH10" i="11"/>
  <c r="AG43" i="9"/>
  <c r="AG45" i="9" s="1"/>
  <c r="AH34" i="9"/>
  <c r="AH41" i="9" s="1"/>
  <c r="AJ9" i="13"/>
  <c r="AJ10" i="13" s="1"/>
  <c r="AL16" i="13"/>
  <c r="AK8" i="13"/>
  <c r="AK6" i="13"/>
  <c r="AK30" i="13"/>
  <c r="AK29" i="13" s="1"/>
  <c r="AK40" i="13" s="1"/>
  <c r="AK35" i="13" s="1"/>
  <c r="AK42" i="13" s="1"/>
  <c r="AG52" i="13"/>
  <c r="AH52" i="13" s="1"/>
  <c r="AL7" i="13"/>
  <c r="AL17" i="13"/>
  <c r="AL39" i="13"/>
  <c r="AL20" i="13"/>
  <c r="AL21" i="13" s="1"/>
  <c r="AI49" i="13"/>
  <c r="AI51" i="13" s="1"/>
  <c r="AI53" i="13" s="1"/>
  <c r="AI46" i="13"/>
  <c r="AI45" i="13"/>
  <c r="AI9" i="11"/>
  <c r="AK17" i="11"/>
  <c r="AL13" i="11"/>
  <c r="AK7" i="11"/>
  <c r="AK20" i="11"/>
  <c r="AK21" i="11" s="1"/>
  <c r="AK40" i="11" s="1"/>
  <c r="AJ8" i="11"/>
  <c r="AJ6" i="11"/>
  <c r="AI28" i="4"/>
  <c r="AI39" i="4" s="1"/>
  <c r="AI34" i="4" s="1"/>
  <c r="AI41" i="4" s="1"/>
  <c r="AI39" i="9"/>
  <c r="AL16" i="10"/>
  <c r="AI9" i="10"/>
  <c r="AI10" i="10" s="1"/>
  <c r="AJ8" i="10"/>
  <c r="AJ6" i="10"/>
  <c r="AJ30" i="10"/>
  <c r="AJ29" i="10" s="1"/>
  <c r="AL13" i="10"/>
  <c r="AK7" i="10"/>
  <c r="AK17" i="10"/>
  <c r="AK20" i="10"/>
  <c r="AK21" i="10" s="1"/>
  <c r="AK39" i="10"/>
  <c r="AI8" i="9"/>
  <c r="AL12" i="9"/>
  <c r="AK16" i="9"/>
  <c r="AK19" i="9"/>
  <c r="AK20" i="9" s="1"/>
  <c r="AK38" i="9"/>
  <c r="AK6" i="9"/>
  <c r="AH9" i="9"/>
  <c r="AJ7" i="9"/>
  <c r="AJ5" i="9"/>
  <c r="AJ29" i="9"/>
  <c r="AJ28" i="9" s="1"/>
  <c r="AK6" i="4"/>
  <c r="AK38" i="4"/>
  <c r="AF51" i="4"/>
  <c r="AF52" i="4"/>
  <c r="AG50" i="4"/>
  <c r="AG44" i="4"/>
  <c r="AG45" i="4"/>
  <c r="AH9" i="4"/>
  <c r="AH43" i="4"/>
  <c r="AH48" i="4" s="1"/>
  <c r="AJ29" i="4"/>
  <c r="AJ28" i="4" s="1"/>
  <c r="AJ39" i="4" s="1"/>
  <c r="AJ34" i="4" s="1"/>
  <c r="AI8" i="4"/>
  <c r="AJ7" i="4"/>
  <c r="AL12" i="4"/>
  <c r="AK16" i="4"/>
  <c r="AK19" i="4"/>
  <c r="AK20" i="4" s="1"/>
  <c r="AK5" i="4" s="1"/>
  <c r="AL39" i="11" l="1"/>
  <c r="AM13" i="11"/>
  <c r="AM16" i="11"/>
  <c r="AN16" i="11" s="1"/>
  <c r="AN14" i="11"/>
  <c r="AM38" i="11"/>
  <c r="AH43" i="9"/>
  <c r="AH45" i="9" s="1"/>
  <c r="AI10" i="11"/>
  <c r="AG44" i="9"/>
  <c r="AG48" i="9"/>
  <c r="AG50" i="9" s="1"/>
  <c r="AG52" i="9" s="1"/>
  <c r="AI34" i="9"/>
  <c r="AI41" i="9" s="1"/>
  <c r="AJ44" i="13"/>
  <c r="AJ49" i="13" s="1"/>
  <c r="AJ51" i="13" s="1"/>
  <c r="AJ53" i="13" s="1"/>
  <c r="AJ8" i="9"/>
  <c r="AJ9" i="9" s="1"/>
  <c r="AK9" i="13"/>
  <c r="AK10" i="13" s="1"/>
  <c r="AG51" i="9"/>
  <c r="AL8" i="13"/>
  <c r="AL6" i="13"/>
  <c r="AL30" i="13"/>
  <c r="AL29" i="13" s="1"/>
  <c r="AL40" i="13" s="1"/>
  <c r="AL35" i="13" s="1"/>
  <c r="AL42" i="13" s="1"/>
  <c r="AI52" i="13"/>
  <c r="AJ9" i="11"/>
  <c r="AK8" i="11"/>
  <c r="AK6" i="11"/>
  <c r="AL7" i="11"/>
  <c r="AL17" i="11"/>
  <c r="AL20" i="11"/>
  <c r="AL21" i="11" s="1"/>
  <c r="AL40" i="11" s="1"/>
  <c r="AJ41" i="4"/>
  <c r="AJ39" i="9"/>
  <c r="AJ9" i="10"/>
  <c r="AJ10" i="10" s="1"/>
  <c r="AK8" i="10"/>
  <c r="AK6" i="10"/>
  <c r="AK30" i="10"/>
  <c r="AK29" i="10" s="1"/>
  <c r="AL7" i="10"/>
  <c r="AL17" i="10"/>
  <c r="AL20" i="10"/>
  <c r="AL21" i="10" s="1"/>
  <c r="AL39" i="10"/>
  <c r="AI9" i="9"/>
  <c r="AL6" i="9"/>
  <c r="AL16" i="9"/>
  <c r="AL19" i="9"/>
  <c r="AL20" i="9" s="1"/>
  <c r="AL38" i="9"/>
  <c r="AK5" i="9"/>
  <c r="AK29" i="9"/>
  <c r="AK28" i="9" s="1"/>
  <c r="AK7" i="9"/>
  <c r="AL6" i="4"/>
  <c r="AL38" i="4"/>
  <c r="AG51" i="4"/>
  <c r="AG52" i="4"/>
  <c r="AH50" i="4"/>
  <c r="AH44" i="4"/>
  <c r="AH45" i="4"/>
  <c r="AI9" i="4"/>
  <c r="AI43" i="4"/>
  <c r="AI48" i="4" s="1"/>
  <c r="AK29" i="4"/>
  <c r="AK28" i="4" s="1"/>
  <c r="AK39" i="4" s="1"/>
  <c r="AK34" i="4" s="1"/>
  <c r="AK41" i="4" s="1"/>
  <c r="AJ8" i="4"/>
  <c r="AK7" i="4"/>
  <c r="AL16" i="4"/>
  <c r="AL19" i="4"/>
  <c r="AL20" i="4" s="1"/>
  <c r="AL5" i="4" s="1"/>
  <c r="AH48" i="9" l="1"/>
  <c r="AH50" i="9" s="1"/>
  <c r="AO14" i="11"/>
  <c r="AN38" i="11"/>
  <c r="AO16" i="11"/>
  <c r="AM20" i="11"/>
  <c r="AM21" i="11" s="1"/>
  <c r="AM17" i="11"/>
  <c r="AM39" i="11"/>
  <c r="AN13" i="11"/>
  <c r="AM7" i="11"/>
  <c r="AH44" i="9"/>
  <c r="AI43" i="9"/>
  <c r="AI48" i="9" s="1"/>
  <c r="AI50" i="9" s="1"/>
  <c r="AI52" i="9" s="1"/>
  <c r="AJ10" i="11"/>
  <c r="AK9" i="11"/>
  <c r="AJ34" i="9"/>
  <c r="AJ43" i="9" s="1"/>
  <c r="AL9" i="13"/>
  <c r="AL44" i="13" s="1"/>
  <c r="AJ45" i="13"/>
  <c r="AJ46" i="13"/>
  <c r="AK44" i="13"/>
  <c r="AK46" i="13" s="1"/>
  <c r="AJ52" i="13"/>
  <c r="AL6" i="11"/>
  <c r="AL8" i="11"/>
  <c r="AK39" i="9"/>
  <c r="AL6" i="10"/>
  <c r="AL30" i="10"/>
  <c r="AL29" i="10" s="1"/>
  <c r="AL8" i="10"/>
  <c r="AK9" i="10"/>
  <c r="AK8" i="9"/>
  <c r="AK9" i="9" s="1"/>
  <c r="AH52" i="9"/>
  <c r="AH51" i="9"/>
  <c r="AL5" i="9"/>
  <c r="AL29" i="9"/>
  <c r="AL28" i="9" s="1"/>
  <c r="AL7" i="9"/>
  <c r="AH51" i="4"/>
  <c r="AH52" i="4"/>
  <c r="AI50" i="4"/>
  <c r="AI44" i="4"/>
  <c r="AI45" i="4"/>
  <c r="AJ9" i="4"/>
  <c r="AJ43" i="4"/>
  <c r="AJ48" i="4" s="1"/>
  <c r="AL29" i="4"/>
  <c r="AK8" i="4"/>
  <c r="AL7" i="4"/>
  <c r="AL10" i="13" l="1"/>
  <c r="AI44" i="9"/>
  <c r="AP14" i="11"/>
  <c r="AO38" i="11"/>
  <c r="AO13" i="11"/>
  <c r="AN20" i="11"/>
  <c r="AN21" i="11" s="1"/>
  <c r="AN39" i="11"/>
  <c r="AN7" i="11"/>
  <c r="AN17" i="11"/>
  <c r="AI45" i="9"/>
  <c r="AM30" i="11"/>
  <c r="AM8" i="11"/>
  <c r="AM6" i="11"/>
  <c r="AM9" i="11" s="1"/>
  <c r="AM40" i="11"/>
  <c r="AM35" i="11" s="1"/>
  <c r="AI51" i="9"/>
  <c r="AK49" i="13"/>
  <c r="AK51" i="13" s="1"/>
  <c r="AK10" i="11"/>
  <c r="AJ41" i="9"/>
  <c r="AK34" i="9"/>
  <c r="AK41" i="9" s="1"/>
  <c r="AK45" i="13"/>
  <c r="AL49" i="13"/>
  <c r="AL51" i="13" s="1"/>
  <c r="AL46" i="13"/>
  <c r="AL45" i="13"/>
  <c r="AJ44" i="9"/>
  <c r="AJ48" i="9"/>
  <c r="AJ50" i="9" s="1"/>
  <c r="AJ45" i="9"/>
  <c r="AL9" i="11"/>
  <c r="AL28" i="4"/>
  <c r="AL39" i="4" s="1"/>
  <c r="AL34" i="4" s="1"/>
  <c r="AL41" i="4" s="1"/>
  <c r="AL39" i="9"/>
  <c r="AK10" i="10"/>
  <c r="AL9" i="10"/>
  <c r="AM10" i="10" s="1"/>
  <c r="AL8" i="9"/>
  <c r="AI51" i="4"/>
  <c r="AI52" i="4"/>
  <c r="AJ50" i="4"/>
  <c r="AJ44" i="4"/>
  <c r="AJ45" i="4"/>
  <c r="AK9" i="4"/>
  <c r="AK43" i="4"/>
  <c r="AK48" i="4" s="1"/>
  <c r="AL8" i="4"/>
  <c r="AM44" i="11" l="1"/>
  <c r="AM49" i="11"/>
  <c r="AM51" i="11" s="1"/>
  <c r="AM46" i="11"/>
  <c r="AM10" i="11"/>
  <c r="AP13" i="11"/>
  <c r="AO20" i="11"/>
  <c r="AO21" i="11" s="1"/>
  <c r="AO39" i="11"/>
  <c r="AO17" i="11"/>
  <c r="AO7" i="11"/>
  <c r="AP38" i="11"/>
  <c r="AQ14" i="11"/>
  <c r="AN40" i="11"/>
  <c r="AN35" i="11" s="1"/>
  <c r="AN42" i="11" s="1"/>
  <c r="AN8" i="11"/>
  <c r="AN6" i="11"/>
  <c r="AN9" i="11" s="1"/>
  <c r="AN30" i="11"/>
  <c r="AP16" i="11"/>
  <c r="AQ16" i="11" s="1"/>
  <c r="AK53" i="13"/>
  <c r="AK52" i="13"/>
  <c r="AL52" i="13" s="1"/>
  <c r="AK43" i="9"/>
  <c r="AK48" i="9" s="1"/>
  <c r="AL34" i="9"/>
  <c r="AL41" i="9" s="1"/>
  <c r="AL53" i="13"/>
  <c r="F58" i="13"/>
  <c r="F60" i="13" s="1"/>
  <c r="AJ52" i="9"/>
  <c r="AJ51" i="9"/>
  <c r="AL10" i="11"/>
  <c r="AK50" i="9"/>
  <c r="AK52" i="9" s="1"/>
  <c r="AK44" i="9"/>
  <c r="AK45" i="9"/>
  <c r="AL10" i="10"/>
  <c r="AL9" i="9"/>
  <c r="AJ51" i="4"/>
  <c r="AJ52" i="4"/>
  <c r="AK50" i="4"/>
  <c r="AK44" i="4"/>
  <c r="AK45" i="4"/>
  <c r="AL9" i="4"/>
  <c r="AL43" i="4"/>
  <c r="AL48" i="4" s="1"/>
  <c r="AN10" i="11" l="1"/>
  <c r="AN44" i="11"/>
  <c r="AQ38" i="11"/>
  <c r="AR14" i="11"/>
  <c r="AO8" i="11"/>
  <c r="AO40" i="11"/>
  <c r="AO35" i="11" s="1"/>
  <c r="AO42" i="11" s="1"/>
  <c r="AO6" i="11"/>
  <c r="AO9" i="11" s="1"/>
  <c r="AO30" i="11"/>
  <c r="AQ13" i="11"/>
  <c r="AP7" i="11"/>
  <c r="AP39" i="11"/>
  <c r="AP20" i="11"/>
  <c r="AP21" i="11" s="1"/>
  <c r="AP17" i="11"/>
  <c r="AM53" i="11"/>
  <c r="AL43" i="9"/>
  <c r="AL48" i="9" s="1"/>
  <c r="AL50" i="9" s="1"/>
  <c r="F59" i="13"/>
  <c r="AK51" i="9"/>
  <c r="AK51" i="4"/>
  <c r="AK52" i="4"/>
  <c r="AL50" i="4"/>
  <c r="F57" i="4" s="1"/>
  <c r="F59" i="4" s="1"/>
  <c r="AL44" i="4"/>
  <c r="AL45" i="4"/>
  <c r="AO10" i="11" l="1"/>
  <c r="AO44" i="11"/>
  <c r="AS14" i="11"/>
  <c r="AR38" i="11"/>
  <c r="AN49" i="11"/>
  <c r="AN51" i="11" s="1"/>
  <c r="AN46" i="11"/>
  <c r="AP6" i="11"/>
  <c r="AP40" i="11"/>
  <c r="AP35" i="11" s="1"/>
  <c r="AP42" i="11" s="1"/>
  <c r="AP30" i="11"/>
  <c r="AP8" i="11"/>
  <c r="AQ39" i="11"/>
  <c r="AR13" i="11"/>
  <c r="AQ7" i="11"/>
  <c r="AQ17" i="11"/>
  <c r="AQ20" i="11"/>
  <c r="AQ21" i="11" s="1"/>
  <c r="AR16" i="11"/>
  <c r="AL44" i="9"/>
  <c r="AL45" i="9"/>
  <c r="AL52" i="9"/>
  <c r="F57" i="9"/>
  <c r="AL51" i="9"/>
  <c r="F58" i="4"/>
  <c r="AL51" i="4"/>
  <c r="AL52" i="4"/>
  <c r="AR17" i="11" l="1"/>
  <c r="AR7" i="11"/>
  <c r="AS13" i="11"/>
  <c r="AR20" i="11"/>
  <c r="AR21" i="11" s="1"/>
  <c r="AR39" i="11"/>
  <c r="AN53" i="11"/>
  <c r="AP9" i="11"/>
  <c r="AQ8" i="11"/>
  <c r="AQ40" i="11"/>
  <c r="AQ35" i="11" s="1"/>
  <c r="AQ42" i="11" s="1"/>
  <c r="AQ6" i="11"/>
  <c r="AQ9" i="11" s="1"/>
  <c r="AQ30" i="11"/>
  <c r="AS38" i="11"/>
  <c r="AT14" i="11"/>
  <c r="AO46" i="11"/>
  <c r="AO49" i="11"/>
  <c r="AO51" i="11" s="1"/>
  <c r="AO53" i="11" s="1"/>
  <c r="AS16" i="11"/>
  <c r="F58" i="9"/>
  <c r="F59" i="9"/>
  <c r="E46" i="2"/>
  <c r="E40" i="2"/>
  <c r="F40" i="2"/>
  <c r="G40" i="2"/>
  <c r="H40" i="2"/>
  <c r="I40" i="2"/>
  <c r="J40" i="2"/>
  <c r="K40" i="2"/>
  <c r="L40" i="2"/>
  <c r="M40" i="2"/>
  <c r="N40" i="2"/>
  <c r="O40" i="2"/>
  <c r="D40" i="2"/>
  <c r="E39" i="2"/>
  <c r="F39" i="2"/>
  <c r="G39" i="2"/>
  <c r="H39" i="2"/>
  <c r="I39" i="2"/>
  <c r="J39" i="2"/>
  <c r="K39" i="2"/>
  <c r="L39" i="2"/>
  <c r="M39" i="2"/>
  <c r="N39" i="2"/>
  <c r="O39" i="2"/>
  <c r="D39" i="2"/>
  <c r="E38" i="2"/>
  <c r="F38" i="2"/>
  <c r="G38" i="2"/>
  <c r="H38" i="2"/>
  <c r="I38" i="2"/>
  <c r="J38" i="2"/>
  <c r="K38" i="2"/>
  <c r="L38" i="2"/>
  <c r="M38" i="2"/>
  <c r="N38" i="2"/>
  <c r="O38" i="2"/>
  <c r="D38" i="2"/>
  <c r="G24" i="3"/>
  <c r="F24" i="3"/>
  <c r="E24" i="3"/>
  <c r="D24" i="3"/>
  <c r="G23" i="3"/>
  <c r="F23" i="3"/>
  <c r="E23" i="3"/>
  <c r="D23" i="3"/>
  <c r="O21" i="3"/>
  <c r="N21" i="3"/>
  <c r="M21" i="3"/>
  <c r="L21" i="3"/>
  <c r="K21" i="3"/>
  <c r="J21" i="3"/>
  <c r="I21" i="3"/>
  <c r="H21" i="3"/>
  <c r="G21" i="3"/>
  <c r="F21" i="3"/>
  <c r="E21" i="3"/>
  <c r="D21" i="3"/>
  <c r="D19" i="3" s="1"/>
  <c r="E20" i="3"/>
  <c r="E19" i="3" s="1"/>
  <c r="D20" i="3"/>
  <c r="O11" i="3"/>
  <c r="N11" i="3"/>
  <c r="M11" i="3"/>
  <c r="L11" i="3"/>
  <c r="K11" i="3"/>
  <c r="J11" i="3"/>
  <c r="I11" i="3"/>
  <c r="H11" i="3"/>
  <c r="G11" i="3"/>
  <c r="F11" i="3"/>
  <c r="E11" i="3"/>
  <c r="D11" i="3"/>
  <c r="E4" i="3"/>
  <c r="F4" i="3" s="1"/>
  <c r="G4" i="3" s="1"/>
  <c r="H4" i="3" s="1"/>
  <c r="I4" i="3" s="1"/>
  <c r="J4" i="3" s="1"/>
  <c r="K4" i="3" s="1"/>
  <c r="L4" i="3" s="1"/>
  <c r="M4" i="3" s="1"/>
  <c r="N4" i="3" s="1"/>
  <c r="O4" i="3" s="1"/>
  <c r="H34" i="2"/>
  <c r="I34" i="2" s="1"/>
  <c r="O30" i="2"/>
  <c r="O17" i="3" s="1"/>
  <c r="N30" i="2"/>
  <c r="N17" i="3" s="1"/>
  <c r="M30" i="2"/>
  <c r="M17" i="3" s="1"/>
  <c r="L30" i="2"/>
  <c r="L16" i="3" s="1"/>
  <c r="K30" i="2"/>
  <c r="K17" i="3" s="1"/>
  <c r="J30" i="2"/>
  <c r="J16" i="3" s="1"/>
  <c r="I30" i="2"/>
  <c r="I16" i="3" s="1"/>
  <c r="H30" i="2"/>
  <c r="H16" i="3" s="1"/>
  <c r="G30" i="2"/>
  <c r="G17" i="3" s="1"/>
  <c r="F30" i="2"/>
  <c r="F16" i="3" s="1"/>
  <c r="E30" i="2"/>
  <c r="E16" i="3" s="1"/>
  <c r="D30" i="2"/>
  <c r="D16" i="3" s="1"/>
  <c r="M28" i="2"/>
  <c r="M16" i="3" s="1"/>
  <c r="K28" i="2"/>
  <c r="K16" i="3" s="1"/>
  <c r="G28" i="2"/>
  <c r="G16" i="3" s="1"/>
  <c r="G27" i="2"/>
  <c r="G20" i="3" s="1"/>
  <c r="G19" i="3" s="1"/>
  <c r="F27" i="2"/>
  <c r="F20" i="3" s="1"/>
  <c r="F19" i="3" s="1"/>
  <c r="M16" i="2"/>
  <c r="M10" i="3" s="1"/>
  <c r="L16" i="2"/>
  <c r="L10" i="3" s="1"/>
  <c r="K16" i="2"/>
  <c r="K10" i="3" s="1"/>
  <c r="J16" i="2"/>
  <c r="J10" i="3" s="1"/>
  <c r="I16" i="2"/>
  <c r="I10" i="3" s="1"/>
  <c r="H16" i="2"/>
  <c r="H10" i="3" s="1"/>
  <c r="G16" i="2"/>
  <c r="G13" i="3" s="1"/>
  <c r="F16" i="2"/>
  <c r="F13" i="3" s="1"/>
  <c r="D16" i="2"/>
  <c r="D13" i="3" s="1"/>
  <c r="O15" i="2"/>
  <c r="O6" i="3" s="1"/>
  <c r="N15" i="2"/>
  <c r="N6" i="3" s="1"/>
  <c r="M15" i="2"/>
  <c r="M6" i="3" s="1"/>
  <c r="L15" i="2"/>
  <c r="L6" i="3" s="1"/>
  <c r="K15" i="2"/>
  <c r="K6" i="3" s="1"/>
  <c r="J15" i="2"/>
  <c r="J6" i="3" s="1"/>
  <c r="I15" i="2"/>
  <c r="I6" i="3" s="1"/>
  <c r="H15" i="2"/>
  <c r="H6" i="3" s="1"/>
  <c r="G15" i="2"/>
  <c r="G6" i="3" s="1"/>
  <c r="F15" i="2"/>
  <c r="F6" i="3" s="1"/>
  <c r="E15" i="2"/>
  <c r="E16" i="2" s="1"/>
  <c r="D15" i="2"/>
  <c r="D6" i="3" s="1"/>
  <c r="O13" i="2"/>
  <c r="N13" i="2"/>
  <c r="M13" i="2"/>
  <c r="L13" i="2"/>
  <c r="K13" i="2"/>
  <c r="J13" i="2"/>
  <c r="I13" i="2"/>
  <c r="H13" i="2"/>
  <c r="G13" i="2"/>
  <c r="F13" i="2"/>
  <c r="E13" i="2"/>
  <c r="D13" i="2"/>
  <c r="O9" i="2"/>
  <c r="N9" i="2"/>
  <c r="M9" i="2"/>
  <c r="L9" i="2"/>
  <c r="K9" i="2"/>
  <c r="J9" i="2"/>
  <c r="G9" i="2"/>
  <c r="O8" i="2"/>
  <c r="N8" i="2"/>
  <c r="M8" i="2"/>
  <c r="L8" i="2"/>
  <c r="K8" i="2"/>
  <c r="J8" i="2"/>
  <c r="I8" i="2"/>
  <c r="I9" i="2" s="1"/>
  <c r="H8" i="2"/>
  <c r="H9" i="2" s="1"/>
  <c r="G8" i="2"/>
  <c r="F8" i="2"/>
  <c r="F9" i="2" s="1"/>
  <c r="E8" i="2"/>
  <c r="E9" i="2" s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AT16" i="11" l="1"/>
  <c r="AU14" i="11"/>
  <c r="AT38" i="11"/>
  <c r="AQ44" i="11"/>
  <c r="AQ10" i="11"/>
  <c r="AR6" i="11"/>
  <c r="AR30" i="11"/>
  <c r="AR40" i="11"/>
  <c r="AR35" i="11" s="1"/>
  <c r="AR42" i="11" s="1"/>
  <c r="AR8" i="11"/>
  <c r="AT13" i="11"/>
  <c r="AS39" i="11"/>
  <c r="AS17" i="11"/>
  <c r="AS20" i="11"/>
  <c r="AS21" i="11" s="1"/>
  <c r="AS7" i="11"/>
  <c r="AP44" i="11"/>
  <c r="AP10" i="11"/>
  <c r="I24" i="3"/>
  <c r="I23" i="3" s="1"/>
  <c r="J34" i="2"/>
  <c r="H15" i="3"/>
  <c r="E13" i="3"/>
  <c r="E41" i="2" s="1"/>
  <c r="E42" i="2" s="1"/>
  <c r="E7" i="3"/>
  <c r="E10" i="3"/>
  <c r="E9" i="3" s="1"/>
  <c r="G15" i="3"/>
  <c r="K15" i="3"/>
  <c r="M15" i="3"/>
  <c r="N16" i="2"/>
  <c r="H7" i="3"/>
  <c r="H13" i="3"/>
  <c r="D17" i="3"/>
  <c r="D15" i="3" s="1"/>
  <c r="H24" i="3"/>
  <c r="H23" i="3" s="1"/>
  <c r="N28" i="2"/>
  <c r="O16" i="2"/>
  <c r="E6" i="3"/>
  <c r="I7" i="3"/>
  <c r="I13" i="3"/>
  <c r="E17" i="3"/>
  <c r="E15" i="3" s="1"/>
  <c r="J7" i="3"/>
  <c r="J13" i="3"/>
  <c r="F17" i="3"/>
  <c r="F15" i="3" s="1"/>
  <c r="K7" i="3"/>
  <c r="K13" i="3"/>
  <c r="H27" i="2"/>
  <c r="L7" i="3"/>
  <c r="D10" i="3"/>
  <c r="D9" i="3" s="1"/>
  <c r="L13" i="3"/>
  <c r="H17" i="3"/>
  <c r="M7" i="3"/>
  <c r="M13" i="3"/>
  <c r="I17" i="3"/>
  <c r="I15" i="3" s="1"/>
  <c r="F10" i="3"/>
  <c r="F9" i="3" s="1"/>
  <c r="J17" i="3"/>
  <c r="J15" i="3" s="1"/>
  <c r="G10" i="3"/>
  <c r="G9" i="3" s="1"/>
  <c r="L17" i="3"/>
  <c r="L15" i="3" s="1"/>
  <c r="D7" i="3"/>
  <c r="F7" i="3"/>
  <c r="G7" i="3"/>
  <c r="AT17" i="11" l="1"/>
  <c r="AT39" i="11"/>
  <c r="AU13" i="11"/>
  <c r="AT7" i="11"/>
  <c r="AT20" i="11"/>
  <c r="AT21" i="11" s="1"/>
  <c r="AP49" i="11"/>
  <c r="AP51" i="11" s="1"/>
  <c r="AP46" i="11"/>
  <c r="AQ46" i="11"/>
  <c r="AQ49" i="11"/>
  <c r="AQ51" i="11" s="1"/>
  <c r="AQ53" i="11" s="1"/>
  <c r="AU16" i="11"/>
  <c r="AV16" i="11" s="1"/>
  <c r="AS6" i="11"/>
  <c r="AS30" i="11"/>
  <c r="AS40" i="11"/>
  <c r="AS35" i="11" s="1"/>
  <c r="AS42" i="11" s="1"/>
  <c r="AS8" i="11"/>
  <c r="AR9" i="11"/>
  <c r="AU38" i="11"/>
  <c r="AV14" i="11"/>
  <c r="G28" i="3"/>
  <c r="G29" i="3" s="1"/>
  <c r="J9" i="3"/>
  <c r="J41" i="2"/>
  <c r="J42" i="2" s="1"/>
  <c r="F28" i="3"/>
  <c r="F29" i="3" s="1"/>
  <c r="L9" i="3"/>
  <c r="L41" i="2"/>
  <c r="L42" i="2" s="1"/>
  <c r="D41" i="2"/>
  <c r="D42" i="2" s="1"/>
  <c r="K9" i="3"/>
  <c r="K41" i="2"/>
  <c r="K42" i="2" s="1"/>
  <c r="I9" i="3"/>
  <c r="I41" i="2"/>
  <c r="I42" i="2" s="1"/>
  <c r="M9" i="3"/>
  <c r="M41" i="2"/>
  <c r="M42" i="2" s="1"/>
  <c r="G41" i="2"/>
  <c r="G42" i="2" s="1"/>
  <c r="H9" i="3"/>
  <c r="H41" i="2"/>
  <c r="H42" i="2" s="1"/>
  <c r="F41" i="2"/>
  <c r="F42" i="2" s="1"/>
  <c r="E28" i="3"/>
  <c r="E29" i="3" s="1"/>
  <c r="N16" i="3"/>
  <c r="N15" i="3" s="1"/>
  <c r="O16" i="3"/>
  <c r="O15" i="3" s="1"/>
  <c r="H20" i="3"/>
  <c r="H19" i="3" s="1"/>
  <c r="I27" i="2"/>
  <c r="O10" i="3"/>
  <c r="O13" i="3"/>
  <c r="O41" i="2" s="1"/>
  <c r="O42" i="2" s="1"/>
  <c r="O7" i="3"/>
  <c r="J24" i="3"/>
  <c r="J23" i="3" s="1"/>
  <c r="K34" i="2"/>
  <c r="D28" i="3"/>
  <c r="D29" i="3" s="1"/>
  <c r="N10" i="3"/>
  <c r="N13" i="3"/>
  <c r="N41" i="2" s="1"/>
  <c r="N42" i="2" s="1"/>
  <c r="N7" i="3"/>
  <c r="AS9" i="11" l="1"/>
  <c r="AW16" i="11"/>
  <c r="AT8" i="11"/>
  <c r="AT6" i="11"/>
  <c r="AT9" i="11" s="1"/>
  <c r="AT30" i="11"/>
  <c r="AT40" i="11"/>
  <c r="AT35" i="11" s="1"/>
  <c r="AT42" i="11" s="1"/>
  <c r="AU39" i="11"/>
  <c r="AU7" i="11"/>
  <c r="AU17" i="11"/>
  <c r="AU20" i="11"/>
  <c r="AU21" i="11" s="1"/>
  <c r="AV13" i="11"/>
  <c r="AR10" i="11"/>
  <c r="AR44" i="11"/>
  <c r="AP53" i="11"/>
  <c r="AV38" i="11"/>
  <c r="AW14" i="11"/>
  <c r="H28" i="3"/>
  <c r="H29" i="3" s="1"/>
  <c r="K24" i="3"/>
  <c r="K23" i="3" s="1"/>
  <c r="L34" i="2"/>
  <c r="O9" i="3"/>
  <c r="N9" i="3"/>
  <c r="I20" i="3"/>
  <c r="I19" i="3" s="1"/>
  <c r="I28" i="3" s="1"/>
  <c r="I29" i="3" s="1"/>
  <c r="J27" i="2"/>
  <c r="AR49" i="11" l="1"/>
  <c r="AR51" i="11" s="1"/>
  <c r="AR46" i="11"/>
  <c r="AW13" i="11"/>
  <c r="AV7" i="11"/>
  <c r="AV20" i="11"/>
  <c r="AV21" i="11" s="1"/>
  <c r="AV17" i="11"/>
  <c r="AV39" i="11"/>
  <c r="AU8" i="11"/>
  <c r="AU6" i="11"/>
  <c r="AU30" i="11"/>
  <c r="AU40" i="11"/>
  <c r="AU35" i="11" s="1"/>
  <c r="AU42" i="11" s="1"/>
  <c r="AT44" i="11"/>
  <c r="AT10" i="11"/>
  <c r="AX14" i="11"/>
  <c r="AX38" i="11" s="1"/>
  <c r="AW38" i="11"/>
  <c r="AS44" i="11"/>
  <c r="AS10" i="11"/>
  <c r="J20" i="3"/>
  <c r="J19" i="3" s="1"/>
  <c r="J28" i="3" s="1"/>
  <c r="J29" i="3" s="1"/>
  <c r="K27" i="2"/>
  <c r="L24" i="3"/>
  <c r="L23" i="3" s="1"/>
  <c r="M34" i="2"/>
  <c r="AU9" i="11" l="1"/>
  <c r="AT46" i="11"/>
  <c r="AT49" i="11"/>
  <c r="AT51" i="11" s="1"/>
  <c r="AT53" i="11" s="1"/>
  <c r="AU10" i="11"/>
  <c r="AU44" i="11"/>
  <c r="AX16" i="11"/>
  <c r="AV8" i="11"/>
  <c r="AV6" i="11"/>
  <c r="AV9" i="11" s="1"/>
  <c r="AV30" i="11"/>
  <c r="AV40" i="11"/>
  <c r="AV35" i="11" s="1"/>
  <c r="AV42" i="11" s="1"/>
  <c r="AW39" i="11"/>
  <c r="AW7" i="11"/>
  <c r="AW17" i="11"/>
  <c r="AW20" i="11"/>
  <c r="AW21" i="11" s="1"/>
  <c r="AX13" i="11"/>
  <c r="AS49" i="11"/>
  <c r="AS51" i="11" s="1"/>
  <c r="AS46" i="11"/>
  <c r="AR53" i="11"/>
  <c r="M24" i="3"/>
  <c r="M23" i="3" s="1"/>
  <c r="N34" i="2"/>
  <c r="K20" i="3"/>
  <c r="K19" i="3" s="1"/>
  <c r="K28" i="3" s="1"/>
  <c r="K29" i="3" s="1"/>
  <c r="L27" i="2"/>
  <c r="AS53" i="11" l="1"/>
  <c r="AW6" i="11"/>
  <c r="AW30" i="11"/>
  <c r="AW40" i="11"/>
  <c r="AW35" i="11" s="1"/>
  <c r="AW42" i="11" s="1"/>
  <c r="AW8" i="11"/>
  <c r="AV44" i="11"/>
  <c r="AV10" i="11"/>
  <c r="AX7" i="11"/>
  <c r="AX17" i="11"/>
  <c r="AX20" i="11"/>
  <c r="AX21" i="11" s="1"/>
  <c r="AX39" i="11"/>
  <c r="AU49" i="11"/>
  <c r="AU46" i="11"/>
  <c r="AU51" i="11"/>
  <c r="AU53" i="11" s="1"/>
  <c r="M27" i="2"/>
  <c r="L20" i="3"/>
  <c r="L19" i="3" s="1"/>
  <c r="L28" i="3" s="1"/>
  <c r="L29" i="3" s="1"/>
  <c r="N24" i="3"/>
  <c r="N23" i="3" s="1"/>
  <c r="O34" i="2"/>
  <c r="O24" i="3" s="1"/>
  <c r="O23" i="3" s="1"/>
  <c r="AW9" i="11" l="1"/>
  <c r="AX40" i="11"/>
  <c r="AX35" i="11" s="1"/>
  <c r="AX42" i="11" s="1"/>
  <c r="AX8" i="11"/>
  <c r="AX6" i="11"/>
  <c r="AX9" i="11" s="1"/>
  <c r="AX30" i="11"/>
  <c r="AV49" i="11"/>
  <c r="AV51" i="11" s="1"/>
  <c r="AV53" i="11" s="1"/>
  <c r="AV46" i="11"/>
  <c r="N27" i="2"/>
  <c r="M20" i="3"/>
  <c r="M19" i="3" s="1"/>
  <c r="M28" i="3" s="1"/>
  <c r="M29" i="3" s="1"/>
  <c r="AX44" i="11" l="1"/>
  <c r="AX10" i="11"/>
  <c r="AW44" i="11"/>
  <c r="AW10" i="11"/>
  <c r="O27" i="2"/>
  <c r="O20" i="3" s="1"/>
  <c r="O19" i="3" s="1"/>
  <c r="O28" i="3" s="1"/>
  <c r="O29" i="3" s="1"/>
  <c r="N20" i="3"/>
  <c r="N19" i="3" s="1"/>
  <c r="N28" i="3" s="1"/>
  <c r="N29" i="3" s="1"/>
  <c r="Y40" i="10"/>
  <c r="Y35" i="10" s="1"/>
  <c r="I40" i="10"/>
  <c r="I35" i="10" s="1"/>
  <c r="M40" i="10"/>
  <c r="M35" i="10" s="1"/>
  <c r="AG40" i="10"/>
  <c r="AG35" i="10" s="1"/>
  <c r="AJ40" i="10"/>
  <c r="AJ35" i="10" s="1"/>
  <c r="D40" i="10"/>
  <c r="D35" i="10" s="1"/>
  <c r="AE40" i="10"/>
  <c r="AE35" i="10" s="1"/>
  <c r="AL40" i="10"/>
  <c r="AL35" i="10" s="1"/>
  <c r="AM42" i="10" s="1"/>
  <c r="V40" i="10"/>
  <c r="V35" i="10" s="1"/>
  <c r="T40" i="10"/>
  <c r="T35" i="10" s="1"/>
  <c r="P40" i="10"/>
  <c r="P35" i="10" s="1"/>
  <c r="Z40" i="10"/>
  <c r="Z35" i="10" s="1"/>
  <c r="AF40" i="10"/>
  <c r="AF35" i="10" s="1"/>
  <c r="AI40" i="10"/>
  <c r="AI35" i="10" s="1"/>
  <c r="K40" i="10"/>
  <c r="K35" i="10" s="1"/>
  <c r="J40" i="10"/>
  <c r="J35" i="10" s="1"/>
  <c r="R40" i="10"/>
  <c r="R35" i="10" s="1"/>
  <c r="O40" i="10"/>
  <c r="O35" i="10" s="1"/>
  <c r="U40" i="10"/>
  <c r="U35" i="10" s="1"/>
  <c r="X40" i="10"/>
  <c r="X35" i="10" s="1"/>
  <c r="S40" i="10"/>
  <c r="S35" i="10" s="1"/>
  <c r="AD40" i="10"/>
  <c r="AD35" i="10" s="1"/>
  <c r="AC40" i="10"/>
  <c r="AC35" i="10" s="1"/>
  <c r="N40" i="10"/>
  <c r="N35" i="10" s="1"/>
  <c r="G40" i="10"/>
  <c r="G35" i="10" s="1"/>
  <c r="E40" i="10"/>
  <c r="E35" i="10" s="1"/>
  <c r="AK40" i="10"/>
  <c r="AK35" i="10" s="1"/>
  <c r="F40" i="10"/>
  <c r="F35" i="10" s="1"/>
  <c r="W40" i="10"/>
  <c r="W35" i="10" s="1"/>
  <c r="AH40" i="10"/>
  <c r="AH35" i="10" s="1"/>
  <c r="Q40" i="10"/>
  <c r="Q35" i="10" s="1"/>
  <c r="H40" i="10"/>
  <c r="H35" i="10" s="1"/>
  <c r="L40" i="10"/>
  <c r="L35" i="10" s="1"/>
  <c r="L44" i="10" s="1"/>
  <c r="L49" i="10" s="1"/>
  <c r="L51" i="10" s="1"/>
  <c r="L53" i="10" s="1"/>
  <c r="C40" i="10"/>
  <c r="C35" i="10" s="1"/>
  <c r="C44" i="10" s="1"/>
  <c r="AA40" i="10"/>
  <c r="AA35" i="10" s="1"/>
  <c r="AA44" i="10" s="1"/>
  <c r="AA49" i="10" s="1"/>
  <c r="AB40" i="10"/>
  <c r="AB35" i="10" s="1"/>
  <c r="AW49" i="11" l="1"/>
  <c r="AW51" i="11" s="1"/>
  <c r="AW53" i="11" s="1"/>
  <c r="AW46" i="11"/>
  <c r="AX49" i="11"/>
  <c r="AX51" i="11" s="1"/>
  <c r="AX46" i="11"/>
  <c r="F42" i="10"/>
  <c r="AA51" i="10"/>
  <c r="X42" i="10"/>
  <c r="X44" i="10"/>
  <c r="V42" i="10"/>
  <c r="V44" i="10"/>
  <c r="AL42" i="10"/>
  <c r="AL44" i="10"/>
  <c r="D44" i="10"/>
  <c r="D42" i="10"/>
  <c r="AG42" i="10"/>
  <c r="AG44" i="10"/>
  <c r="AD42" i="10"/>
  <c r="AD44" i="10"/>
  <c r="AH44" i="10"/>
  <c r="AH42" i="10"/>
  <c r="W42" i="10"/>
  <c r="W44" i="10"/>
  <c r="K42" i="10"/>
  <c r="K44" i="10"/>
  <c r="AA42" i="10"/>
  <c r="Z42" i="10"/>
  <c r="Z44" i="10"/>
  <c r="Q44" i="10"/>
  <c r="Q42" i="10"/>
  <c r="U42" i="10"/>
  <c r="U44" i="10"/>
  <c r="R42" i="10"/>
  <c r="R44" i="10"/>
  <c r="AI44" i="10"/>
  <c r="AI42" i="10"/>
  <c r="AF44" i="10"/>
  <c r="AF42" i="10"/>
  <c r="Y44" i="10"/>
  <c r="Y42" i="10"/>
  <c r="H42" i="10"/>
  <c r="H44" i="10"/>
  <c r="S44" i="10"/>
  <c r="S42" i="10"/>
  <c r="AE44" i="10"/>
  <c r="AE42" i="10"/>
  <c r="O44" i="10"/>
  <c r="O42" i="10"/>
  <c r="AJ44" i="10"/>
  <c r="AJ42" i="10"/>
  <c r="AK42" i="10"/>
  <c r="AK44" i="10"/>
  <c r="M44" i="10"/>
  <c r="M42" i="10"/>
  <c r="P44" i="10"/>
  <c r="P42" i="10"/>
  <c r="AB42" i="10"/>
  <c r="AB44" i="10"/>
  <c r="AA53" i="10"/>
  <c r="J42" i="10"/>
  <c r="J44" i="10"/>
  <c r="C46" i="10"/>
  <c r="C45" i="10"/>
  <c r="C49" i="10"/>
  <c r="C51" i="10" s="1"/>
  <c r="E44" i="10"/>
  <c r="E42" i="10"/>
  <c r="G42" i="10"/>
  <c r="G44" i="10"/>
  <c r="I44" i="10"/>
  <c r="I42" i="10"/>
  <c r="L42" i="10"/>
  <c r="N42" i="10"/>
  <c r="N44" i="10"/>
  <c r="AC44" i="10"/>
  <c r="AC42" i="10"/>
  <c r="T44" i="10"/>
  <c r="T42" i="10"/>
  <c r="F44" i="10"/>
  <c r="L46" i="10"/>
  <c r="AA46" i="10"/>
  <c r="AX53" i="11" l="1"/>
  <c r="G58" i="11"/>
  <c r="P49" i="10"/>
  <c r="P51" i="10" s="1"/>
  <c r="P53" i="10" s="1"/>
  <c r="P46" i="10"/>
  <c r="M49" i="10"/>
  <c r="M51" i="10" s="1"/>
  <c r="M53" i="10" s="1"/>
  <c r="M46" i="10"/>
  <c r="Y46" i="10"/>
  <c r="Y49" i="10"/>
  <c r="Y51" i="10" s="1"/>
  <c r="Y53" i="10" s="1"/>
  <c r="I46" i="10"/>
  <c r="I49" i="10"/>
  <c r="I51" i="10" s="1"/>
  <c r="I53" i="10" s="1"/>
  <c r="AJ46" i="10"/>
  <c r="AJ49" i="10"/>
  <c r="AJ51" i="10" s="1"/>
  <c r="AJ53" i="10" s="1"/>
  <c r="AD49" i="10"/>
  <c r="AD51" i="10" s="1"/>
  <c r="AD46" i="10"/>
  <c r="G49" i="10"/>
  <c r="G51" i="10" s="1"/>
  <c r="G53" i="10" s="1"/>
  <c r="G46" i="10"/>
  <c r="AK46" i="10"/>
  <c r="AK49" i="10"/>
  <c r="AK51" i="10" s="1"/>
  <c r="AK53" i="10" s="1"/>
  <c r="E49" i="10"/>
  <c r="E51" i="10" s="1"/>
  <c r="E53" i="10" s="1"/>
  <c r="E46" i="10"/>
  <c r="C53" i="10"/>
  <c r="C52" i="10"/>
  <c r="F49" i="10"/>
  <c r="F51" i="10" s="1"/>
  <c r="F53" i="10" s="1"/>
  <c r="F46" i="10"/>
  <c r="Q46" i="10"/>
  <c r="Q49" i="10"/>
  <c r="Q51" i="10" s="1"/>
  <c r="Q53" i="10" s="1"/>
  <c r="N49" i="10"/>
  <c r="N51" i="10" s="1"/>
  <c r="N53" i="10" s="1"/>
  <c r="N46" i="10"/>
  <c r="V46" i="10"/>
  <c r="V49" i="10"/>
  <c r="V51" i="10" s="1"/>
  <c r="V53" i="10" s="1"/>
  <c r="U46" i="10"/>
  <c r="U49" i="10"/>
  <c r="U51" i="10" s="1"/>
  <c r="U53" i="10" s="1"/>
  <c r="O46" i="10"/>
  <c r="O49" i="10"/>
  <c r="O51" i="10" s="1"/>
  <c r="J49" i="10"/>
  <c r="J51" i="10" s="1"/>
  <c r="J53" i="10" s="1"/>
  <c r="J46" i="10"/>
  <c r="AF46" i="10"/>
  <c r="AF49" i="10"/>
  <c r="AF51" i="10" s="1"/>
  <c r="AF53" i="10" s="1"/>
  <c r="AI49" i="10"/>
  <c r="AI51" i="10" s="1"/>
  <c r="AI53" i="10" s="1"/>
  <c r="AI46" i="10"/>
  <c r="AG46" i="10"/>
  <c r="AG49" i="10"/>
  <c r="AG51" i="10" s="1"/>
  <c r="AG53" i="10" s="1"/>
  <c r="T46" i="10"/>
  <c r="T49" i="10"/>
  <c r="T51" i="10" s="1"/>
  <c r="T53" i="10" s="1"/>
  <c r="AL46" i="10"/>
  <c r="AL49" i="10"/>
  <c r="AL51" i="10" s="1"/>
  <c r="AL53" i="10" s="1"/>
  <c r="AC46" i="10"/>
  <c r="AC49" i="10"/>
  <c r="AC51" i="10" s="1"/>
  <c r="AB49" i="10"/>
  <c r="AB51" i="10" s="1"/>
  <c r="AB46" i="10"/>
  <c r="K46" i="10"/>
  <c r="K49" i="10"/>
  <c r="K51" i="10" s="1"/>
  <c r="K53" i="10" s="1"/>
  <c r="X46" i="10"/>
  <c r="X49" i="10"/>
  <c r="X51" i="10" s="1"/>
  <c r="X53" i="10" s="1"/>
  <c r="W49" i="10"/>
  <c r="W51" i="10" s="1"/>
  <c r="W53" i="10" s="1"/>
  <c r="W46" i="10"/>
  <c r="AH49" i="10"/>
  <c r="AH51" i="10" s="1"/>
  <c r="AH53" i="10" s="1"/>
  <c r="AH46" i="10"/>
  <c r="R46" i="10"/>
  <c r="R49" i="10"/>
  <c r="R51" i="10" s="1"/>
  <c r="R53" i="10" s="1"/>
  <c r="D45" i="10"/>
  <c r="E45" i="10" s="1"/>
  <c r="F45" i="10" s="1"/>
  <c r="G45" i="10" s="1"/>
  <c r="H45" i="10" s="1"/>
  <c r="I45" i="10" s="1"/>
  <c r="J45" i="10" s="1"/>
  <c r="K45" i="10" s="1"/>
  <c r="L45" i="10" s="1"/>
  <c r="M45" i="10" s="1"/>
  <c r="N45" i="10" s="1"/>
  <c r="O45" i="10" s="1"/>
  <c r="P45" i="10" s="1"/>
  <c r="Q45" i="10" s="1"/>
  <c r="R45" i="10" s="1"/>
  <c r="S45" i="10" s="1"/>
  <c r="T45" i="10" s="1"/>
  <c r="U45" i="10" s="1"/>
  <c r="V45" i="10" s="1"/>
  <c r="W45" i="10" s="1"/>
  <c r="X45" i="10" s="1"/>
  <c r="Y45" i="10" s="1"/>
  <c r="Z45" i="10" s="1"/>
  <c r="AA45" i="10" s="1"/>
  <c r="AB45" i="10" s="1"/>
  <c r="AC45" i="10" s="1"/>
  <c r="AD45" i="10" s="1"/>
  <c r="AE45" i="10" s="1"/>
  <c r="AF45" i="10" s="1"/>
  <c r="AG45" i="10" s="1"/>
  <c r="AH45" i="10" s="1"/>
  <c r="AI45" i="10" s="1"/>
  <c r="AJ45" i="10" s="1"/>
  <c r="AK45" i="10" s="1"/>
  <c r="AL45" i="10" s="1"/>
  <c r="AM45" i="10" s="1"/>
  <c r="AN45" i="10" s="1"/>
  <c r="AO45" i="10" s="1"/>
  <c r="AP45" i="10" s="1"/>
  <c r="AQ45" i="10" s="1"/>
  <c r="AR45" i="10" s="1"/>
  <c r="AS45" i="10" s="1"/>
  <c r="AT45" i="10" s="1"/>
  <c r="AU45" i="10" s="1"/>
  <c r="AV45" i="10" s="1"/>
  <c r="AW45" i="10" s="1"/>
  <c r="AX45" i="10" s="1"/>
  <c r="D46" i="10"/>
  <c r="D49" i="10"/>
  <c r="D51" i="10" s="1"/>
  <c r="AE46" i="10"/>
  <c r="AE49" i="10"/>
  <c r="AE51" i="10" s="1"/>
  <c r="AE53" i="10" s="1"/>
  <c r="Z49" i="10"/>
  <c r="Z51" i="10" s="1"/>
  <c r="Z53" i="10" s="1"/>
  <c r="Z46" i="10"/>
  <c r="S49" i="10"/>
  <c r="S51" i="10" s="1"/>
  <c r="S53" i="10" s="1"/>
  <c r="S46" i="10"/>
  <c r="H46" i="10"/>
  <c r="H49" i="10"/>
  <c r="H51" i="10" s="1"/>
  <c r="H53" i="10" s="1"/>
  <c r="F58" i="10" l="1"/>
  <c r="AD53" i="10"/>
  <c r="AC53" i="10"/>
  <c r="D53" i="10"/>
  <c r="D58" i="10"/>
  <c r="E58" i="10"/>
  <c r="O53" i="10"/>
  <c r="D52" i="10"/>
  <c r="E52" i="10" s="1"/>
  <c r="F52" i="10" s="1"/>
  <c r="G52" i="10" s="1"/>
  <c r="H52" i="10" s="1"/>
  <c r="I52" i="10" s="1"/>
  <c r="J52" i="10" s="1"/>
  <c r="K52" i="10" s="1"/>
  <c r="L52" i="10" s="1"/>
  <c r="M52" i="10" s="1"/>
  <c r="N52" i="10" s="1"/>
  <c r="O52" i="10" s="1"/>
  <c r="P52" i="10" s="1"/>
  <c r="Q52" i="10" s="1"/>
  <c r="R52" i="10" s="1"/>
  <c r="S52" i="10" s="1"/>
  <c r="T52" i="10" s="1"/>
  <c r="U52" i="10" s="1"/>
  <c r="V52" i="10" s="1"/>
  <c r="W52" i="10" s="1"/>
  <c r="X52" i="10" s="1"/>
  <c r="Y52" i="10" s="1"/>
  <c r="Z52" i="10" s="1"/>
  <c r="AA52" i="10" s="1"/>
  <c r="AB52" i="10" s="1"/>
  <c r="AC52" i="10" s="1"/>
  <c r="AD52" i="10" s="1"/>
  <c r="AE52" i="10" s="1"/>
  <c r="AF52" i="10" s="1"/>
  <c r="AG52" i="10" s="1"/>
  <c r="AH52" i="10" s="1"/>
  <c r="AI52" i="10" s="1"/>
  <c r="AJ52" i="10" s="1"/>
  <c r="AK52" i="10" s="1"/>
  <c r="AL52" i="10" s="1"/>
  <c r="AM52" i="10" s="1"/>
  <c r="AN52" i="10" s="1"/>
  <c r="AO52" i="10" s="1"/>
  <c r="AP52" i="10" s="1"/>
  <c r="AQ52" i="10" s="1"/>
  <c r="AR52" i="10" s="1"/>
  <c r="AS52" i="10" s="1"/>
  <c r="AT52" i="10" s="1"/>
  <c r="AU52" i="10" s="1"/>
  <c r="AV52" i="10" s="1"/>
  <c r="AW52" i="10" s="1"/>
  <c r="AX52" i="10" s="1"/>
  <c r="AB53" i="10"/>
  <c r="G59" i="10" l="1"/>
  <c r="G60" i="10"/>
  <c r="F60" i="10"/>
  <c r="F59" i="10"/>
  <c r="C30" i="11"/>
  <c r="E30" i="11"/>
  <c r="AM29" i="11" l="1"/>
  <c r="AW29" i="11"/>
  <c r="AN29" i="11"/>
  <c r="AO29" i="11"/>
  <c r="AP29" i="11"/>
  <c r="AQ29" i="11"/>
  <c r="AR29" i="11"/>
  <c r="AX29" i="11"/>
  <c r="AS29" i="11"/>
  <c r="AT29" i="11"/>
  <c r="AU29" i="11"/>
  <c r="AV29" i="11"/>
  <c r="C29" i="11"/>
  <c r="E29" i="11"/>
  <c r="D30" i="11"/>
  <c r="F30" i="11"/>
  <c r="F29" i="11" s="1"/>
  <c r="F35" i="11" s="1"/>
  <c r="E35" i="11"/>
  <c r="C35" i="11"/>
  <c r="C44" i="11" s="1"/>
  <c r="D29" i="11" l="1"/>
  <c r="C49" i="11"/>
  <c r="C51" i="11" s="1"/>
  <c r="C45" i="11"/>
  <c r="C46" i="11"/>
  <c r="F42" i="11"/>
  <c r="F44" i="11"/>
  <c r="E44" i="11"/>
  <c r="G30" i="11"/>
  <c r="D35" i="11" l="1"/>
  <c r="G29" i="11"/>
  <c r="E46" i="11"/>
  <c r="E49" i="11"/>
  <c r="E51" i="11" s="1"/>
  <c r="E53" i="11" s="1"/>
  <c r="F46" i="11"/>
  <c r="F49" i="11"/>
  <c r="F51" i="11" s="1"/>
  <c r="C52" i="11"/>
  <c r="C53" i="11"/>
  <c r="H30" i="11"/>
  <c r="G35" i="11" l="1"/>
  <c r="H29" i="11"/>
  <c r="D42" i="11"/>
  <c r="E42" i="11"/>
  <c r="D44" i="11"/>
  <c r="F53" i="11"/>
  <c r="I30" i="11"/>
  <c r="H35" i="11" l="1"/>
  <c r="D46" i="11"/>
  <c r="D45" i="11"/>
  <c r="E45" i="11" s="1"/>
  <c r="F45" i="11" s="1"/>
  <c r="D49" i="11"/>
  <c r="D51" i="11" s="1"/>
  <c r="I29" i="11"/>
  <c r="G44" i="11"/>
  <c r="G42" i="11"/>
  <c r="J30" i="11"/>
  <c r="I35" i="11" l="1"/>
  <c r="G46" i="11"/>
  <c r="G45" i="11"/>
  <c r="G49" i="11"/>
  <c r="G51" i="11" s="1"/>
  <c r="G53" i="11" s="1"/>
  <c r="J29" i="11"/>
  <c r="D53" i="11"/>
  <c r="D52" i="11"/>
  <c r="E52" i="11" s="1"/>
  <c r="F52" i="11" s="1"/>
  <c r="G52" i="11" s="1"/>
  <c r="H44" i="11"/>
  <c r="H42" i="11"/>
  <c r="K30" i="11"/>
  <c r="J35" i="11" l="1"/>
  <c r="H45" i="11"/>
  <c r="H49" i="11"/>
  <c r="H51" i="11" s="1"/>
  <c r="H46" i="11"/>
  <c r="K29" i="11"/>
  <c r="I42" i="11"/>
  <c r="I44" i="11"/>
  <c r="L30" i="11"/>
  <c r="K35" i="11" l="1"/>
  <c r="K42" i="11" s="1"/>
  <c r="I49" i="11"/>
  <c r="I51" i="11" s="1"/>
  <c r="I53" i="11" s="1"/>
  <c r="I45" i="11"/>
  <c r="I46" i="11"/>
  <c r="H53" i="11"/>
  <c r="H52" i="11"/>
  <c r="L29" i="11"/>
  <c r="J42" i="11"/>
  <c r="J44" i="11"/>
  <c r="M30" i="11"/>
  <c r="K44" i="11" l="1"/>
  <c r="K46" i="11" s="1"/>
  <c r="I52" i="11"/>
  <c r="L35" i="11"/>
  <c r="J45" i="11"/>
  <c r="J49" i="11"/>
  <c r="J51" i="11" s="1"/>
  <c r="J53" i="11" s="1"/>
  <c r="J46" i="11"/>
  <c r="M29" i="11"/>
  <c r="N30" i="11"/>
  <c r="K49" i="11" l="1"/>
  <c r="K51" i="11" s="1"/>
  <c r="K53" i="11" s="1"/>
  <c r="K45" i="11"/>
  <c r="M35" i="11"/>
  <c r="N29" i="11"/>
  <c r="L42" i="11"/>
  <c r="L44" i="11"/>
  <c r="J52" i="11"/>
  <c r="O30" i="11"/>
  <c r="K52" i="11" l="1"/>
  <c r="N35" i="11"/>
  <c r="O29" i="11"/>
  <c r="L46" i="11"/>
  <c r="L49" i="11"/>
  <c r="L51" i="11" s="1"/>
  <c r="L45" i="11"/>
  <c r="M42" i="11"/>
  <c r="M44" i="11"/>
  <c r="P30" i="11"/>
  <c r="O35" i="11" l="1"/>
  <c r="L53" i="11"/>
  <c r="L52" i="11"/>
  <c r="P29" i="11"/>
  <c r="P35" i="11" s="1"/>
  <c r="M46" i="11"/>
  <c r="M49" i="11"/>
  <c r="M51" i="11" s="1"/>
  <c r="M53" i="11" s="1"/>
  <c r="M45" i="11"/>
  <c r="N42" i="11"/>
  <c r="N44" i="11"/>
  <c r="Q30" i="11"/>
  <c r="Q29" i="11" s="1"/>
  <c r="Q35" i="11" s="1"/>
  <c r="P42" i="11" l="1"/>
  <c r="P44" i="11"/>
  <c r="P49" i="11" s="1"/>
  <c r="P51" i="11" s="1"/>
  <c r="P53" i="11" s="1"/>
  <c r="N45" i="11"/>
  <c r="N49" i="11"/>
  <c r="N51" i="11" s="1"/>
  <c r="N46" i="11"/>
  <c r="M52" i="11"/>
  <c r="O44" i="11"/>
  <c r="O42" i="11"/>
  <c r="Q42" i="11"/>
  <c r="Q44" i="11"/>
  <c r="R30" i="11"/>
  <c r="R29" i="11" s="1"/>
  <c r="R35" i="11" s="1"/>
  <c r="N52" i="11" l="1"/>
  <c r="P46" i="11"/>
  <c r="O45" i="11"/>
  <c r="P45" i="11" s="1"/>
  <c r="O46" i="11"/>
  <c r="O49" i="11"/>
  <c r="O51" i="11" s="1"/>
  <c r="O53" i="11" s="1"/>
  <c r="N53" i="11"/>
  <c r="D58" i="11"/>
  <c r="R42" i="11"/>
  <c r="R44" i="11"/>
  <c r="Q49" i="11"/>
  <c r="Q51" i="11" s="1"/>
  <c r="Q53" i="11" s="1"/>
  <c r="Q45" i="11"/>
  <c r="Q46" i="11"/>
  <c r="S30" i="11"/>
  <c r="S29" i="11" s="1"/>
  <c r="S35" i="11" s="1"/>
  <c r="O52" i="11" l="1"/>
  <c r="P52" i="11" s="1"/>
  <c r="Q52" i="11" s="1"/>
  <c r="S42" i="11"/>
  <c r="S44" i="11"/>
  <c r="R49" i="11"/>
  <c r="R51" i="11" s="1"/>
  <c r="R45" i="11"/>
  <c r="R46" i="11"/>
  <c r="T30" i="11"/>
  <c r="T29" i="11" s="1"/>
  <c r="T35" i="11" s="1"/>
  <c r="R53" i="11" l="1"/>
  <c r="T42" i="11"/>
  <c r="T44" i="11"/>
  <c r="R52" i="11"/>
  <c r="S49" i="11"/>
  <c r="S51" i="11" s="1"/>
  <c r="S53" i="11" s="1"/>
  <c r="S45" i="11"/>
  <c r="S46" i="11"/>
  <c r="U30" i="11"/>
  <c r="U29" i="11" s="1"/>
  <c r="U35" i="11" s="1"/>
  <c r="S52" i="11" l="1"/>
  <c r="U42" i="11"/>
  <c r="U44" i="11"/>
  <c r="T46" i="11"/>
  <c r="T49" i="11"/>
  <c r="T51" i="11" s="1"/>
  <c r="T53" i="11" s="1"/>
  <c r="T45" i="11"/>
  <c r="V30" i="11"/>
  <c r="V29" i="11" s="1"/>
  <c r="V35" i="11" s="1"/>
  <c r="V42" i="11" l="1"/>
  <c r="V44" i="11"/>
  <c r="U46" i="11"/>
  <c r="U49" i="11"/>
  <c r="U51" i="11" s="1"/>
  <c r="U45" i="11"/>
  <c r="T52" i="11"/>
  <c r="W30" i="11"/>
  <c r="W29" i="11" s="1"/>
  <c r="W35" i="11" s="1"/>
  <c r="U52" i="11" l="1"/>
  <c r="W42" i="11"/>
  <c r="W44" i="11"/>
  <c r="U53" i="11"/>
  <c r="V46" i="11"/>
  <c r="V49" i="11"/>
  <c r="V51" i="11" s="1"/>
  <c r="V45" i="11"/>
  <c r="X30" i="11"/>
  <c r="X29" i="11" s="1"/>
  <c r="X35" i="11" s="1"/>
  <c r="V53" i="11" l="1"/>
  <c r="V52" i="11"/>
  <c r="X42" i="11"/>
  <c r="X44" i="11"/>
  <c r="W46" i="11"/>
  <c r="W49" i="11"/>
  <c r="W51" i="11" s="1"/>
  <c r="W53" i="11" s="1"/>
  <c r="W45" i="11"/>
  <c r="Y30" i="11"/>
  <c r="Y29" i="11" s="1"/>
  <c r="Y35" i="11" s="1"/>
  <c r="Y42" i="11" l="1"/>
  <c r="Y44" i="11"/>
  <c r="X45" i="11"/>
  <c r="X46" i="11"/>
  <c r="X49" i="11"/>
  <c r="X51" i="11" s="1"/>
  <c r="X53" i="11" s="1"/>
  <c r="W52" i="11"/>
  <c r="Z30" i="11"/>
  <c r="Z29" i="11" s="1"/>
  <c r="Z35" i="11" s="1"/>
  <c r="Z42" i="11" l="1"/>
  <c r="Z44" i="11"/>
  <c r="X52" i="11"/>
  <c r="Y45" i="11"/>
  <c r="Y46" i="11"/>
  <c r="Y49" i="11"/>
  <c r="Y51" i="11" s="1"/>
  <c r="Y53" i="11" s="1"/>
  <c r="AA30" i="11"/>
  <c r="AA29" i="11" s="1"/>
  <c r="AA35" i="11" s="1"/>
  <c r="AA42" i="11" l="1"/>
  <c r="AA44" i="11"/>
  <c r="Y52" i="11"/>
  <c r="Z45" i="11"/>
  <c r="Z46" i="11"/>
  <c r="Z49" i="11"/>
  <c r="Z51" i="11" s="1"/>
  <c r="AB30" i="11"/>
  <c r="AB29" i="11" s="1"/>
  <c r="AB35" i="11" s="1"/>
  <c r="AB42" i="11" l="1"/>
  <c r="AB44" i="11"/>
  <c r="Z53" i="11"/>
  <c r="E58" i="11"/>
  <c r="Z52" i="11"/>
  <c r="AA45" i="11"/>
  <c r="AA46" i="11"/>
  <c r="AA49" i="11"/>
  <c r="AA51" i="11" s="1"/>
  <c r="AC30" i="11"/>
  <c r="AC29" i="11" s="1"/>
  <c r="AC35" i="11" s="1"/>
  <c r="AA53" i="11" l="1"/>
  <c r="AC42" i="11"/>
  <c r="AC44" i="11"/>
  <c r="AA52" i="11"/>
  <c r="AB45" i="11"/>
  <c r="AB46" i="11"/>
  <c r="AB49" i="11"/>
  <c r="AB51" i="11" s="1"/>
  <c r="AD30" i="11"/>
  <c r="AD29" i="11" s="1"/>
  <c r="AD35" i="11" s="1"/>
  <c r="AB53" i="11" l="1"/>
  <c r="AD42" i="11"/>
  <c r="AD44" i="11"/>
  <c r="AB52" i="11"/>
  <c r="AC45" i="11"/>
  <c r="AC46" i="11"/>
  <c r="AC49" i="11"/>
  <c r="AC51" i="11" s="1"/>
  <c r="AE30" i="11"/>
  <c r="AE29" i="11" s="1"/>
  <c r="AE35" i="11" s="1"/>
  <c r="AC53" i="11" l="1"/>
  <c r="AE42" i="11"/>
  <c r="AE44" i="11"/>
  <c r="AC52" i="11"/>
  <c r="AD45" i="11"/>
  <c r="AD46" i="11"/>
  <c r="AD49" i="11"/>
  <c r="AD51" i="11" s="1"/>
  <c r="AF30" i="11"/>
  <c r="AF29" i="11" s="1"/>
  <c r="AF35" i="11" s="1"/>
  <c r="AD53" i="11" l="1"/>
  <c r="AF42" i="11"/>
  <c r="AF44" i="11"/>
  <c r="AD52" i="11"/>
  <c r="AE45" i="11"/>
  <c r="AE46" i="11"/>
  <c r="AE49" i="11"/>
  <c r="AE51" i="11" s="1"/>
  <c r="AG30" i="11"/>
  <c r="AG29" i="11" s="1"/>
  <c r="AG35" i="11" s="1"/>
  <c r="AE53" i="11" l="1"/>
  <c r="AG42" i="11"/>
  <c r="AG44" i="11"/>
  <c r="AE52" i="11"/>
  <c r="AF49" i="11"/>
  <c r="AF51" i="11" s="1"/>
  <c r="AF53" i="11" s="1"/>
  <c r="AF45" i="11"/>
  <c r="AF46" i="11"/>
  <c r="AH30" i="11"/>
  <c r="AH29" i="11" s="1"/>
  <c r="AH35" i="11" l="1"/>
  <c r="AH42" i="11" s="1"/>
  <c r="AF52" i="11"/>
  <c r="AG49" i="11"/>
  <c r="AG51" i="11" s="1"/>
  <c r="AG53" i="11" s="1"/>
  <c r="AG45" i="11"/>
  <c r="AG46" i="11"/>
  <c r="AI30" i="11"/>
  <c r="AI29" i="11" s="1"/>
  <c r="AI35" i="11" s="1"/>
  <c r="AH44" i="11" l="1"/>
  <c r="AI42" i="11"/>
  <c r="AI44" i="11"/>
  <c r="AG52" i="11"/>
  <c r="AH49" i="11"/>
  <c r="AH51" i="11" s="1"/>
  <c r="AH53" i="11" s="1"/>
  <c r="AH45" i="11"/>
  <c r="AH46" i="11"/>
  <c r="AJ30" i="11"/>
  <c r="AJ29" i="11" s="1"/>
  <c r="AJ35" i="11" s="1"/>
  <c r="AJ42" i="11" l="1"/>
  <c r="AJ44" i="11"/>
  <c r="AH52" i="11"/>
  <c r="AI49" i="11"/>
  <c r="AI51" i="11" s="1"/>
  <c r="AI53" i="11" s="1"/>
  <c r="AI45" i="11"/>
  <c r="AI46" i="11"/>
  <c r="AK30" i="11"/>
  <c r="AK29" i="11" s="1"/>
  <c r="AK35" i="11" s="1"/>
  <c r="AL30" i="11"/>
  <c r="AL29" i="11" s="1"/>
  <c r="AK42" i="11" l="1"/>
  <c r="AK44" i="11"/>
  <c r="AI52" i="11"/>
  <c r="AJ46" i="11"/>
  <c r="AJ49" i="11"/>
  <c r="AJ51" i="11" s="1"/>
  <c r="AJ53" i="11" s="1"/>
  <c r="AJ45" i="11"/>
  <c r="AL35" i="11"/>
  <c r="AM42" i="11" s="1"/>
  <c r="AL42" i="11" l="1"/>
  <c r="AL44" i="11"/>
  <c r="AJ52" i="11"/>
  <c r="AK46" i="11"/>
  <c r="AK49" i="11"/>
  <c r="AK51" i="11" s="1"/>
  <c r="AK53" i="11" s="1"/>
  <c r="AK45" i="11"/>
  <c r="AK52" i="11" l="1"/>
  <c r="AL46" i="11"/>
  <c r="AL49" i="11"/>
  <c r="AL51" i="11" s="1"/>
  <c r="AL45" i="11"/>
  <c r="AM45" i="11" s="1"/>
  <c r="AN45" i="11" s="1"/>
  <c r="AO45" i="11" s="1"/>
  <c r="AP45" i="11" s="1"/>
  <c r="AQ45" i="11" s="1"/>
  <c r="AR45" i="11" s="1"/>
  <c r="AS45" i="11" s="1"/>
  <c r="AT45" i="11" s="1"/>
  <c r="AU45" i="11" s="1"/>
  <c r="AV45" i="11" s="1"/>
  <c r="AW45" i="11" s="1"/>
  <c r="AX45" i="11" s="1"/>
  <c r="AL53" i="11" l="1"/>
  <c r="F58" i="11"/>
  <c r="AL52" i="11"/>
  <c r="AM52" i="11" s="1"/>
  <c r="AN52" i="11" s="1"/>
  <c r="AO52" i="11" s="1"/>
  <c r="AP52" i="11" s="1"/>
  <c r="AQ52" i="11" s="1"/>
  <c r="AR52" i="11" s="1"/>
  <c r="AS52" i="11" s="1"/>
  <c r="AT52" i="11" s="1"/>
  <c r="AU52" i="11" s="1"/>
  <c r="AV52" i="11" s="1"/>
  <c r="AW52" i="11" s="1"/>
  <c r="AX52" i="11" s="1"/>
  <c r="G59" i="11" l="1"/>
  <c r="G60" i="11"/>
  <c r="F60" i="11"/>
  <c r="F59" i="11"/>
</calcChain>
</file>

<file path=xl/sharedStrings.xml><?xml version="1.0" encoding="utf-8"?>
<sst xmlns="http://schemas.openxmlformats.org/spreadsheetml/2006/main" count="594" uniqueCount="136">
  <si>
    <t>Перед вами операционная и финансовая информация о стартапе.
Компания разрабатывает сервис по доставке готовых обедов от домашних поваров.
Лист Operational Data содержит ряд операционных метрик, которые являются основными драйверами бизнеса.
Лист Financial Metrics содержит фактическую информацию о первых 12 месяцах работы компании</t>
  </si>
  <si>
    <t>Блок 1. Анализ. Проанализировать имеющиеся операционные и финансовые метрики, и на основании их осознать ключевые драйверы и достижения за первые 12 месяцев</t>
  </si>
  <si>
    <t>Что необходимо сделать:</t>
  </si>
  <si>
    <t>Проанализировать динамику пользователей и шефов</t>
  </si>
  <si>
    <t>Проанализировать количество успешно выполненных заказов</t>
  </si>
  <si>
    <t>Проанализировать динамику частотности заказов на 1 пользователя</t>
  </si>
  <si>
    <t>Проанализировать экономику работы бизнес-модели</t>
  </si>
  <si>
    <t>*Подсказка 1: при изменении драйверов в листе Operational Data, пересчитывается лист Financial Data. Тем самым можно посмотреть, как те или иные метрики влияют на бизнес
**Подсказка 2: условное форматирование / помесячные графики по строчкам помогут выявить взаимосвязь метрик</t>
  </si>
  <si>
    <t>Какой результат необходимо получить:</t>
  </si>
  <si>
    <t>Понять работу бизнес-модели по драйверам</t>
  </si>
  <si>
    <t>Интерпретировать финансовые результаты за первые 12 месяцев</t>
  </si>
  <si>
    <t>Выдвинуть гипотезы о сильных/слабых местах компании (какие метрики и как можно улучшить)</t>
  </si>
  <si>
    <t>Выдвинуть предпосылки об изменениях, которые выведут компанию в прибыль</t>
  </si>
  <si>
    <t>Блок 2. Моделирование. Сделать финансовую модель развития компании на последующие 3 года</t>
  </si>
  <si>
    <t>Выдвинуть основные предположения о росте бизнеса на последующие 3 года</t>
  </si>
  <si>
    <t>Выдвинуть основные предположения об улучшении экономики бизнеса на последующие 3 года</t>
  </si>
  <si>
    <t>Сформировать отчет PL &amp; UE по прогнозам работы компании на следующие 3 года</t>
  </si>
  <si>
    <t>Посчитать инвест-метрики для кейса — NPV, IRR. Для расчета NPV примените ставку WACC = 15%</t>
  </si>
  <si>
    <t>Блок 3. Сценарный анализ модели. Рассмотреть альтернативные сценарии развития</t>
  </si>
  <si>
    <t>Адаптировать модель исходя из предпосылки, что на рынок вышел аналогичный конкурент с бОльшим объемом инвестиций</t>
  </si>
  <si>
    <t>Оценить, как изменятся NPV и IRR кейса</t>
  </si>
  <si>
    <t>Operational Metrics</t>
  </si>
  <si>
    <t>Units</t>
  </si>
  <si>
    <t>Общее кол-во заказчиков</t>
  </si>
  <si>
    <t>#</t>
  </si>
  <si>
    <t>Кол-во новичков</t>
  </si>
  <si>
    <t>Оттекших клиентов</t>
  </si>
  <si>
    <t>Отток</t>
  </si>
  <si>
    <t>%</t>
  </si>
  <si>
    <t>Общее кол-во поваров</t>
  </si>
  <si>
    <t>Новые повара</t>
  </si>
  <si>
    <t>Заказчиков на 1 повара</t>
  </si>
  <si>
    <t>Созданные заказы</t>
  </si>
  <si>
    <t>Доставленные заказы</t>
  </si>
  <si>
    <t>Процент успешных доставок</t>
  </si>
  <si>
    <t>Стоимость подписки на сервис</t>
  </si>
  <si>
    <t>usd</t>
  </si>
  <si>
    <t>Комиссия сервиса с шефов</t>
  </si>
  <si>
    <t>Стоимость доставки</t>
  </si>
  <si>
    <t>Конверсия из сессии в заказ</t>
  </si>
  <si>
    <t>Стоимость 1 обеда</t>
  </si>
  <si>
    <t>Скидки на 1 пользователя в месяц</t>
  </si>
  <si>
    <t>Бонусы на 1 курьера в месяц</t>
  </si>
  <si>
    <t>Кол-во курьеров</t>
  </si>
  <si>
    <t>Месячная зарплата курьеров до бонусов</t>
  </si>
  <si>
    <t>Заказы в день на курьера</t>
  </si>
  <si>
    <t>Кол-во сотрудников</t>
  </si>
  <si>
    <t>CAC</t>
  </si>
  <si>
    <t>3Y LTV</t>
  </si>
  <si>
    <t>Total Orders</t>
  </si>
  <si>
    <t>Gross Transactions</t>
  </si>
  <si>
    <t>Total revenue</t>
  </si>
  <si>
    <t>Delivery revenue</t>
  </si>
  <si>
    <t>Subscription revenue</t>
  </si>
  <si>
    <t>Ads revenue</t>
  </si>
  <si>
    <t>Comission revenue</t>
  </si>
  <si>
    <t>Operational costs</t>
  </si>
  <si>
    <t>Courier subsidies</t>
  </si>
  <si>
    <t>Courier salaries</t>
  </si>
  <si>
    <t>Marketing costs</t>
  </si>
  <si>
    <t>Customer subsidies</t>
  </si>
  <si>
    <t>General marketing</t>
  </si>
  <si>
    <t>SG&amp;A</t>
  </si>
  <si>
    <t>Salaries</t>
  </si>
  <si>
    <t>Office cost</t>
  </si>
  <si>
    <t>Other costs</t>
  </si>
  <si>
    <t>EBITDA</t>
  </si>
  <si>
    <t>EBITDA margin</t>
  </si>
  <si>
    <t>Корреляция между затратами на маркетинг и приходом новых клиентов</t>
  </si>
  <si>
    <t>Соотношение расходов на маркетинг и новых клиентов по двум осям</t>
  </si>
  <si>
    <t>EBITDA margin + absolute numbers</t>
  </si>
  <si>
    <t>Соотношение расходов на маркетинг и выручки</t>
  </si>
  <si>
    <t>Частотность заказов (доставка)</t>
  </si>
  <si>
    <t>Частотность заказов (созданные)</t>
  </si>
  <si>
    <t>Потери в воронке (в заказах)</t>
  </si>
  <si>
    <t>Потери в воронке (по стоимости на клиента)</t>
  </si>
  <si>
    <t>Корреляция заказчиков на одного повара и процента успешных доставок</t>
  </si>
  <si>
    <t>Название статьи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</si>
  <si>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</si>
  <si>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</si>
  <si>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</si>
  <si>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</si>
  <si>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</si>
  <si>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</si>
  <si>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</si>
  <si>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</si>
  <si>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</si>
  <si>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</si>
  <si>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</si>
  <si>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</si>
  <si>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Прирост выручки (% к прошлому месяцу)</t>
  </si>
  <si>
    <t>Расходы</t>
  </si>
  <si>
    <t>Прирост расходов (% к прошлому месяцу)</t>
  </si>
  <si>
    <t>Воронка продаж</t>
  </si>
  <si>
    <t>Бюджет на маркетинг</t>
  </si>
  <si>
    <t>Аренда</t>
  </si>
  <si>
    <t>Прочие операционные расходы</t>
  </si>
  <si>
    <t>EBITDA (операционная прибыль)</t>
  </si>
  <si>
    <t>EBITDA нарастающим итогом</t>
  </si>
  <si>
    <t>Рентабельность EBITDA (% от общей выручки)</t>
  </si>
  <si>
    <t>Прочие расходы</t>
  </si>
  <si>
    <t>Налоговая нагрузка</t>
  </si>
  <si>
    <t>Чистая прибыль</t>
  </si>
  <si>
    <t>Прибыль нарастающим итогом</t>
  </si>
  <si>
    <t>Рентабельность чистой прибыли (%)</t>
  </si>
  <si>
    <t>Новые клиенты</t>
  </si>
  <si>
    <t>Активная база клиентов</t>
  </si>
  <si>
    <t>База шеф-поваров</t>
  </si>
  <si>
    <t>Заказчиков на одного повара</t>
  </si>
  <si>
    <t>Частотность созданных заказов</t>
  </si>
  <si>
    <t xml:space="preserve">Созданные заказы </t>
  </si>
  <si>
    <t xml:space="preserve">Выполненные заказы </t>
  </si>
  <si>
    <t>Юнит-экономика</t>
  </si>
  <si>
    <t>Средняя стоимость обеда</t>
  </si>
  <si>
    <t xml:space="preserve">Выручка от реализации </t>
  </si>
  <si>
    <t>Выручка от комиссии</t>
  </si>
  <si>
    <t xml:space="preserve">Выручка от подписки </t>
  </si>
  <si>
    <t xml:space="preserve">Выручка от доставки </t>
  </si>
  <si>
    <t xml:space="preserve">Общая выручка </t>
  </si>
  <si>
    <t>ФОТ</t>
  </si>
  <si>
    <t>Выплаты курьерам за доставку</t>
  </si>
  <si>
    <t>Затраты на скидки</t>
  </si>
  <si>
    <t>ОПиУ 2026-28</t>
  </si>
  <si>
    <t>1 год</t>
  </si>
  <si>
    <t>2 год</t>
  </si>
  <si>
    <t>3 год</t>
  </si>
  <si>
    <t>4 год</t>
  </si>
  <si>
    <t>Сумма чистой прибыли (год)</t>
  </si>
  <si>
    <t>NPV</t>
  </si>
  <si>
    <t>IRR</t>
  </si>
  <si>
    <t>Сценарий 1: Умеренный</t>
  </si>
  <si>
    <t>Небольшое снижение количества клиентов и рост стоимости привлечения, небольшое увеличение бонусов и скидок</t>
  </si>
  <si>
    <t>Значительное снижение количества клиентов и рост стоимости привлечения, вынужденное увеличение бонусов и скидок, снижение цен и комиссии</t>
  </si>
  <si>
    <t>Сценарий 2: Критический</t>
  </si>
  <si>
    <t>Пересчет 2 сценария с учетом упора бизнеса на повышение качества продукта</t>
  </si>
  <si>
    <t>5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</si>
</sst>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&quot;$&quot;* #,##0.00_);_(&quot;$&quot;* \(#,##0.00\);_(&quot;$&quot;* &quot;-&quot;??_);_(@_)"/>
    <numFmt numFmtId="165" formatCode="#,##0.0"/>
    <numFmt numFmtId="166" formatCode="0.0"/>
    <numFmt numFmtId="167" formatCode="0.000"/>
    <numFmt numFmtId="168" formatCode="_-* #,##0\ _₽_-;\-* #,##0\ _₽_-;_-* &quot;-&quot;??\ _₽_-;_-@"/>
    <numFmt numFmtId="169" formatCode="#,##0;\ \-#,##0;\ \-"/>
    <numFmt numFmtId="170" formatCode="_-* #,##0\ [$₽-419]_-;\-* #,##0\ [$₽-419]_-;_-* &quot;-&quot;\ [$₽-419]_-;_-@_-"/>
    <numFmt numFmtId="171" formatCode="#,##0.0;\ \-#,##0.0;\ \-"/>
    <numFmt numFmtId="172" formatCode="#,##0.00;\ \-#,##0.00;\ \-"/>
    <numFmt numFmtId="173" formatCode="_(&quot;$&quot;* #,##0.0_);_(&quot;$&quot;* \(#,##0.0\);_(&quot;$&quot;* &quot;-&quot;??_);_(@_)"/>
    <numFmt numFmtId="174" formatCode="_(&quot;$&quot;* #,##0_);_(&quot;$&quot;* \(#,##0\);_(&quot;$&quot;* &quot;-&quot;??_);_(@_)"/>
    <numFmt numFmtId="175" formatCode="_-* #,##0.00\ _₽_-;\-* #,##0.00\ _₽_-;_-* &quot;-&quot;??\ _₽_-;_-@_-"/>
    <numFmt numFmtId="176" formatCode="0.000000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i/>
      <sz val="11"/>
      <color rgb="FF7F7F7F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9C5700"/>
      <name val="Calibri"/>
      <family val="2"/>
      <scheme val="minor"/>
    </font>
    <font>
      <sz val="11"/>
      <color theme="1"/>
      <name val="Montserrat"/>
    </font>
    <font>
      <b/>
      <sz val="16"/>
      <color theme="9"/>
      <name val="Montserrat"/>
    </font>
    <font>
      <b/>
      <sz val="16"/>
      <color theme="8" tint="-0.249977111117893"/>
      <name val="Montserrat"/>
    </font>
    <font>
      <b/>
      <sz val="16"/>
      <color theme="9" tint="-0.249977111117893"/>
      <name val="Montserrat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i/>
      <sz val="10"/>
      <color theme="1" tint="0.499984740745262"/>
      <name val="Montserrat"/>
    </font>
    <font>
      <b/>
      <sz val="12"/>
      <color theme="1"/>
      <name val="Montserrat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Montserrat"/>
      <charset val="204"/>
    </font>
    <font>
      <b/>
      <sz val="22"/>
      <color rgb="FF44A1A4"/>
      <name val="Montserrat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B4301"/>
      <name val="Calibri"/>
      <family val="2"/>
      <scheme val="minor"/>
    </font>
    <font>
      <i/>
      <sz val="12"/>
      <color theme="1"/>
      <name val="Montserrat"/>
      <charset val="204"/>
    </font>
    <font>
      <sz val="24"/>
      <color theme="1"/>
      <name val="Montserrat"/>
      <charset val="204"/>
    </font>
    <font>
      <b/>
      <sz val="12"/>
      <color rgb="FFFFFFFF"/>
      <name val="Montserrat"/>
      <charset val="204"/>
    </font>
    <font>
      <i/>
      <sz val="12"/>
      <color theme="1" tint="0.499984740745262"/>
      <name val="Montserrat"/>
      <charset val="204"/>
    </font>
    <font>
      <sz val="12"/>
      <color rgb="FF9C5700"/>
      <name val="Montserrat"/>
      <charset val="204"/>
    </font>
    <font>
      <sz val="12"/>
      <color rgb="FF9C0006"/>
      <name val="Montserrat"/>
      <charset val="204"/>
    </font>
    <font>
      <sz val="8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A1A4"/>
        <bgColor rgb="FF44A1A4"/>
      </patternFill>
    </fill>
    <fill>
      <patternFill patternType="solid">
        <fgColor rgb="FFC4E5E6"/>
        <bgColor rgb="FFC4E5E6"/>
      </patternFill>
    </fill>
    <fill>
      <patternFill patternType="solid">
        <fgColor rgb="FFFFC7CE"/>
      </patternFill>
    </fill>
    <fill>
      <patternFill patternType="solid">
        <fgColor rgb="FFFEDAC8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3" borderId="0" applyNumberFormat="0" applyBorder="0" applyAlignment="0" applyProtection="0"/>
    <xf numFmtId="0" fontId="23" fillId="8" borderId="0" applyNumberFormat="0" applyBorder="0" applyAlignment="0" applyProtection="0"/>
  </cellStyleXfs>
  <cellXfs count="167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4" fillId="2" borderId="5" xfId="0" applyFont="1" applyFill="1" applyBorder="1"/>
    <xf numFmtId="14" fontId="4" fillId="2" borderId="5" xfId="0" applyNumberFormat="1" applyFont="1" applyFill="1" applyBorder="1"/>
    <xf numFmtId="0" fontId="6" fillId="0" borderId="0" xfId="0" applyFont="1"/>
    <xf numFmtId="3" fontId="2" fillId="0" borderId="0" xfId="0" applyNumberFormat="1" applyFont="1"/>
    <xf numFmtId="9" fontId="2" fillId="0" borderId="0" xfId="0" applyNumberFormat="1" applyFont="1"/>
    <xf numFmtId="0" fontId="7" fillId="0" borderId="0" xfId="0" applyFont="1"/>
    <xf numFmtId="4" fontId="7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0" fontId="2" fillId="2" borderId="5" xfId="0" applyFont="1" applyFill="1" applyBorder="1"/>
    <xf numFmtId="14" fontId="2" fillId="2" borderId="5" xfId="0" applyNumberFormat="1" applyFont="1" applyFill="1" applyBorder="1"/>
    <xf numFmtId="0" fontId="4" fillId="0" borderId="0" xfId="0" applyFont="1"/>
    <xf numFmtId="3" fontId="4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/>
    <xf numFmtId="9" fontId="3" fillId="0" borderId="0" xfId="0" applyNumberFormat="1" applyFont="1"/>
    <xf numFmtId="165" fontId="0" fillId="0" borderId="0" xfId="0" applyNumberFormat="1" applyFont="1" applyAlignment="1"/>
    <xf numFmtId="2" fontId="0" fillId="0" borderId="0" xfId="0" applyNumberFormat="1" applyFont="1" applyAlignment="1"/>
    <xf numFmtId="166" fontId="0" fillId="0" borderId="0" xfId="0" applyNumberFormat="1" applyFont="1" applyAlignment="1"/>
    <xf numFmtId="167" fontId="0" fillId="0" borderId="0" xfId="0" applyNumberFormat="1" applyFont="1" applyAlignment="1"/>
    <xf numFmtId="0" fontId="9" fillId="0" borderId="0" xfId="0" applyFont="1"/>
    <xf numFmtId="0" fontId="13" fillId="6" borderId="6" xfId="0" applyFont="1" applyFill="1" applyBorder="1" applyAlignment="1">
      <alignment horizontal="center" wrapText="1"/>
    </xf>
    <xf numFmtId="168" fontId="13" fillId="6" borderId="5" xfId="0" applyNumberFormat="1" applyFont="1" applyFill="1" applyBorder="1" applyAlignment="1">
      <alignment horizontal="center"/>
    </xf>
    <xf numFmtId="168" fontId="14" fillId="0" borderId="5" xfId="0" applyNumberFormat="1" applyFont="1" applyBorder="1"/>
    <xf numFmtId="9" fontId="8" fillId="3" borderId="0" xfId="2" applyFont="1" applyFill="1"/>
    <xf numFmtId="169" fontId="15" fillId="7" borderId="5" xfId="0" applyNumberFormat="1" applyFont="1" applyFill="1" applyBorder="1" applyAlignment="1">
      <alignment horizontal="right"/>
    </xf>
    <xf numFmtId="170" fontId="8" fillId="3" borderId="0" xfId="3" applyNumberFormat="1"/>
    <xf numFmtId="9" fontId="14" fillId="0" borderId="5" xfId="2" applyFont="1" applyFill="1" applyBorder="1"/>
    <xf numFmtId="9" fontId="14" fillId="0" borderId="5" xfId="0" applyNumberFormat="1" applyFont="1" applyBorder="1"/>
    <xf numFmtId="169" fontId="14" fillId="0" borderId="5" xfId="0" applyNumberFormat="1" applyFont="1" applyBorder="1"/>
    <xf numFmtId="9" fontId="17" fillId="0" borderId="5" xfId="0" applyNumberFormat="1" applyFont="1" applyBorder="1"/>
    <xf numFmtId="0" fontId="0" fillId="0" borderId="0" xfId="0"/>
    <xf numFmtId="0" fontId="0" fillId="0" borderId="5" xfId="0" applyBorder="1"/>
    <xf numFmtId="169" fontId="16" fillId="0" borderId="5" xfId="0" applyNumberFormat="1" applyFont="1" applyBorder="1" applyAlignment="1">
      <alignment horizontal="right"/>
    </xf>
    <xf numFmtId="0" fontId="16" fillId="0" borderId="5" xfId="0" applyFont="1" applyFill="1" applyBorder="1" applyAlignment="1">
      <alignment wrapText="1"/>
    </xf>
    <xf numFmtId="0" fontId="15" fillId="7" borderId="5" xfId="0" applyFont="1" applyFill="1" applyBorder="1" applyAlignment="1">
      <alignment wrapText="1"/>
    </xf>
    <xf numFmtId="49" fontId="14" fillId="0" borderId="5" xfId="0" applyNumberFormat="1" applyFont="1" applyBorder="1"/>
    <xf numFmtId="0" fontId="16" fillId="0" borderId="5" xfId="0" applyFont="1" applyBorder="1" applyAlignment="1">
      <alignment wrapText="1"/>
    </xf>
    <xf numFmtId="0" fontId="0" fillId="0" borderId="5" xfId="0" applyFont="1" applyBorder="1" applyAlignment="1"/>
    <xf numFmtId="0" fontId="14" fillId="0" borderId="5" xfId="0" applyFont="1" applyBorder="1"/>
    <xf numFmtId="0" fontId="16" fillId="0" borderId="5" xfId="0" applyFont="1" applyBorder="1"/>
    <xf numFmtId="169" fontId="15" fillId="7" borderId="5" xfId="0" applyNumberFormat="1" applyFont="1" applyFill="1" applyBorder="1" applyAlignment="1">
      <alignment horizontal="left"/>
    </xf>
    <xf numFmtId="170" fontId="8" fillId="0" borderId="0" xfId="3" applyNumberFormat="1" applyFill="1"/>
    <xf numFmtId="0" fontId="9" fillId="0" borderId="0" xfId="0" applyFont="1" applyFill="1"/>
    <xf numFmtId="0" fontId="0" fillId="0" borderId="0" xfId="0" applyFill="1"/>
    <xf numFmtId="0" fontId="0" fillId="0" borderId="5" xfId="0" applyFill="1" applyBorder="1"/>
    <xf numFmtId="9" fontId="8" fillId="0" borderId="0" xfId="3" applyNumberFormat="1" applyFill="1" applyAlignment="1"/>
    <xf numFmtId="9" fontId="8" fillId="0" borderId="0" xfId="2" applyFont="1" applyFill="1"/>
    <xf numFmtId="9" fontId="8" fillId="0" borderId="0" xfId="2" applyFont="1" applyFill="1" applyAlignment="1"/>
    <xf numFmtId="9" fontId="16" fillId="0" borderId="5" xfId="2" applyFont="1" applyFill="1" applyBorder="1" applyAlignment="1">
      <alignment horizontal="right"/>
    </xf>
    <xf numFmtId="169" fontId="16" fillId="0" borderId="5" xfId="0" applyNumberFormat="1" applyFont="1" applyFill="1" applyBorder="1" applyAlignment="1">
      <alignment horizontal="right"/>
    </xf>
    <xf numFmtId="169" fontId="14" fillId="0" borderId="5" xfId="0" applyNumberFormat="1" applyFont="1" applyFill="1" applyBorder="1"/>
    <xf numFmtId="0" fontId="19" fillId="0" borderId="0" xfId="0" applyFont="1" applyAlignment="1"/>
    <xf numFmtId="171" fontId="16" fillId="0" borderId="5" xfId="0" applyNumberFormat="1" applyFont="1" applyFill="1" applyBorder="1" applyAlignment="1">
      <alignment horizontal="right"/>
    </xf>
    <xf numFmtId="164" fontId="8" fillId="3" borderId="0" xfId="1" applyFont="1" applyFill="1"/>
    <xf numFmtId="1" fontId="16" fillId="0" borderId="5" xfId="2" applyNumberFormat="1" applyFont="1" applyFill="1" applyBorder="1" applyAlignment="1">
      <alignment horizontal="right"/>
    </xf>
    <xf numFmtId="0" fontId="20" fillId="0" borderId="5" xfId="2" applyNumberFormat="1" applyFont="1" applyFill="1" applyBorder="1" applyAlignment="1">
      <alignment horizontal="right"/>
    </xf>
    <xf numFmtId="0" fontId="8" fillId="3" borderId="0" xfId="1" applyNumberFormat="1" applyFont="1" applyFill="1"/>
    <xf numFmtId="169" fontId="20" fillId="0" borderId="5" xfId="0" applyNumberFormat="1" applyFont="1" applyFill="1" applyBorder="1" applyAlignment="1">
      <alignment horizontal="right"/>
    </xf>
    <xf numFmtId="172" fontId="16" fillId="0" borderId="5" xfId="0" applyNumberFormat="1" applyFont="1" applyFill="1" applyBorder="1" applyAlignment="1">
      <alignment horizontal="right"/>
    </xf>
    <xf numFmtId="174" fontId="16" fillId="0" borderId="5" xfId="1" applyNumberFormat="1" applyFont="1" applyBorder="1" applyAlignment="1">
      <alignment horizontal="right"/>
    </xf>
    <xf numFmtId="174" fontId="16" fillId="0" borderId="5" xfId="1" applyNumberFormat="1" applyFont="1" applyFill="1" applyBorder="1" applyAlignment="1">
      <alignment horizontal="right"/>
    </xf>
    <xf numFmtId="0" fontId="20" fillId="0" borderId="5" xfId="0" applyFont="1" applyBorder="1" applyAlignment="1">
      <alignment wrapText="1"/>
    </xf>
    <xf numFmtId="173" fontId="8" fillId="3" borderId="0" xfId="1" applyNumberFormat="1" applyFont="1" applyFill="1"/>
    <xf numFmtId="174" fontId="8" fillId="3" borderId="0" xfId="1" applyNumberFormat="1" applyFont="1" applyFill="1"/>
    <xf numFmtId="164" fontId="8" fillId="3" borderId="0" xfId="1" applyNumberFormat="1" applyFont="1" applyFill="1"/>
    <xf numFmtId="171" fontId="14" fillId="0" borderId="5" xfId="0" applyNumberFormat="1" applyFont="1" applyFill="1" applyBorder="1"/>
    <xf numFmtId="0" fontId="18" fillId="0" borderId="5" xfId="0" applyFont="1" applyBorder="1" applyAlignment="1">
      <alignment wrapText="1"/>
    </xf>
    <xf numFmtId="0" fontId="21" fillId="0" borderId="5" xfId="0" applyFont="1" applyBorder="1"/>
    <xf numFmtId="3" fontId="0" fillId="0" borderId="0" xfId="0" applyNumberFormat="1" applyFont="1" applyAlignment="1"/>
    <xf numFmtId="169" fontId="18" fillId="0" borderId="5" xfId="0" applyNumberFormat="1" applyFont="1" applyBorder="1" applyAlignment="1">
      <alignment horizontal="right"/>
    </xf>
    <xf numFmtId="0" fontId="22" fillId="5" borderId="0" xfId="0" applyFont="1" applyFill="1" applyAlignment="1"/>
    <xf numFmtId="169" fontId="18" fillId="5" borderId="5" xfId="0" applyNumberFormat="1" applyFont="1" applyFill="1" applyBorder="1" applyAlignment="1">
      <alignment horizontal="right"/>
    </xf>
    <xf numFmtId="0" fontId="10" fillId="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173" fontId="23" fillId="8" borderId="0" xfId="4" applyNumberFormat="1"/>
    <xf numFmtId="0" fontId="24" fillId="9" borderId="0" xfId="1" applyNumberFormat="1" applyFont="1" applyFill="1"/>
    <xf numFmtId="9" fontId="24" fillId="9" borderId="0" xfId="2" applyFont="1" applyFill="1"/>
    <xf numFmtId="164" fontId="24" fillId="9" borderId="0" xfId="1" applyFont="1" applyFill="1"/>
    <xf numFmtId="174" fontId="24" fillId="9" borderId="0" xfId="1" applyNumberFormat="1" applyFont="1" applyFill="1"/>
    <xf numFmtId="0" fontId="25" fillId="0" borderId="5" xfId="0" applyFont="1" applyBorder="1" applyAlignment="1">
      <alignment wrapText="1"/>
    </xf>
    <xf numFmtId="0" fontId="1" fillId="0" borderId="0" xfId="0" applyFont="1" applyAlignment="1"/>
    <xf numFmtId="0" fontId="20" fillId="0" borderId="0" xfId="0" applyFont="1" applyAlignment="1"/>
    <xf numFmtId="0" fontId="26" fillId="0" borderId="0" xfId="0" applyFont="1" applyAlignment="1"/>
    <xf numFmtId="173" fontId="24" fillId="9" borderId="0" xfId="1" applyNumberFormat="1" applyFont="1" applyFill="1"/>
    <xf numFmtId="0" fontId="23" fillId="8" borderId="0" xfId="4" applyNumberFormat="1"/>
    <xf numFmtId="9" fontId="23" fillId="8" borderId="0" xfId="4" applyNumberFormat="1"/>
    <xf numFmtId="164" fontId="23" fillId="8" borderId="0" xfId="4" applyNumberFormat="1"/>
    <xf numFmtId="174" fontId="23" fillId="8" borderId="0" xfId="4" applyNumberFormat="1"/>
    <xf numFmtId="0" fontId="20" fillId="0" borderId="0" xfId="0" applyFont="1"/>
    <xf numFmtId="0" fontId="27" fillId="6" borderId="6" xfId="0" applyFont="1" applyFill="1" applyBorder="1" applyAlignment="1">
      <alignment horizontal="center" wrapText="1"/>
    </xf>
    <xf numFmtId="168" fontId="27" fillId="6" borderId="5" xfId="0" applyNumberFormat="1" applyFont="1" applyFill="1" applyBorder="1" applyAlignment="1">
      <alignment horizontal="center"/>
    </xf>
    <xf numFmtId="49" fontId="20" fillId="0" borderId="5" xfId="0" applyNumberFormat="1" applyFont="1" applyBorder="1"/>
    <xf numFmtId="168" fontId="20" fillId="0" borderId="5" xfId="0" applyNumberFormat="1" applyFont="1" applyBorder="1"/>
    <xf numFmtId="0" fontId="18" fillId="7" borderId="5" xfId="0" applyFont="1" applyFill="1" applyBorder="1" applyAlignment="1">
      <alignment wrapText="1"/>
    </xf>
    <xf numFmtId="169" fontId="18" fillId="7" borderId="5" xfId="0" applyNumberFormat="1" applyFont="1" applyFill="1" applyBorder="1" applyAlignment="1">
      <alignment horizontal="right"/>
    </xf>
    <xf numFmtId="174" fontId="20" fillId="0" borderId="5" xfId="1" applyNumberFormat="1" applyFont="1" applyBorder="1" applyAlignment="1">
      <alignment horizontal="right"/>
    </xf>
    <xf numFmtId="174" fontId="20" fillId="0" borderId="5" xfId="1" applyNumberFormat="1" applyFont="1" applyFill="1" applyBorder="1" applyAlignment="1">
      <alignment horizontal="right"/>
    </xf>
    <xf numFmtId="0" fontId="20" fillId="0" borderId="0" xfId="0" applyFont="1" applyFill="1"/>
    <xf numFmtId="9" fontId="28" fillId="0" borderId="5" xfId="0" applyNumberFormat="1" applyFont="1" applyBorder="1"/>
    <xf numFmtId="9" fontId="20" fillId="0" borderId="5" xfId="2" applyFont="1" applyFill="1" applyBorder="1"/>
    <xf numFmtId="9" fontId="20" fillId="0" borderId="5" xfId="0" applyNumberFormat="1" applyFont="1" applyBorder="1"/>
    <xf numFmtId="1" fontId="20" fillId="0" borderId="5" xfId="2" applyNumberFormat="1" applyFont="1" applyFill="1" applyBorder="1" applyAlignment="1">
      <alignment horizontal="right"/>
    </xf>
    <xf numFmtId="9" fontId="20" fillId="0" borderId="5" xfId="2" applyFont="1" applyFill="1" applyBorder="1" applyAlignment="1">
      <alignment horizontal="right"/>
    </xf>
    <xf numFmtId="171" fontId="20" fillId="0" borderId="5" xfId="0" applyNumberFormat="1" applyFont="1" applyFill="1" applyBorder="1" applyAlignment="1">
      <alignment horizontal="right"/>
    </xf>
    <xf numFmtId="0" fontId="20" fillId="0" borderId="5" xfId="0" applyFont="1" applyFill="1" applyBorder="1" applyAlignment="1">
      <alignment wrapText="1"/>
    </xf>
    <xf numFmtId="169" fontId="18" fillId="7" borderId="5" xfId="0" applyNumberFormat="1" applyFont="1" applyFill="1" applyBorder="1" applyAlignment="1">
      <alignment horizontal="left"/>
    </xf>
    <xf numFmtId="172" fontId="20" fillId="0" borderId="5" xfId="0" applyNumberFormat="1" applyFont="1" applyFill="1" applyBorder="1" applyAlignment="1">
      <alignment horizontal="right"/>
    </xf>
    <xf numFmtId="169" fontId="20" fillId="0" borderId="5" xfId="0" applyNumberFormat="1" applyFont="1" applyFill="1" applyBorder="1"/>
    <xf numFmtId="171" fontId="20" fillId="0" borderId="5" xfId="0" applyNumberFormat="1" applyFont="1" applyFill="1" applyBorder="1"/>
    <xf numFmtId="169" fontId="20" fillId="0" borderId="5" xfId="0" applyNumberFormat="1" applyFont="1" applyBorder="1" applyAlignment="1">
      <alignment horizontal="right"/>
    </xf>
    <xf numFmtId="0" fontId="20" fillId="0" borderId="5" xfId="0" applyFont="1" applyBorder="1"/>
    <xf numFmtId="169" fontId="20" fillId="0" borderId="5" xfId="0" applyNumberFormat="1" applyFont="1" applyBorder="1"/>
    <xf numFmtId="9" fontId="29" fillId="3" borderId="0" xfId="2" applyFont="1" applyFill="1"/>
    <xf numFmtId="170" fontId="29" fillId="3" borderId="0" xfId="3" applyNumberFormat="1" applyFont="1"/>
    <xf numFmtId="170" fontId="29" fillId="0" borderId="0" xfId="3" applyNumberFormat="1" applyFont="1" applyFill="1"/>
    <xf numFmtId="0" fontId="20" fillId="0" borderId="5" xfId="0" applyFont="1" applyBorder="1" applyAlignment="1"/>
    <xf numFmtId="0" fontId="30" fillId="8" borderId="0" xfId="4" applyNumberFormat="1" applyFont="1"/>
    <xf numFmtId="9" fontId="30" fillId="8" borderId="0" xfId="4" applyNumberFormat="1" applyFont="1"/>
    <xf numFmtId="0" fontId="29" fillId="3" borderId="0" xfId="1" applyNumberFormat="1" applyFont="1" applyFill="1"/>
    <xf numFmtId="0" fontId="20" fillId="0" borderId="5" xfId="0" applyFont="1" applyFill="1" applyBorder="1"/>
    <xf numFmtId="9" fontId="29" fillId="0" borderId="0" xfId="3" applyNumberFormat="1" applyFont="1" applyFill="1" applyAlignment="1"/>
    <xf numFmtId="9" fontId="29" fillId="0" borderId="0" xfId="2" applyFont="1" applyFill="1"/>
    <xf numFmtId="9" fontId="29" fillId="0" borderId="0" xfId="2" applyFont="1" applyFill="1" applyAlignment="1"/>
    <xf numFmtId="164" fontId="29" fillId="3" borderId="0" xfId="1" applyFont="1" applyFill="1"/>
    <xf numFmtId="164" fontId="30" fillId="8" borderId="0" xfId="4" applyNumberFormat="1" applyFont="1"/>
    <xf numFmtId="174" fontId="29" fillId="3" borderId="0" xfId="1" applyNumberFormat="1" applyFont="1" applyFill="1"/>
    <xf numFmtId="173" fontId="30" fillId="8" borderId="0" xfId="4" applyNumberFormat="1" applyFont="1"/>
    <xf numFmtId="164" fontId="29" fillId="3" borderId="0" xfId="1" applyNumberFormat="1" applyFont="1" applyFill="1"/>
    <xf numFmtId="175" fontId="20" fillId="0" borderId="0" xfId="0" applyNumberFormat="1" applyFont="1" applyAlignment="1"/>
    <xf numFmtId="176" fontId="0" fillId="0" borderId="0" xfId="0" applyNumberFormat="1" applyFont="1" applyAlignment="1"/>
    <xf numFmtId="169" fontId="18" fillId="5" borderId="8" xfId="0" applyNumberFormat="1" applyFont="1" applyFill="1" applyBorder="1" applyAlignment="1">
      <alignment horizontal="right"/>
    </xf>
    <xf numFmtId="169" fontId="18" fillId="5" borderId="9" xfId="0" applyNumberFormat="1" applyFont="1" applyFill="1" applyBorder="1" applyAlignment="1">
      <alignment horizontal="right"/>
    </xf>
    <xf numFmtId="174" fontId="16" fillId="0" borderId="6" xfId="1" applyNumberFormat="1" applyFont="1" applyBorder="1" applyAlignment="1">
      <alignment horizontal="right"/>
    </xf>
    <xf numFmtId="169" fontId="18" fillId="0" borderId="6" xfId="0" applyNumberFormat="1" applyFont="1" applyBorder="1" applyAlignment="1">
      <alignment horizontal="right"/>
    </xf>
    <xf numFmtId="169" fontId="16" fillId="0" borderId="12" xfId="0" applyNumberFormat="1" applyFont="1" applyBorder="1" applyAlignment="1">
      <alignment horizontal="right"/>
    </xf>
    <xf numFmtId="169" fontId="18" fillId="0" borderId="13" xfId="0" applyNumberFormat="1" applyFont="1" applyBorder="1" applyAlignment="1">
      <alignment horizontal="right"/>
    </xf>
    <xf numFmtId="0" fontId="22" fillId="5" borderId="14" xfId="0" applyFont="1" applyFill="1" applyBorder="1" applyAlignment="1"/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169" fontId="18" fillId="5" borderId="7" xfId="0" applyNumberFormat="1" applyFont="1" applyFill="1" applyBorder="1" applyAlignment="1">
      <alignment horizontal="right"/>
    </xf>
    <xf numFmtId="174" fontId="16" fillId="0" borderId="10" xfId="1" applyNumberFormat="1" applyFont="1" applyBorder="1" applyAlignment="1">
      <alignment horizontal="right"/>
    </xf>
    <xf numFmtId="169" fontId="16" fillId="0" borderId="10" xfId="0" applyNumberFormat="1" applyFont="1" applyBorder="1" applyAlignment="1">
      <alignment horizontal="right"/>
    </xf>
    <xf numFmtId="0" fontId="0" fillId="0" borderId="11" xfId="0" applyFont="1" applyBorder="1" applyAlignment="1"/>
    <xf numFmtId="174" fontId="20" fillId="0" borderId="6" xfId="1" applyNumberFormat="1" applyFont="1" applyBorder="1" applyAlignment="1">
      <alignment horizontal="right"/>
    </xf>
    <xf numFmtId="0" fontId="20" fillId="0" borderId="12" xfId="0" applyFont="1" applyBorder="1" applyAlignment="1"/>
    <xf numFmtId="169" fontId="20" fillId="0" borderId="12" xfId="0" applyNumberFormat="1" applyFont="1" applyBorder="1" applyAlignment="1">
      <alignment horizontal="right"/>
    </xf>
    <xf numFmtId="169" fontId="18" fillId="5" borderId="14" xfId="0" applyNumberFormat="1" applyFont="1" applyFill="1" applyBorder="1" applyAlignment="1">
      <alignment horizontal="right"/>
    </xf>
    <xf numFmtId="174" fontId="20" fillId="0" borderId="15" xfId="1" applyNumberFormat="1" applyFont="1" applyBorder="1" applyAlignment="1">
      <alignment horizontal="right"/>
    </xf>
    <xf numFmtId="169" fontId="18" fillId="0" borderId="15" xfId="0" applyNumberFormat="1" applyFont="1" applyBorder="1" applyAlignment="1">
      <alignment horizontal="right"/>
    </xf>
    <xf numFmtId="169" fontId="18" fillId="0" borderId="16" xfId="0" applyNumberFormat="1" applyFont="1" applyBorder="1" applyAlignment="1">
      <alignment horizontal="right"/>
    </xf>
    <xf numFmtId="0" fontId="18" fillId="5" borderId="14" xfId="0" applyFont="1" applyFill="1" applyBorder="1" applyAlignment="1"/>
  </cellXfs>
  <cellStyles count="5">
    <cellStyle name="Денежный" xfId="1" builtinId="4"/>
    <cellStyle name="Нейтральный" xfId="3" builtinId="28"/>
    <cellStyle name="Обычный" xfId="0" builtinId="0"/>
    <cellStyle name="Плохой" xfId="4" builtinId="27"/>
    <cellStyle name="Процентный" xfId="2" builtinId="5"/>
  </cellStyles>
  <dxfs count="0"/>
  <tableStyles count="0" defaultTableStyle="TableStyleMedium2" defaultPivotStyle="PivotStyleLight16"/>
  <colors>
    <mruColors>
      <color rgb="FFFEDAC8"/>
      <color rgb="FFFEE2C8"/>
      <color rgb="FF9B4301"/>
      <color rgb="FFFED9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</a:t>
            </a:r>
            <a:r>
              <a:rPr lang="ru-RU" baseline="0"/>
              <a:t> прибыль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23403324584427"/>
          <c:y val="0.19721055701370663"/>
          <c:w val="0.84532152230971125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'Финмодель индексация 1,5 года'!$C$50:$AL$50</c:f>
              <c:numCache>
                <c:formatCode>#\ ##0;\ \-#\ ##0;\ \-</c:formatCode>
                <c:ptCount val="36"/>
                <c:pt idx="0">
                  <c:v>2065.8149366400166</c:v>
                </c:pt>
                <c:pt idx="1">
                  <c:v>-2288.329068800027</c:v>
                </c:pt>
                <c:pt idx="2">
                  <c:v>-5625.9022081599687</c:v>
                </c:pt>
                <c:pt idx="3">
                  <c:v>-7386.2807149119908</c:v>
                </c:pt>
                <c:pt idx="4">
                  <c:v>-7959.6831234224082</c:v>
                </c:pt>
                <c:pt idx="5">
                  <c:v>-7612.5956183193775</c:v>
                </c:pt>
                <c:pt idx="6">
                  <c:v>-8098.259501665656</c:v>
                </c:pt>
                <c:pt idx="7">
                  <c:v>-7244.2346407898585</c:v>
                </c:pt>
                <c:pt idx="8">
                  <c:v>-6084.59056034073</c:v>
                </c:pt>
                <c:pt idx="9">
                  <c:v>-10055.145469114737</c:v>
                </c:pt>
                <c:pt idx="10">
                  <c:v>-9474.8130694290739</c:v>
                </c:pt>
                <c:pt idx="11">
                  <c:v>-8783.2651371051033</c:v>
                </c:pt>
                <c:pt idx="12">
                  <c:v>-12111.606987892272</c:v>
                </c:pt>
                <c:pt idx="13">
                  <c:v>-11304.002001899469</c:v>
                </c:pt>
                <c:pt idx="14">
                  <c:v>-15065.778576547047</c:v>
                </c:pt>
                <c:pt idx="15">
                  <c:v>-15742.14827993972</c:v>
                </c:pt>
                <c:pt idx="16">
                  <c:v>-14807.755155276653</c:v>
                </c:pt>
                <c:pt idx="17">
                  <c:v>-13842.852213623933</c:v>
                </c:pt>
                <c:pt idx="18">
                  <c:v>14127.26303913684</c:v>
                </c:pt>
                <c:pt idx="19">
                  <c:v>15227.348626627938</c:v>
                </c:pt>
                <c:pt idx="20">
                  <c:v>16353.559447856322</c:v>
                </c:pt>
                <c:pt idx="21">
                  <c:v>13855.380950900599</c:v>
                </c:pt>
                <c:pt idx="22">
                  <c:v>15032.055409779567</c:v>
                </c:pt>
                <c:pt idx="23">
                  <c:v>16233.677725877837</c:v>
                </c:pt>
                <c:pt idx="24">
                  <c:v>12818.745811048806</c:v>
                </c:pt>
                <c:pt idx="25">
                  <c:v>14020.61578058486</c:v>
                </c:pt>
                <c:pt idx="26">
                  <c:v>15247.011563517113</c:v>
                </c:pt>
                <c:pt idx="27">
                  <c:v>16498.277151911894</c:v>
                </c:pt>
                <c:pt idx="28">
                  <c:v>13951.207374937207</c:v>
                </c:pt>
                <c:pt idx="29">
                  <c:v>15253.435728426926</c:v>
                </c:pt>
                <c:pt idx="30">
                  <c:v>16581.825917189104</c:v>
                </c:pt>
                <c:pt idx="31">
                  <c:v>17936.865997468471</c:v>
                </c:pt>
                <c:pt idx="32">
                  <c:v>19319.064340772697</c:v>
                </c:pt>
                <c:pt idx="33">
                  <c:v>20728.946873936613</c:v>
                </c:pt>
                <c:pt idx="34">
                  <c:v>22167.055213859243</c:v>
                </c:pt>
                <c:pt idx="35">
                  <c:v>23633.945429847139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96D-93D1-64F06686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788480"/>
        <c:axId val="239779840"/>
      </c:lineChart>
      <c:catAx>
        <c:axId val="23978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79840"/>
        <c:crosses val="autoZero"/>
        <c:auto val="1"/>
        <c:lblAlgn val="ctr"/>
        <c:lblOffset val="100"/>
        <c:noMultiLvlLbl val="0"/>
      </c:catAx>
      <c:valAx>
        <c:axId val="2397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от подписки, комиссии и доставки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'Финмодель индексация 1,5 года'!$B$5</c:f>
              <c:strCache>
                <c:ptCount val="1"/>
                <c:pt idx="0">
                  <c:v>Выручка от комиссии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'Финмодель индексация 1,5 года'!$C$5:$AL$5</c:f>
              <c:numCache>
                <c:formatCode>_("$"* #\ ##0_);_("$"* \(#\ ##0\);_("$"* "-"??_);_(@_)</c:formatCode>
                <c:ptCount val="36"/>
                <c:pt idx="0">
                  <c:v>30057.503616000002</c:v>
                </c:pt>
                <c:pt idx="1">
                  <c:v>28198.204531200001</c:v>
                </c:pt>
                <c:pt idx="2">
                  <c:v>27039.85421184</c:v>
                </c:pt>
                <c:pt idx="3">
                  <c:v>26375.031209088</c:v>
                </c:pt>
                <c:pt idx="4">
                  <c:v>26058.597772377605</c:v>
                </c:pt>
                <c:pt idx="5">
                  <c:v>25989.015885200643</c:v>
                </c:pt>
                <c:pt idx="6">
                  <c:v>26095.268513067502</c:v>
                </c:pt>
                <c:pt idx="7">
                  <c:v>26327.704500442836</c:v>
                </c:pt>
                <c:pt idx="8">
                  <c:v>26651.630022431484</c:v>
                </c:pt>
                <c:pt idx="9">
                  <c:v>27042.822625265966</c:v>
                </c:pt>
                <c:pt idx="10">
                  <c:v>27484.391079441382</c:v>
                </c:pt>
                <c:pt idx="11">
                  <c:v>27964.577302199279</c:v>
                </c:pt>
                <c:pt idx="12">
                  <c:v>29312.724132857536</c:v>
                </c:pt>
                <c:pt idx="13">
                  <c:v>29863.921191398505</c:v>
                </c:pt>
                <c:pt idx="14">
                  <c:v>30436.659418345138</c:v>
                </c:pt>
                <c:pt idx="15">
                  <c:v>31028.214468895105</c:v>
                </c:pt>
                <c:pt idx="16">
                  <c:v>31636.754061801159</c:v>
                </c:pt>
                <c:pt idx="17">
                  <c:v>32261.071855506878</c:v>
                </c:pt>
                <c:pt idx="18">
                  <c:v>32900.401191345809</c:v>
                </c:pt>
                <c:pt idx="19">
                  <c:v>33554.284744282879</c:v>
                </c:pt>
                <c:pt idx="20">
                  <c:v>34222.483309545642</c:v>
                </c:pt>
                <c:pt idx="21">
                  <c:v>34904.911985000537</c:v>
                </c:pt>
                <c:pt idx="22">
                  <c:v>35601.595531185325</c:v>
                </c:pt>
                <c:pt idx="23">
                  <c:v>36312.637156348384</c:v>
                </c:pt>
                <c:pt idx="24">
                  <c:v>38096.430891071555</c:v>
                </c:pt>
                <c:pt idx="25">
                  <c:v>38857.860405020816</c:v>
                </c:pt>
                <c:pt idx="26">
                  <c:v>39634.668240410712</c:v>
                </c:pt>
                <c:pt idx="27">
                  <c:v>40427.117044321567</c:v>
                </c:pt>
                <c:pt idx="28">
                  <c:v>41235.48819257984</c:v>
                </c:pt>
                <c:pt idx="29">
                  <c:v>42060.078121591738</c:v>
                </c:pt>
                <c:pt idx="30">
                  <c:v>42901.195799635767</c:v>
                </c:pt>
                <c:pt idx="31">
                  <c:v>43759.160996557024</c:v>
                </c:pt>
                <c:pt idx="32">
                  <c:v>44634.30311313815</c:v>
                </c:pt>
                <c:pt idx="33">
                  <c:v>45526.960403055891</c:v>
                </c:pt>
                <c:pt idx="34">
                  <c:v>46437.479470475504</c:v>
                </c:pt>
                <c:pt idx="35">
                  <c:v>47366.214961435966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7-4DFE-8070-271195F58228}"/>
            </c:ext>
          </c:extLst>
        </c:ser>
        <c:ser>
          <c:idx val="1"/>
          <c:order val="1"/>
          <c:tx>
            <c:strRef>
              <c:f>'Финмодель индексация 1,5 года'!$B$6</c:f>
              <c:strCache>
                <c:ptCount val="1"/>
                <c:pt idx="0">
                  <c:v>Выручка от подписки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'Финмодель индексация 1,5 года'!$C$6:$AL$6</c:f>
              <c:numCache>
                <c:formatCode>_("$"* #\ ##0_);_("$"* \(#\ ##0\);_("$"* "-"??_);_(@_)</c:formatCode>
                <c:ptCount val="36"/>
                <c:pt idx="0">
                  <c:v>53539.500000000007</c:v>
                </c:pt>
                <c:pt idx="1">
                  <c:v>50227.65</c:v>
                </c:pt>
                <c:pt idx="2">
                  <c:v>48164.355000000003</c:v>
                </c:pt>
                <c:pt idx="3">
                  <c:v>46980.148500000003</c:v>
                </c:pt>
                <c:pt idx="4">
                  <c:v>46416.505950000006</c:v>
                </c:pt>
                <c:pt idx="5">
                  <c:v>46292.56420500001</c:v>
                </c:pt>
                <c:pt idx="6">
                  <c:v>46481.825184300018</c:v>
                </c:pt>
                <c:pt idx="7">
                  <c:v>46895.848474626007</c:v>
                </c:pt>
                <c:pt idx="8">
                  <c:v>47472.836194766525</c:v>
                </c:pt>
                <c:pt idx="9">
                  <c:v>48169.642444115452</c:v>
                </c:pt>
                <c:pt idx="10">
                  <c:v>48956.17996081528</c:v>
                </c:pt>
                <c:pt idx="11">
                  <c:v>49811.50482750385</c:v>
                </c:pt>
                <c:pt idx="12">
                  <c:v>50721.075811284507</c:v>
                </c:pt>
                <c:pt idx="13">
                  <c:v>51674.835948571606</c:v>
                </c:pt>
                <c:pt idx="14">
                  <c:v>52665.869702286029</c:v>
                </c:pt>
                <c:pt idx="15">
                  <c:v>53689.463020651834</c:v>
                </c:pt>
                <c:pt idx="16">
                  <c:v>54742.44542808894</c:v>
                </c:pt>
                <c:pt idx="17">
                  <c:v>55822.729539567554</c:v>
                </c:pt>
                <c:pt idx="18">
                  <c:v>68314.786526880838</c:v>
                </c:pt>
                <c:pt idx="19">
                  <c:v>69672.518156733553</c:v>
                </c:pt>
                <c:pt idx="20">
                  <c:v>71059.97364938879</c:v>
                </c:pt>
                <c:pt idx="21">
                  <c:v>72476.976713040989</c:v>
                </c:pt>
                <c:pt idx="22">
                  <c:v>73923.57876076689</c:v>
                </c:pt>
                <c:pt idx="23">
                  <c:v>75399.994095407776</c:v>
                </c:pt>
                <c:pt idx="24">
                  <c:v>76906.554608913837</c:v>
                </c:pt>
                <c:pt idx="25">
                  <c:v>78443.678143210636</c:v>
                </c:pt>
                <c:pt idx="26">
                  <c:v>80011.846415557811</c:v>
                </c:pt>
                <c:pt idx="27">
                  <c:v>81611.589640507038</c:v>
                </c:pt>
                <c:pt idx="28">
                  <c:v>83243.475840963831</c:v>
                </c:pt>
                <c:pt idx="29">
                  <c:v>84908.103443135769</c:v>
                </c:pt>
                <c:pt idx="30">
                  <c:v>86606.096171745332</c:v>
                </c:pt>
                <c:pt idx="31">
                  <c:v>88338.09955700305</c:v>
                </c:pt>
                <c:pt idx="32">
                  <c:v>90104.778571419054</c:v>
                </c:pt>
                <c:pt idx="33">
                  <c:v>91906.816059140619</c:v>
                </c:pt>
                <c:pt idx="34">
                  <c:v>93744.911721728655</c:v>
                </c:pt>
                <c:pt idx="35">
                  <c:v>95619.78149514689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7-4DFE-8070-271195F58228}"/>
            </c:ext>
          </c:extLst>
        </c:ser>
        <c:ser>
          <c:idx val="2"/>
          <c:order val="2"/>
          <c:tx>
            <c:strRef>
              <c:f>'Финмодель индексация 1,5 года'!$B$7</c:f>
              <c:strCache>
                <c:ptCount val="1"/>
                <c:pt idx="0">
                  <c:v>Выручка от доставки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'Финмодель индексация 1,5 года'!$C$7:$AL$7</c:f>
              <c:numCache>
                <c:formatCode>_("$"* #\ ##0_);_("$"* \(#\ ##0\);_("$"* "-"??_);_(@_)</c:formatCode>
                <c:ptCount val="36"/>
                <c:pt idx="0">
                  <c:v>110505.52800000002</c:v>
                </c:pt>
                <c:pt idx="1">
                  <c:v>103669.86960000001</c:v>
                </c:pt>
                <c:pt idx="2">
                  <c:v>99411.228720000014</c:v>
                </c:pt>
                <c:pt idx="3">
                  <c:v>96967.026504000009</c:v>
                </c:pt>
                <c:pt idx="4">
                  <c:v>95803.668280800019</c:v>
                </c:pt>
                <c:pt idx="5">
                  <c:v>95547.852519120002</c:v>
                </c:pt>
                <c:pt idx="6">
                  <c:v>95938.487180395226</c:v>
                </c:pt>
                <c:pt idx="7">
                  <c:v>96793.031251628083</c:v>
                </c:pt>
                <c:pt idx="8">
                  <c:v>97983.933905998099</c:v>
                </c:pt>
                <c:pt idx="9">
                  <c:v>99422.142004654292</c:v>
                </c:pt>
                <c:pt idx="10">
                  <c:v>101045.55543912275</c:v>
                </c:pt>
                <c:pt idx="11">
                  <c:v>102810.94596396794</c:v>
                </c:pt>
                <c:pt idx="12">
                  <c:v>104688.30047449122</c:v>
                </c:pt>
                <c:pt idx="13">
                  <c:v>106656.86139785181</c:v>
                </c:pt>
                <c:pt idx="14">
                  <c:v>108702.35506551836</c:v>
                </c:pt>
                <c:pt idx="15">
                  <c:v>110815.05167462539</c:v>
                </c:pt>
                <c:pt idx="16">
                  <c:v>112988.40736357556</c:v>
                </c:pt>
                <c:pt idx="17">
                  <c:v>115218.11376966743</c:v>
                </c:pt>
                <c:pt idx="18">
                  <c:v>137085.00496394088</c:v>
                </c:pt>
                <c:pt idx="19">
                  <c:v>139809.51976784534</c:v>
                </c:pt>
                <c:pt idx="20">
                  <c:v>142593.68045644017</c:v>
                </c:pt>
                <c:pt idx="21">
                  <c:v>145437.13327083556</c:v>
                </c:pt>
                <c:pt idx="22">
                  <c:v>148339.98137993886</c:v>
                </c:pt>
                <c:pt idx="23">
                  <c:v>151302.65481811829</c:v>
                </c:pt>
                <c:pt idx="24">
                  <c:v>154325.8195818871</c:v>
                </c:pt>
                <c:pt idx="25">
                  <c:v>157410.31414070932</c:v>
                </c:pt>
                <c:pt idx="26">
                  <c:v>160557.10514055265</c:v>
                </c:pt>
                <c:pt idx="27">
                  <c:v>163767.25654528412</c:v>
                </c:pt>
                <c:pt idx="28">
                  <c:v>167041.90818753408</c:v>
                </c:pt>
                <c:pt idx="29">
                  <c:v>170382.26090922579</c:v>
                </c:pt>
                <c:pt idx="30">
                  <c:v>173789.56631796897</c:v>
                </c:pt>
                <c:pt idx="31">
                  <c:v>177265.11977771943</c:v>
                </c:pt>
                <c:pt idx="32">
                  <c:v>180810.25566664757</c:v>
                </c:pt>
                <c:pt idx="33">
                  <c:v>184426.34422534218</c:v>
                </c:pt>
                <c:pt idx="34">
                  <c:v>188114.78952160219</c:v>
                </c:pt>
                <c:pt idx="35">
                  <c:v>191877.02820026141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7-4DFE-8070-271195F5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10432"/>
        <c:axId val="243211872"/>
      </c:areaChart>
      <c:catAx>
        <c:axId val="243210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1872"/>
        <c:crosses val="autoZero"/>
        <c:auto val="1"/>
        <c:lblAlgn val="ctr"/>
        <c:lblOffset val="100"/>
        <c:noMultiLvlLbl val="0"/>
      </c:catAx>
      <c:valAx>
        <c:axId val="2432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\ ##0_);_(&quot;$&quot;* \(#\ 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</a:t>
            </a:r>
            <a:r>
              <a:rPr lang="ru-RU" baseline="0"/>
              <a:t> прибыль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23403324584427"/>
          <c:y val="0.19721055701370663"/>
          <c:w val="0.84532152230971125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'Финмодель индексация через год'!$C$50:$AL$50</c:f>
              <c:numCache>
                <c:formatCode>#\ ##0;\ \-#\ ##0;\ \-</c:formatCode>
                <c:ptCount val="36"/>
                <c:pt idx="0">
                  <c:v>2065.8149366400166</c:v>
                </c:pt>
                <c:pt idx="1">
                  <c:v>-2288.329068800027</c:v>
                </c:pt>
                <c:pt idx="2">
                  <c:v>-5625.9022081599687</c:v>
                </c:pt>
                <c:pt idx="3">
                  <c:v>-7386.2807149119908</c:v>
                </c:pt>
                <c:pt idx="4">
                  <c:v>-7959.6831234224082</c:v>
                </c:pt>
                <c:pt idx="5">
                  <c:v>-7612.5956183193775</c:v>
                </c:pt>
                <c:pt idx="6">
                  <c:v>-8098.259501665656</c:v>
                </c:pt>
                <c:pt idx="7">
                  <c:v>-7244.2346407898585</c:v>
                </c:pt>
                <c:pt idx="8">
                  <c:v>-6084.59056034073</c:v>
                </c:pt>
                <c:pt idx="9">
                  <c:v>-10055.145469114737</c:v>
                </c:pt>
                <c:pt idx="10">
                  <c:v>-9474.8130694290739</c:v>
                </c:pt>
                <c:pt idx="11">
                  <c:v>-8783.2651371051033</c:v>
                </c:pt>
                <c:pt idx="12">
                  <c:v>12229.720020222721</c:v>
                </c:pt>
                <c:pt idx="13">
                  <c:v>13277.615915757568</c:v>
                </c:pt>
                <c:pt idx="14">
                  <c:v>10731.719087782278</c:v>
                </c:pt>
                <c:pt idx="15">
                  <c:v>10637.286486602945</c:v>
                </c:pt>
                <c:pt idx="16">
                  <c:v>11827.986774506957</c:v>
                </c:pt>
                <c:pt idx="17">
                  <c:v>13054.522998161634</c:v>
                </c:pt>
                <c:pt idx="18">
                  <c:v>14127.26303913684</c:v>
                </c:pt>
                <c:pt idx="19">
                  <c:v>15227.348626627938</c:v>
                </c:pt>
                <c:pt idx="20">
                  <c:v>16353.559447856322</c:v>
                </c:pt>
                <c:pt idx="21">
                  <c:v>13855.380950900599</c:v>
                </c:pt>
                <c:pt idx="22">
                  <c:v>15032.055409779567</c:v>
                </c:pt>
                <c:pt idx="23">
                  <c:v>16233.677725877837</c:v>
                </c:pt>
                <c:pt idx="24">
                  <c:v>40361.54656832113</c:v>
                </c:pt>
                <c:pt idx="25">
                  <c:v>42113.911712940047</c:v>
                </c:pt>
                <c:pt idx="26">
                  <c:v>43901.920826475543</c:v>
                </c:pt>
                <c:pt idx="27">
                  <c:v>45726.107788498804</c:v>
                </c:pt>
                <c:pt idx="28">
                  <c:v>43763.470856114414</c:v>
                </c:pt>
                <c:pt idx="29">
                  <c:v>45661.857841528617</c:v>
                </c:pt>
                <c:pt idx="30">
                  <c:v>47598.355826163483</c:v>
                </c:pt>
                <c:pt idx="31">
                  <c:v>49573.684052149867</c:v>
                </c:pt>
                <c:pt idx="32">
                  <c:v>51588.589039816914</c:v>
                </c:pt>
                <c:pt idx="33">
                  <c:v>53643.841265250136</c:v>
                </c:pt>
                <c:pt idx="34">
                  <c:v>55740.232931801045</c:v>
                </c:pt>
                <c:pt idx="35">
                  <c:v>57878.576509309074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B-4449-8DF4-9F119BE9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788480"/>
        <c:axId val="239779840"/>
      </c:lineChart>
      <c:catAx>
        <c:axId val="23978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79840"/>
        <c:crosses val="autoZero"/>
        <c:auto val="1"/>
        <c:lblAlgn val="ctr"/>
        <c:lblOffset val="100"/>
        <c:noMultiLvlLbl val="0"/>
      </c:catAx>
      <c:valAx>
        <c:axId val="2397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от подписки, комиссии и доставки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'Финмодель индексация через год'!$B$5</c:f>
              <c:strCache>
                <c:ptCount val="1"/>
                <c:pt idx="0">
                  <c:v>Выручка от комиссии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'Финмодель индексация через год'!$C$5:$AL$5</c:f>
              <c:numCache>
                <c:formatCode>_("$"* #\ ##0_);_("$"* \(#\ ##0\);_("$"* "-"??_);_(@_)</c:formatCode>
                <c:ptCount val="36"/>
                <c:pt idx="0">
                  <c:v>30057.503616000002</c:v>
                </c:pt>
                <c:pt idx="1">
                  <c:v>28198.204531200001</c:v>
                </c:pt>
                <c:pt idx="2">
                  <c:v>27039.85421184</c:v>
                </c:pt>
                <c:pt idx="3">
                  <c:v>26375.031209088</c:v>
                </c:pt>
                <c:pt idx="4">
                  <c:v>26058.597772377605</c:v>
                </c:pt>
                <c:pt idx="5">
                  <c:v>25989.015885200643</c:v>
                </c:pt>
                <c:pt idx="6">
                  <c:v>26095.268513067502</c:v>
                </c:pt>
                <c:pt idx="7">
                  <c:v>26327.704500442836</c:v>
                </c:pt>
                <c:pt idx="8">
                  <c:v>26651.630022431484</c:v>
                </c:pt>
                <c:pt idx="9">
                  <c:v>27042.822625265966</c:v>
                </c:pt>
                <c:pt idx="10">
                  <c:v>27484.391079441382</c:v>
                </c:pt>
                <c:pt idx="11">
                  <c:v>27964.577302199279</c:v>
                </c:pt>
                <c:pt idx="12">
                  <c:v>29312.724132857536</c:v>
                </c:pt>
                <c:pt idx="13">
                  <c:v>29863.921191398505</c:v>
                </c:pt>
                <c:pt idx="14">
                  <c:v>30436.659418345138</c:v>
                </c:pt>
                <c:pt idx="15">
                  <c:v>31028.214468895105</c:v>
                </c:pt>
                <c:pt idx="16">
                  <c:v>31636.754061801159</c:v>
                </c:pt>
                <c:pt idx="17">
                  <c:v>32261.071855506878</c:v>
                </c:pt>
                <c:pt idx="18">
                  <c:v>32900.401191345809</c:v>
                </c:pt>
                <c:pt idx="19">
                  <c:v>33554.284744282879</c:v>
                </c:pt>
                <c:pt idx="20">
                  <c:v>34222.483309545642</c:v>
                </c:pt>
                <c:pt idx="21">
                  <c:v>34904.911985000537</c:v>
                </c:pt>
                <c:pt idx="22">
                  <c:v>35601.595531185325</c:v>
                </c:pt>
                <c:pt idx="23">
                  <c:v>36312.637156348384</c:v>
                </c:pt>
                <c:pt idx="24">
                  <c:v>38096.430891071555</c:v>
                </c:pt>
                <c:pt idx="25">
                  <c:v>38857.860405020816</c:v>
                </c:pt>
                <c:pt idx="26">
                  <c:v>39634.668240410712</c:v>
                </c:pt>
                <c:pt idx="27">
                  <c:v>40427.117044321567</c:v>
                </c:pt>
                <c:pt idx="28">
                  <c:v>41235.48819257984</c:v>
                </c:pt>
                <c:pt idx="29">
                  <c:v>42060.078121591738</c:v>
                </c:pt>
                <c:pt idx="30">
                  <c:v>42901.195799635767</c:v>
                </c:pt>
                <c:pt idx="31">
                  <c:v>43759.160996557024</c:v>
                </c:pt>
                <c:pt idx="32">
                  <c:v>44634.30311313815</c:v>
                </c:pt>
                <c:pt idx="33">
                  <c:v>45526.960403055891</c:v>
                </c:pt>
                <c:pt idx="34">
                  <c:v>46437.479470475504</c:v>
                </c:pt>
                <c:pt idx="35">
                  <c:v>47366.214961435966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E-4339-B859-D461B610BF71}"/>
            </c:ext>
          </c:extLst>
        </c:ser>
        <c:ser>
          <c:idx val="1"/>
          <c:order val="1"/>
          <c:tx>
            <c:strRef>
              <c:f>'Финмодель индексация через год'!$B$6</c:f>
              <c:strCache>
                <c:ptCount val="1"/>
                <c:pt idx="0">
                  <c:v>Выручка от подписки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'Финмодель индексация через год'!$C$6:$AL$6</c:f>
              <c:numCache>
                <c:formatCode>_("$"* #\ ##0_);_("$"* \(#\ ##0\);_("$"* "-"??_);_(@_)</c:formatCode>
                <c:ptCount val="36"/>
                <c:pt idx="0">
                  <c:v>53539.500000000007</c:v>
                </c:pt>
                <c:pt idx="1">
                  <c:v>50227.65</c:v>
                </c:pt>
                <c:pt idx="2">
                  <c:v>48164.355000000003</c:v>
                </c:pt>
                <c:pt idx="3">
                  <c:v>46980.148500000003</c:v>
                </c:pt>
                <c:pt idx="4">
                  <c:v>46416.505950000006</c:v>
                </c:pt>
                <c:pt idx="5">
                  <c:v>46292.56420500001</c:v>
                </c:pt>
                <c:pt idx="6">
                  <c:v>46481.825184300018</c:v>
                </c:pt>
                <c:pt idx="7">
                  <c:v>46895.848474626007</c:v>
                </c:pt>
                <c:pt idx="8">
                  <c:v>47472.836194766525</c:v>
                </c:pt>
                <c:pt idx="9">
                  <c:v>48169.642444115452</c:v>
                </c:pt>
                <c:pt idx="10">
                  <c:v>48956.17996081528</c:v>
                </c:pt>
                <c:pt idx="11">
                  <c:v>49811.50482750385</c:v>
                </c:pt>
                <c:pt idx="12">
                  <c:v>60865.290973541414</c:v>
                </c:pt>
                <c:pt idx="13">
                  <c:v>62009.803138285934</c:v>
                </c:pt>
                <c:pt idx="14">
                  <c:v>63199.043642743229</c:v>
                </c:pt>
                <c:pt idx="15">
                  <c:v>64427.355624782205</c:v>
                </c:pt>
                <c:pt idx="16">
                  <c:v>65690.934513706728</c:v>
                </c:pt>
                <c:pt idx="17">
                  <c:v>66987.275447481064</c:v>
                </c:pt>
                <c:pt idx="18">
                  <c:v>68314.786526880838</c:v>
                </c:pt>
                <c:pt idx="19">
                  <c:v>69672.518156733553</c:v>
                </c:pt>
                <c:pt idx="20">
                  <c:v>71059.97364938879</c:v>
                </c:pt>
                <c:pt idx="21">
                  <c:v>72476.976713040989</c:v>
                </c:pt>
                <c:pt idx="22">
                  <c:v>73923.57876076689</c:v>
                </c:pt>
                <c:pt idx="23">
                  <c:v>75399.994095407776</c:v>
                </c:pt>
                <c:pt idx="24">
                  <c:v>89724.313710399467</c:v>
                </c:pt>
                <c:pt idx="25">
                  <c:v>91517.624500412407</c:v>
                </c:pt>
                <c:pt idx="26">
                  <c:v>93347.154151484108</c:v>
                </c:pt>
                <c:pt idx="27">
                  <c:v>95213.521247258206</c:v>
                </c:pt>
                <c:pt idx="28">
                  <c:v>97117.388481124464</c:v>
                </c:pt>
                <c:pt idx="29">
                  <c:v>99059.454016991731</c:v>
                </c:pt>
                <c:pt idx="30">
                  <c:v>101040.44553370289</c:v>
                </c:pt>
                <c:pt idx="31">
                  <c:v>103061.11614983689</c:v>
                </c:pt>
                <c:pt idx="32">
                  <c:v>105122.24166665557</c:v>
                </c:pt>
                <c:pt idx="33">
                  <c:v>107224.61873566406</c:v>
                </c:pt>
                <c:pt idx="34">
                  <c:v>109369.0636753501</c:v>
                </c:pt>
                <c:pt idx="35">
                  <c:v>111556.41174433804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E-4339-B859-D461B610BF71}"/>
            </c:ext>
          </c:extLst>
        </c:ser>
        <c:ser>
          <c:idx val="2"/>
          <c:order val="2"/>
          <c:tx>
            <c:strRef>
              <c:f>'Финмодель индексация через год'!$B$7</c:f>
              <c:strCache>
                <c:ptCount val="1"/>
                <c:pt idx="0">
                  <c:v>Выручка от доставки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'Финмодель индексация через год'!$C$7:$AL$7</c:f>
              <c:numCache>
                <c:formatCode>_("$"* #\ ##0_);_("$"* \(#\ ##0\);_("$"* "-"??_);_(@_)</c:formatCode>
                <c:ptCount val="36"/>
                <c:pt idx="0">
                  <c:v>110505.52800000002</c:v>
                </c:pt>
                <c:pt idx="1">
                  <c:v>103669.86960000001</c:v>
                </c:pt>
                <c:pt idx="2">
                  <c:v>99411.228720000014</c:v>
                </c:pt>
                <c:pt idx="3">
                  <c:v>96967.026504000009</c:v>
                </c:pt>
                <c:pt idx="4">
                  <c:v>95803.668280800019</c:v>
                </c:pt>
                <c:pt idx="5">
                  <c:v>95547.852519120002</c:v>
                </c:pt>
                <c:pt idx="6">
                  <c:v>95938.487180395226</c:v>
                </c:pt>
                <c:pt idx="7">
                  <c:v>96793.031251628083</c:v>
                </c:pt>
                <c:pt idx="8">
                  <c:v>97983.933905998099</c:v>
                </c:pt>
                <c:pt idx="9">
                  <c:v>99422.142004654292</c:v>
                </c:pt>
                <c:pt idx="10">
                  <c:v>101045.55543912275</c:v>
                </c:pt>
                <c:pt idx="11">
                  <c:v>102810.94596396794</c:v>
                </c:pt>
                <c:pt idx="12">
                  <c:v>122136.35055357308</c:v>
                </c:pt>
                <c:pt idx="13">
                  <c:v>124433.00496416044</c:v>
                </c:pt>
                <c:pt idx="14">
                  <c:v>126819.41424310475</c:v>
                </c:pt>
                <c:pt idx="15">
                  <c:v>129284.22695372961</c:v>
                </c:pt>
                <c:pt idx="16">
                  <c:v>131819.80859083816</c:v>
                </c:pt>
                <c:pt idx="17">
                  <c:v>134421.13273127866</c:v>
                </c:pt>
                <c:pt idx="18">
                  <c:v>137085.00496394088</c:v>
                </c:pt>
                <c:pt idx="19">
                  <c:v>139809.51976784534</c:v>
                </c:pt>
                <c:pt idx="20">
                  <c:v>142593.68045644017</c:v>
                </c:pt>
                <c:pt idx="21">
                  <c:v>145437.13327083556</c:v>
                </c:pt>
                <c:pt idx="22">
                  <c:v>148339.98137993886</c:v>
                </c:pt>
                <c:pt idx="23">
                  <c:v>151302.65481811829</c:v>
                </c:pt>
                <c:pt idx="24">
                  <c:v>176372.36523644239</c:v>
                </c:pt>
                <c:pt idx="25">
                  <c:v>179897.50187509638</c:v>
                </c:pt>
                <c:pt idx="26">
                  <c:v>183493.83444634589</c:v>
                </c:pt>
                <c:pt idx="27">
                  <c:v>187162.57890889613</c:v>
                </c:pt>
                <c:pt idx="28">
                  <c:v>190905.03792861037</c:v>
                </c:pt>
                <c:pt idx="29">
                  <c:v>194722.58389625803</c:v>
                </c:pt>
                <c:pt idx="30">
                  <c:v>198616.64722053596</c:v>
                </c:pt>
                <c:pt idx="31">
                  <c:v>202588.70831739364</c:v>
                </c:pt>
                <c:pt idx="32">
                  <c:v>206640.29219045438</c:v>
                </c:pt>
                <c:pt idx="33">
                  <c:v>210772.96482896249</c:v>
                </c:pt>
                <c:pt idx="34">
                  <c:v>214988.33088183106</c:v>
                </c:pt>
                <c:pt idx="35">
                  <c:v>219288.0322288702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6E-4339-B859-D461B610B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10432"/>
        <c:axId val="243211872"/>
      </c:areaChart>
      <c:catAx>
        <c:axId val="243210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1872"/>
        <c:crosses val="autoZero"/>
        <c:auto val="1"/>
        <c:lblAlgn val="ctr"/>
        <c:lblOffset val="100"/>
        <c:noMultiLvlLbl val="0"/>
      </c:catAx>
      <c:valAx>
        <c:axId val="2432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\ ##0_);_(&quot;$&quot;* \(#\ 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</a:t>
            </a:r>
            <a:r>
              <a:rPr lang="ru-RU" baseline="0"/>
              <a:t> прибыль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23403324584427"/>
          <c:y val="0.19721055701370663"/>
          <c:w val="0.84532152230971125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'Финмодель сценарий 1'!$C$51:$AL$51</c:f>
              <c:numCache>
                <c:formatCode>#\ ##0;\ \-#\ ##0;\ \-</c:formatCode>
                <c:ptCount val="36"/>
                <c:pt idx="0">
                  <c:v>-8796.4119103999983</c:v>
                </c:pt>
                <c:pt idx="1">
                  <c:v>-17303.73917996799</c:v>
                </c:pt>
                <c:pt idx="2">
                  <c:v>-23270.126153478574</c:v>
                </c:pt>
                <c:pt idx="3">
                  <c:v>-26938.219200173626</c:v>
                </c:pt>
                <c:pt idx="4">
                  <c:v>-28987.788914784149</c:v>
                </c:pt>
                <c:pt idx="5">
                  <c:v>-29870.410623337812</c:v>
                </c:pt>
                <c:pt idx="6">
                  <c:v>-29881.382839558675</c:v>
                </c:pt>
                <c:pt idx="7">
                  <c:v>-29681.138729245547</c:v>
                </c:pt>
                <c:pt idx="8">
                  <c:v>-30706.274744385446</c:v>
                </c:pt>
                <c:pt idx="9">
                  <c:v>-35098.184117214521</c:v>
                </c:pt>
                <c:pt idx="10">
                  <c:v>-34930.857486100576</c:v>
                </c:pt>
                <c:pt idx="11">
                  <c:v>-34653.604614126554</c:v>
                </c:pt>
                <c:pt idx="12">
                  <c:v>-16039.715988222044</c:v>
                </c:pt>
                <c:pt idx="13">
                  <c:v>-15243.76047877915</c:v>
                </c:pt>
                <c:pt idx="14">
                  <c:v>-19010.051991106855</c:v>
                </c:pt>
                <c:pt idx="15">
                  <c:v>-18111.240642093908</c:v>
                </c:pt>
                <c:pt idx="16">
                  <c:v>-17175.673842737277</c:v>
                </c:pt>
                <c:pt idx="17">
                  <c:v>-16208.813627740019</c:v>
                </c:pt>
                <c:pt idx="18">
                  <c:v>-15497.845341375039</c:v>
                </c:pt>
                <c:pt idx="19">
                  <c:v>-14767.009593726165</c:v>
                </c:pt>
                <c:pt idx="20">
                  <c:v>-14017.772907101607</c:v>
                </c:pt>
                <c:pt idx="21">
                  <c:v>-17871.016056649212</c:v>
                </c:pt>
                <c:pt idx="22">
                  <c:v>-17087.225331023976</c:v>
                </c:pt>
                <c:pt idx="23">
                  <c:v>-16286.620636316395</c:v>
                </c:pt>
                <c:pt idx="24">
                  <c:v>5386.1721883042319</c:v>
                </c:pt>
                <c:pt idx="25">
                  <c:v>6440.0076981943384</c:v>
                </c:pt>
                <c:pt idx="26">
                  <c:v>7515.253559461361</c:v>
                </c:pt>
                <c:pt idx="27">
                  <c:v>8612.2278775436098</c:v>
                </c:pt>
                <c:pt idx="28">
                  <c:v>5907.6914535129054</c:v>
                </c:pt>
                <c:pt idx="29">
                  <c:v>7049.2366479234652</c:v>
                </c:pt>
                <c:pt idx="30">
                  <c:v>8213.6799786599659</c:v>
                </c:pt>
                <c:pt idx="31">
                  <c:v>9401.4572217443474</c:v>
                </c:pt>
                <c:pt idx="32">
                  <c:v>10613.02019033183</c:v>
                </c:pt>
                <c:pt idx="33">
                  <c:v>11848.834639320636</c:v>
                </c:pt>
                <c:pt idx="34">
                  <c:v>13109.378925379171</c:v>
                </c:pt>
                <c:pt idx="35">
                  <c:v>14395.143174379031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9-4D6A-858D-CD601FB5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788480"/>
        <c:axId val="239779840"/>
      </c:lineChart>
      <c:catAx>
        <c:axId val="23978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79840"/>
        <c:crosses val="autoZero"/>
        <c:auto val="1"/>
        <c:lblAlgn val="ctr"/>
        <c:lblOffset val="100"/>
        <c:noMultiLvlLbl val="0"/>
      </c:catAx>
      <c:valAx>
        <c:axId val="2397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от подписки, комиссии и доставки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'Финмодель сценарий 1'!$B$6</c:f>
              <c:strCache>
                <c:ptCount val="1"/>
                <c:pt idx="0">
                  <c:v>Выручка от комиссии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'Финмодель сценарий 1'!$C$6:$AL$6</c:f>
              <c:numCache>
                <c:formatCode>_("$"* #\ ##0_);_("$"* \(#\ ##0\);_("$"* "-"??_);_(@_)</c:formatCode>
                <c:ptCount val="36"/>
                <c:pt idx="0">
                  <c:v>28769.3248896</c:v>
                </c:pt>
                <c:pt idx="1">
                  <c:v>25717.604476031996</c:v>
                </c:pt>
                <c:pt idx="2">
                  <c:v>23801.794934941438</c:v>
                </c:pt>
                <c:pt idx="3">
                  <c:v>22649.622541130764</c:v>
                </c:pt>
                <c:pt idx="4">
                  <c:v>22011.715435972008</c:v>
                </c:pt>
                <c:pt idx="5">
                  <c:v>21721.047042183931</c:v>
                </c:pt>
                <c:pt idx="6">
                  <c:v>21665.763172347579</c:v>
                </c:pt>
                <c:pt idx="7">
                  <c:v>21770.976212638907</c:v>
                </c:pt>
                <c:pt idx="8">
                  <c:v>21986.567247377418</c:v>
                </c:pt>
                <c:pt idx="9">
                  <c:v>22279.013504350409</c:v>
                </c:pt>
                <c:pt idx="10">
                  <c:v>22625.912765494464</c:v>
                </c:pt>
                <c:pt idx="11">
                  <c:v>23012.314744812571</c:v>
                </c:pt>
                <c:pt idx="12">
                  <c:v>24117.329697582398</c:v>
                </c:pt>
                <c:pt idx="13">
                  <c:v>24569.12376593861</c:v>
                </c:pt>
                <c:pt idx="14">
                  <c:v>25040.036049108443</c:v>
                </c:pt>
                <c:pt idx="15">
                  <c:v>25527.121741350813</c:v>
                </c:pt>
                <c:pt idx="16">
                  <c:v>26028.475106922171</c:v>
                </c:pt>
                <c:pt idx="17">
                  <c:v>26542.88793265932</c:v>
                </c:pt>
                <c:pt idx="18">
                  <c:v>27069.620718123642</c:v>
                </c:pt>
                <c:pt idx="19">
                  <c:v>27608.249400449582</c:v>
                </c:pt>
                <c:pt idx="20">
                  <c:v>28158.562687994086</c:v>
                </c:pt>
                <c:pt idx="21">
                  <c:v>28720.49330244277</c:v>
                </c:pt>
                <c:pt idx="22">
                  <c:v>29294.071940153113</c:v>
                </c:pt>
                <c:pt idx="23">
                  <c:v>29879.396455969378</c:v>
                </c:pt>
                <c:pt idx="24">
                  <c:v>31347.371568021543</c:v>
                </c:pt>
                <c:pt idx="25">
                  <c:v>31974.061853718089</c:v>
                </c:pt>
                <c:pt idx="26">
                  <c:v>32613.370803197649</c:v>
                </c:pt>
                <c:pt idx="27">
                  <c:v>33265.522786573085</c:v>
                </c:pt>
                <c:pt idx="28">
                  <c:v>33930.755902403238</c:v>
                </c:pt>
                <c:pt idx="29">
                  <c:v>34609.319202717437</c:v>
                </c:pt>
                <c:pt idx="30">
                  <c:v>35301.470868890079</c:v>
                </c:pt>
                <c:pt idx="31">
                  <c:v>36007.477025287139</c:v>
                </c:pt>
                <c:pt idx="32">
                  <c:v>36727.610980935795</c:v>
                </c:pt>
                <c:pt idx="33">
                  <c:v>37462.152758700249</c:v>
                </c:pt>
                <c:pt idx="34">
                  <c:v>38211.388817831918</c:v>
                </c:pt>
                <c:pt idx="35">
                  <c:v>38975.611906840182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C-4CBB-9E55-9C8F8406575A}"/>
            </c:ext>
          </c:extLst>
        </c:ser>
        <c:ser>
          <c:idx val="1"/>
          <c:order val="1"/>
          <c:tx>
            <c:strRef>
              <c:f>'Финмодель сценарий 1'!$B$7</c:f>
              <c:strCache>
                <c:ptCount val="1"/>
                <c:pt idx="0">
                  <c:v>Выручка от подписки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'Финмодель сценарий 1'!$C$7:$AL$7</c:f>
              <c:numCache>
                <c:formatCode>_("$"* #\ ##0_);_("$"* \(#\ ##0\);_("$"* "-"??_);_(@_)</c:formatCode>
                <c:ptCount val="36"/>
                <c:pt idx="0">
                  <c:v>51244.95</c:v>
                </c:pt>
                <c:pt idx="1">
                  <c:v>45809.116500000004</c:v>
                </c:pt>
                <c:pt idx="2">
                  <c:v>42396.608054999997</c:v>
                </c:pt>
                <c:pt idx="3">
                  <c:v>40344.317396850005</c:v>
                </c:pt>
                <c:pt idx="4">
                  <c:v>39208.054455889498</c:v>
                </c:pt>
                <c:pt idx="5">
                  <c:v>38690.30552144596</c:v>
                </c:pt>
                <c:pt idx="6">
                  <c:v>38591.831916088791</c:v>
                </c:pt>
                <c:pt idx="7">
                  <c:v>38779.241144833897</c:v>
                </c:pt>
                <c:pt idx="8">
                  <c:v>39163.259603314204</c:v>
                </c:pt>
                <c:pt idx="9">
                  <c:v>39684.175331221522</c:v>
                </c:pt>
                <c:pt idx="10">
                  <c:v>40302.084696859441</c:v>
                </c:pt>
                <c:pt idx="11">
                  <c:v>40990.357716335668</c:v>
                </c:pt>
                <c:pt idx="12">
                  <c:v>50077.511830528238</c:v>
                </c:pt>
                <c:pt idx="13">
                  <c:v>51015.622437580176</c:v>
                </c:pt>
                <c:pt idx="14">
                  <c:v>51993.430334527497</c:v>
                </c:pt>
                <c:pt idx="15">
                  <c:v>53004.820891509167</c:v>
                </c:pt>
                <c:pt idx="16">
                  <c:v>54045.837016034413</c:v>
                </c:pt>
                <c:pt idx="17">
                  <c:v>55113.96995984079</c:v>
                </c:pt>
                <c:pt idx="18">
                  <c:v>56207.68421537301</c:v>
                </c:pt>
                <c:pt idx="19">
                  <c:v>57326.099253425207</c:v>
                </c:pt>
                <c:pt idx="20">
                  <c:v>58468.776345502672</c:v>
                </c:pt>
                <c:pt idx="21">
                  <c:v>59635.575794108736</c:v>
                </c:pt>
                <c:pt idx="22">
                  <c:v>60826.561337527237</c:v>
                </c:pt>
                <c:pt idx="23">
                  <c:v>62041.936162727121</c:v>
                </c:pt>
                <c:pt idx="24">
                  <c:v>73829.000113099828</c:v>
                </c:pt>
                <c:pt idx="25">
                  <c:v>75304.974488596388</c:v>
                </c:pt>
                <c:pt idx="26">
                  <c:v>76810.668208435469</c:v>
                </c:pt>
                <c:pt idx="27">
                  <c:v>78346.609706749165</c:v>
                </c:pt>
                <c:pt idx="28">
                  <c:v>79913.359750761287</c:v>
                </c:pt>
                <c:pt idx="29">
                  <c:v>81511.504905194204</c:v>
                </c:pt>
                <c:pt idx="30">
                  <c:v>83141.65323610793</c:v>
                </c:pt>
                <c:pt idx="31">
                  <c:v>84804.431516812692</c:v>
                </c:pt>
                <c:pt idx="32">
                  <c:v>86500.483441857286</c:v>
                </c:pt>
                <c:pt idx="33">
                  <c:v>88230.468518149006</c:v>
                </c:pt>
                <c:pt idx="34">
                  <c:v>89995.061411506584</c:v>
                </c:pt>
                <c:pt idx="35">
                  <c:v>91794.951600143089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C-4CBB-9E55-9C8F8406575A}"/>
            </c:ext>
          </c:extLst>
        </c:ser>
        <c:ser>
          <c:idx val="2"/>
          <c:order val="2"/>
          <c:tx>
            <c:strRef>
              <c:f>'Финмодель сценарий 1'!$B$8</c:f>
              <c:strCache>
                <c:ptCount val="1"/>
                <c:pt idx="0">
                  <c:v>Выручка от доставки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'Финмодель сценарий 1'!$C$8:$AL$8</c:f>
              <c:numCache>
                <c:formatCode>_("$"* #\ ##0_);_("$"* \(#\ ##0\);_("$"* "-"??_);_(@_)</c:formatCode>
                <c:ptCount val="36"/>
                <c:pt idx="0">
                  <c:v>105769.57680000001</c:v>
                </c:pt>
                <c:pt idx="1">
                  <c:v>94550.016455999998</c:v>
                </c:pt>
                <c:pt idx="2">
                  <c:v>87506.599025520001</c:v>
                </c:pt>
                <c:pt idx="3">
                  <c:v>83270.671107098402</c:v>
                </c:pt>
                <c:pt idx="4">
                  <c:v>80925.424396955917</c:v>
                </c:pt>
                <c:pt idx="5">
                  <c:v>79856.790596264458</c:v>
                </c:pt>
                <c:pt idx="6">
                  <c:v>79653.541074807275</c:v>
                </c:pt>
                <c:pt idx="7">
                  <c:v>80040.353722937158</c:v>
                </c:pt>
                <c:pt idx="8">
                  <c:v>80832.967821240512</c:v>
                </c:pt>
                <c:pt idx="9">
                  <c:v>81908.137883641219</c:v>
                </c:pt>
                <c:pt idx="10">
                  <c:v>83183.502814317893</c:v>
                </c:pt>
                <c:pt idx="11">
                  <c:v>84604.098326516818</c:v>
                </c:pt>
                <c:pt idx="12">
                  <c:v>100488.87373992665</c:v>
                </c:pt>
                <c:pt idx="13">
                  <c:v>102371.34902474421</c:v>
                </c:pt>
                <c:pt idx="14">
                  <c:v>104333.48353795185</c:v>
                </c:pt>
                <c:pt idx="15">
                  <c:v>106363.00725562838</c:v>
                </c:pt>
                <c:pt idx="16">
                  <c:v>108451.97961217571</c:v>
                </c:pt>
                <c:pt idx="17">
                  <c:v>110595.36638608051</c:v>
                </c:pt>
                <c:pt idx="18">
                  <c:v>112790.08632551518</c:v>
                </c:pt>
                <c:pt idx="19">
                  <c:v>115034.37250187327</c:v>
                </c:pt>
                <c:pt idx="20">
                  <c:v>117327.3445333087</c:v>
                </c:pt>
                <c:pt idx="21">
                  <c:v>119668.72209351155</c:v>
                </c:pt>
                <c:pt idx="22">
                  <c:v>122058.6330839713</c:v>
                </c:pt>
                <c:pt idx="23">
                  <c:v>124497.48523320575</c:v>
                </c:pt>
                <c:pt idx="24">
                  <c:v>145126.72022232195</c:v>
                </c:pt>
                <c:pt idx="25">
                  <c:v>148028.06413758374</c:v>
                </c:pt>
                <c:pt idx="26">
                  <c:v>150987.82779258172</c:v>
                </c:pt>
                <c:pt idx="27">
                  <c:v>154007.04993783837</c:v>
                </c:pt>
                <c:pt idx="28">
                  <c:v>157086.83288149649</c:v>
                </c:pt>
                <c:pt idx="29">
                  <c:v>160228.32964221033</c:v>
                </c:pt>
                <c:pt idx="30">
                  <c:v>163432.73550412073</c:v>
                </c:pt>
                <c:pt idx="31">
                  <c:v>166701.28252447752</c:v>
                </c:pt>
                <c:pt idx="32">
                  <c:v>170035.23602285091</c:v>
                </c:pt>
                <c:pt idx="33">
                  <c:v>173435.89240139004</c:v>
                </c:pt>
                <c:pt idx="34">
                  <c:v>176904.57786033294</c:v>
                </c:pt>
                <c:pt idx="35">
                  <c:v>180442.64771685269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C-4CBB-9E55-9C8F84065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10432"/>
        <c:axId val="243211872"/>
      </c:areaChart>
      <c:catAx>
        <c:axId val="243210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1872"/>
        <c:crosses val="autoZero"/>
        <c:auto val="1"/>
        <c:lblAlgn val="ctr"/>
        <c:lblOffset val="100"/>
        <c:noMultiLvlLbl val="0"/>
      </c:catAx>
      <c:valAx>
        <c:axId val="2432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\ ##0_);_(&quot;$&quot;* \(#\ 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</a:t>
            </a:r>
            <a:r>
              <a:rPr lang="ru-RU" baseline="0"/>
              <a:t> прибыль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23403324584427"/>
          <c:y val="0.19721055701370663"/>
          <c:w val="0.84532152230971125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'Финмодель сценарий 2'!$C$51:$AL$51</c:f>
              <c:numCache>
                <c:formatCode>#\ ##0;\ \-#\ ##0;\ \-</c:formatCode>
                <c:ptCount val="36"/>
                <c:pt idx="0">
                  <c:v>-70699.296480000019</c:v>
                </c:pt>
                <c:pt idx="1">
                  <c:v>-76483.269887999995</c:v>
                </c:pt>
                <c:pt idx="2">
                  <c:v>-81630.122572800014</c:v>
                </c:pt>
                <c:pt idx="3">
                  <c:v>-85070.40758047998</c:v>
                </c:pt>
                <c:pt idx="4">
                  <c:v>-87418.189772223996</c:v>
                </c:pt>
                <c:pt idx="5">
                  <c:v>-90478.286269509146</c:v>
                </c:pt>
                <c:pt idx="6">
                  <c:v>-91749.255965058081</c:v>
                </c:pt>
                <c:pt idx="7">
                  <c:v>-92344.466097173558</c:v>
                </c:pt>
                <c:pt idx="8">
                  <c:v>-92786.117655315073</c:v>
                </c:pt>
                <c:pt idx="9">
                  <c:v>-99548.023905641923</c:v>
                </c:pt>
                <c:pt idx="10">
                  <c:v>-100285.51468074704</c:v>
                </c:pt>
                <c:pt idx="11">
                  <c:v>-100999.2041406374</c:v>
                </c:pt>
                <c:pt idx="12">
                  <c:v>-95579.913004679227</c:v>
                </c:pt>
                <c:pt idx="13">
                  <c:v>-96123.622034246946</c:v>
                </c:pt>
                <c:pt idx="14">
                  <c:v>-101284.91792469635</c:v>
                </c:pt>
                <c:pt idx="15">
                  <c:v>-101829.06734112896</c:v>
                </c:pt>
                <c:pt idx="16">
                  <c:v>-102379.31631079473</c:v>
                </c:pt>
                <c:pt idx="17">
                  <c:v>-102937.70019879658</c:v>
                </c:pt>
                <c:pt idx="18">
                  <c:v>-103946.77725772402</c:v>
                </c:pt>
                <c:pt idx="19">
                  <c:v>-104975.00263584945</c:v>
                </c:pt>
                <c:pt idx="20">
                  <c:v>-106023.172588349</c:v>
                </c:pt>
                <c:pt idx="21">
                  <c:v>-111711.93397998554</c:v>
                </c:pt>
                <c:pt idx="22">
                  <c:v>-112801.84742350696</c:v>
                </c:pt>
                <c:pt idx="23">
                  <c:v>-113913.42523033012</c:v>
                </c:pt>
                <c:pt idx="24">
                  <c:v>-108129.74931851373</c:v>
                </c:pt>
                <c:pt idx="25">
                  <c:v>-109093.55360749117</c:v>
                </c:pt>
                <c:pt idx="26">
                  <c:v>-110076.59426120527</c:v>
                </c:pt>
                <c:pt idx="27">
                  <c:v>-111079.27189536797</c:v>
                </c:pt>
                <c:pt idx="28">
                  <c:v>-116941.98878263848</c:v>
                </c:pt>
                <c:pt idx="29">
                  <c:v>-117985.15142790918</c:v>
                </c:pt>
                <c:pt idx="30">
                  <c:v>-119049.17217823808</c:v>
                </c:pt>
                <c:pt idx="31">
                  <c:v>-120134.47025486527</c:v>
                </c:pt>
                <c:pt idx="32">
                  <c:v>-121241.47243980004</c:v>
                </c:pt>
                <c:pt idx="33">
                  <c:v>-122370.61355649856</c:v>
                </c:pt>
                <c:pt idx="34">
                  <c:v>-123522.33682837</c:v>
                </c:pt>
                <c:pt idx="35">
                  <c:v>-124697.09416538228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7-4F5D-87E9-693BF8420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788480"/>
        <c:axId val="239779840"/>
      </c:lineChart>
      <c:catAx>
        <c:axId val="23978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79840"/>
        <c:crosses val="autoZero"/>
        <c:auto val="1"/>
        <c:lblAlgn val="ctr"/>
        <c:lblOffset val="100"/>
        <c:noMultiLvlLbl val="0"/>
      </c:catAx>
      <c:valAx>
        <c:axId val="2397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от подписки, комиссии и доставки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'Финмодель сценарий 2'!$B$6</c:f>
              <c:strCache>
                <c:ptCount val="1"/>
                <c:pt idx="0">
                  <c:v>Выручка от комиссии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'Финмодель сценарий 2'!$C$6:$AL$6</c:f>
              <c:numCache>
                <c:formatCode>_("$"* #\ ##0_);_("$"* \(#\ ##0\);_("$"* "-"??_);_(@_)</c:formatCode>
                <c:ptCount val="36"/>
                <c:pt idx="0">
                  <c:v>15727.763519999999</c:v>
                </c:pt>
                <c:pt idx="1">
                  <c:v>12058.466111999998</c:v>
                </c:pt>
                <c:pt idx="2">
                  <c:v>9909.3238271999999</c:v>
                </c:pt>
                <c:pt idx="3">
                  <c:v>8673.3233395199986</c:v>
                </c:pt>
                <c:pt idx="4">
                  <c:v>7986.2776277759995</c:v>
                </c:pt>
                <c:pt idx="5">
                  <c:v>7629.6958732108778</c:v>
                </c:pt>
                <c:pt idx="6">
                  <c:v>7472.5054064027127</c:v>
                </c:pt>
                <c:pt idx="7">
                  <c:v>7436.0848839673354</c:v>
                </c:pt>
                <c:pt idx="8">
                  <c:v>7473.2842033086235</c:v>
                </c:pt>
                <c:pt idx="9">
                  <c:v>7555.836460371961</c:v>
                </c:pt>
                <c:pt idx="10">
                  <c:v>7666.8051333777012</c:v>
                </c:pt>
                <c:pt idx="11">
                  <c:v>7796.0524023242351</c:v>
                </c:pt>
                <c:pt idx="12">
                  <c:v>8170.9766251421697</c:v>
                </c:pt>
                <c:pt idx="13">
                  <c:v>8325.4691192660466</c:v>
                </c:pt>
                <c:pt idx="14">
                  <c:v>8486.6222786239869</c:v>
                </c:pt>
                <c:pt idx="15">
                  <c:v>8653.1409903800395</c:v>
                </c:pt>
                <c:pt idx="16">
                  <c:v>8824.2755698977835</c:v>
                </c:pt>
                <c:pt idx="17">
                  <c:v>8999.6041371218253</c:v>
                </c:pt>
                <c:pt idx="18">
                  <c:v>9178.9020533599123</c:v>
                </c:pt>
                <c:pt idx="19">
                  <c:v>9362.0635945245012</c:v>
                </c:pt>
                <c:pt idx="20">
                  <c:v>9549.0549664734262</c:v>
                </c:pt>
                <c:pt idx="21">
                  <c:v>9739.8861258379548</c:v>
                </c:pt>
                <c:pt idx="22">
                  <c:v>9934.5938843757485</c:v>
                </c:pt>
                <c:pt idx="23">
                  <c:v>10133.231783675885</c:v>
                </c:pt>
                <c:pt idx="24">
                  <c:v>10631.174433240318</c:v>
                </c:pt>
                <c:pt idx="25">
                  <c:v>10843.7779344794</c:v>
                </c:pt>
                <c:pt idx="26">
                  <c:v>11060.641500713553</c:v>
                </c:pt>
                <c:pt idx="27">
                  <c:v>11281.847135254562</c:v>
                </c:pt>
                <c:pt idx="28">
                  <c:v>11507.479760675693</c:v>
                </c:pt>
                <c:pt idx="29">
                  <c:v>11737.626765518833</c:v>
                </c:pt>
                <c:pt idx="30">
                  <c:v>11972.377746606986</c:v>
                </c:pt>
                <c:pt idx="31">
                  <c:v>12211.824369005792</c:v>
                </c:pt>
                <c:pt idx="32">
                  <c:v>12456.06029686591</c:v>
                </c:pt>
                <c:pt idx="33">
                  <c:v>12705.18116709123</c:v>
                </c:pt>
                <c:pt idx="34">
                  <c:v>12959.284589005854</c:v>
                </c:pt>
                <c:pt idx="35">
                  <c:v>13218.47015992965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1-40DA-9892-DC450A73A78E}"/>
            </c:ext>
          </c:extLst>
        </c:ser>
        <c:ser>
          <c:idx val="1"/>
          <c:order val="1"/>
          <c:tx>
            <c:strRef>
              <c:f>'Финмодель сценарий 2'!$B$7</c:f>
              <c:strCache>
                <c:ptCount val="1"/>
                <c:pt idx="0">
                  <c:v>Выручка от подписки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'Финмодель сценарий 2'!$C$7:$AL$7</c:f>
              <c:numCache>
                <c:formatCode>_("$"* #\ ##0_);_("$"* \(#\ ##0\);_("$"* "-"??_);_(@_)</c:formatCode>
                <c:ptCount val="36"/>
                <c:pt idx="0">
                  <c:v>36712.800000000003</c:v>
                </c:pt>
                <c:pt idx="1">
                  <c:v>28147.68</c:v>
                </c:pt>
                <c:pt idx="2">
                  <c:v>23131.008000000002</c:v>
                </c:pt>
                <c:pt idx="3">
                  <c:v>20245.852800000001</c:v>
                </c:pt>
                <c:pt idx="4">
                  <c:v>18642.104640000001</c:v>
                </c:pt>
                <c:pt idx="5">
                  <c:v>17809.747603199998</c:v>
                </c:pt>
                <c:pt idx="6">
                  <c:v>17442.823077503999</c:v>
                </c:pt>
                <c:pt idx="7">
                  <c:v>17357.80785239808</c:v>
                </c:pt>
                <c:pt idx="8">
                  <c:v>17444.640997452439</c:v>
                </c:pt>
                <c:pt idx="9">
                  <c:v>17637.340010205327</c:v>
                </c:pt>
                <c:pt idx="10">
                  <c:v>17896.370526091741</c:v>
                </c:pt>
                <c:pt idx="11">
                  <c:v>18198.06816602296</c:v>
                </c:pt>
                <c:pt idx="12">
                  <c:v>23160.364583736315</c:v>
                </c:pt>
                <c:pt idx="13">
                  <c:v>23598.268478645259</c:v>
                </c:pt>
                <c:pt idx="14">
                  <c:v>24055.051810158693</c:v>
                </c:pt>
                <c:pt idx="15">
                  <c:v>24527.043623526188</c:v>
                </c:pt>
                <c:pt idx="16">
                  <c:v>25012.118962295302</c:v>
                </c:pt>
                <c:pt idx="17">
                  <c:v>25509.08202132037</c:v>
                </c:pt>
                <c:pt idx="18">
                  <c:v>26017.296069614269</c:v>
                </c:pt>
                <c:pt idx="19">
                  <c:v>26536.461435727048</c:v>
                </c:pt>
                <c:pt idx="20">
                  <c:v>27066.482331273881</c:v>
                </c:pt>
                <c:pt idx="21">
                  <c:v>27607.38697799874</c:v>
                </c:pt>
                <c:pt idx="22">
                  <c:v>28159.279717618338</c:v>
                </c:pt>
                <c:pt idx="23">
                  <c:v>28722.312312006477</c:v>
                </c:pt>
                <c:pt idx="24">
                  <c:v>35156.00010992169</c:v>
                </c:pt>
                <c:pt idx="25">
                  <c:v>35859.054016135582</c:v>
                </c:pt>
                <c:pt idx="26">
                  <c:v>36576.195438867573</c:v>
                </c:pt>
                <c:pt idx="27">
                  <c:v>37307.695553090489</c:v>
                </c:pt>
                <c:pt idx="28">
                  <c:v>38053.835187419631</c:v>
                </c:pt>
                <c:pt idx="29">
                  <c:v>38814.903325128427</c:v>
                </c:pt>
                <c:pt idx="30">
                  <c:v>39591.196252007227</c:v>
                </c:pt>
                <c:pt idx="31">
                  <c:v>40383.017093273127</c:v>
                </c:pt>
                <c:pt idx="32">
                  <c:v>41190.675584874043</c:v>
                </c:pt>
                <c:pt idx="33">
                  <c:v>42014.487986412802</c:v>
                </c:pt>
                <c:pt idx="34">
                  <c:v>42854.777080045817</c:v>
                </c:pt>
                <c:pt idx="35">
                  <c:v>43711.872221989586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91-40DA-9892-DC450A73A78E}"/>
            </c:ext>
          </c:extLst>
        </c:ser>
        <c:ser>
          <c:idx val="2"/>
          <c:order val="2"/>
          <c:tx>
            <c:strRef>
              <c:f>'Финмодель сценарий 2'!$B$8</c:f>
              <c:strCache>
                <c:ptCount val="1"/>
                <c:pt idx="0">
                  <c:v>Выручка от доставки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'Финмодель сценарий 2'!$C$8:$AL$8</c:f>
              <c:numCache>
                <c:formatCode>_("$"* #\ ##0_);_("$"* \(#\ ##0\);_("$"* "-"??_);_(@_)</c:formatCode>
                <c:ptCount val="36"/>
                <c:pt idx="0">
                  <c:v>64247.399999999994</c:v>
                </c:pt>
                <c:pt idx="1">
                  <c:v>49258.44</c:v>
                </c:pt>
                <c:pt idx="2">
                  <c:v>40479.263999999996</c:v>
                </c:pt>
                <c:pt idx="3">
                  <c:v>35430.242399999996</c:v>
                </c:pt>
                <c:pt idx="4">
                  <c:v>32623.683120000002</c:v>
                </c:pt>
                <c:pt idx="5">
                  <c:v>31167.058305599996</c:v>
                </c:pt>
                <c:pt idx="6">
                  <c:v>30524.940385631999</c:v>
                </c:pt>
                <c:pt idx="7">
                  <c:v>30376.163741696637</c:v>
                </c:pt>
                <c:pt idx="8">
                  <c:v>30528.121745541765</c:v>
                </c:pt>
                <c:pt idx="9">
                  <c:v>30865.345017859323</c:v>
                </c:pt>
                <c:pt idx="10">
                  <c:v>31318.648420660546</c:v>
                </c:pt>
                <c:pt idx="11">
                  <c:v>31846.61929054018</c:v>
                </c:pt>
                <c:pt idx="12">
                  <c:v>38909.412500677005</c:v>
                </c:pt>
                <c:pt idx="13">
                  <c:v>39645.091044124034</c:v>
                </c:pt>
                <c:pt idx="14">
                  <c:v>40412.487041066604</c:v>
                </c:pt>
                <c:pt idx="15">
                  <c:v>41205.433287523992</c:v>
                </c:pt>
                <c:pt idx="16">
                  <c:v>42020.359856656112</c:v>
                </c:pt>
                <c:pt idx="17">
                  <c:v>42855.257795818216</c:v>
                </c:pt>
                <c:pt idx="18">
                  <c:v>43709.057396951961</c:v>
                </c:pt>
                <c:pt idx="19">
                  <c:v>44581.255212021439</c:v>
                </c:pt>
                <c:pt idx="20">
                  <c:v>45471.690316540124</c:v>
                </c:pt>
                <c:pt idx="21">
                  <c:v>46380.41012303788</c:v>
                </c:pt>
                <c:pt idx="22">
                  <c:v>47307.589925598804</c:v>
                </c:pt>
                <c:pt idx="23">
                  <c:v>48253.484684170886</c:v>
                </c:pt>
                <c:pt idx="24">
                  <c:v>57421.466846205425</c:v>
                </c:pt>
                <c:pt idx="25">
                  <c:v>58569.78822635478</c:v>
                </c:pt>
                <c:pt idx="26">
                  <c:v>59741.119216817031</c:v>
                </c:pt>
                <c:pt idx="27">
                  <c:v>60935.902736714459</c:v>
                </c:pt>
                <c:pt idx="28">
                  <c:v>62154.59747278539</c:v>
                </c:pt>
                <c:pt idx="29">
                  <c:v>63397.675431043084</c:v>
                </c:pt>
                <c:pt idx="30">
                  <c:v>64665.620544945145</c:v>
                </c:pt>
                <c:pt idx="31">
                  <c:v>65958.927919012756</c:v>
                </c:pt>
                <c:pt idx="32">
                  <c:v>67278.103455294258</c:v>
                </c:pt>
                <c:pt idx="33">
                  <c:v>68623.663711140893</c:v>
                </c:pt>
                <c:pt idx="34">
                  <c:v>69996.135897408152</c:v>
                </c:pt>
                <c:pt idx="35">
                  <c:v>71396.057962582985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1-40DA-9892-DC450A73A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10432"/>
        <c:axId val="243211872"/>
      </c:areaChart>
      <c:catAx>
        <c:axId val="243210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1872"/>
        <c:crosses val="autoZero"/>
        <c:auto val="1"/>
        <c:lblAlgn val="ctr"/>
        <c:lblOffset val="100"/>
        <c:noMultiLvlLbl val="0"/>
      </c:catAx>
      <c:valAx>
        <c:axId val="2432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\ ##0_);_(&quot;$&quot;* \(#\ 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Чистая</a:t>
            </a:r>
            <a:r>
              <a:rPr lang="ru-RU" baseline="0"/>
              <a:t> прибыль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023403324584427"/>
          <c:y val="0.19721055701370663"/>
          <c:w val="0.84532152230971125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'Финмодель сценарий 2 (ред)'!$C$51:$AL$51</c:f>
              <c:numCache>
                <c:formatCode>#\ ##0;\ \-#\ ##0;\ \-</c:formatCode>
                <c:ptCount val="36"/>
                <c:pt idx="0">
                  <c:v>-22956.111104000011</c:v>
                </c:pt>
                <c:pt idx="1">
                  <c:v>-38776.850662400015</c:v>
                </c:pt>
                <c:pt idx="2">
                  <c:v>-48108.563397440012</c:v>
                </c:pt>
                <c:pt idx="3">
                  <c:v>-54047.456778464009</c:v>
                </c:pt>
                <c:pt idx="4">
                  <c:v>-57922.174910578397</c:v>
                </c:pt>
                <c:pt idx="5">
                  <c:v>-60542.763860047053</c:v>
                </c:pt>
                <c:pt idx="6">
                  <c:v>-62402.844986759475</c:v>
                </c:pt>
                <c:pt idx="7">
                  <c:v>-63803.009427389057</c:v>
                </c:pt>
                <c:pt idx="8">
                  <c:v>-64926.107793643518</c:v>
                </c:pt>
                <c:pt idx="9">
                  <c:v>-70831.861618802155</c:v>
                </c:pt>
                <c:pt idx="10">
                  <c:v>-72288.523761028147</c:v>
                </c:pt>
                <c:pt idx="11">
                  <c:v>-73743.391385851079</c:v>
                </c:pt>
                <c:pt idx="12">
                  <c:v>-48064.688535629248</c:v>
                </c:pt>
                <c:pt idx="13">
                  <c:v>-45799.446367079014</c:v>
                </c:pt>
                <c:pt idx="14">
                  <c:v>-48835.031398467341</c:v>
                </c:pt>
                <c:pt idx="15">
                  <c:v>-47687.553731863096</c:v>
                </c:pt>
                <c:pt idx="16">
                  <c:v>-46818.20491471322</c:v>
                </c:pt>
                <c:pt idx="17">
                  <c:v>-46123.465433015983</c:v>
                </c:pt>
                <c:pt idx="18">
                  <c:v>-45535.738881835423</c:v>
                </c:pt>
                <c:pt idx="19">
                  <c:v>-45010.763441086747</c:v>
                </c:pt>
                <c:pt idx="20">
                  <c:v>-44519.428562994814</c:v>
                </c:pt>
                <c:pt idx="21">
                  <c:v>-48662.455008549441</c:v>
                </c:pt>
                <c:pt idx="22">
                  <c:v>-48186.936020290072</c:v>
                </c:pt>
                <c:pt idx="23">
                  <c:v>-47704.088191158226</c:v>
                </c:pt>
                <c:pt idx="24">
                  <c:v>10404.439053879993</c:v>
                </c:pt>
                <c:pt idx="25">
                  <c:v>18958.483195664499</c:v>
                </c:pt>
                <c:pt idx="26">
                  <c:v>26240.425212811133</c:v>
                </c:pt>
                <c:pt idx="27">
                  <c:v>32696.601298606081</c:v>
                </c:pt>
                <c:pt idx="28">
                  <c:v>34819.082066144445</c:v>
                </c:pt>
                <c:pt idx="29">
                  <c:v>40479.433986277334</c:v>
                </c:pt>
                <c:pt idx="30">
                  <c:v>46014.680482369207</c:v>
                </c:pt>
                <c:pt idx="31">
                  <c:v>51541.003189232193</c:v>
                </c:pt>
                <c:pt idx="32">
                  <c:v>57143.661751615022</c:v>
                </c:pt>
                <c:pt idx="33">
                  <c:v>62886.467046240476</c:v>
                </c:pt>
                <c:pt idx="34">
                  <c:v>68818.422268483977</c:v>
                </c:pt>
                <c:pt idx="35">
                  <c:v>74978.382015860087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3-46ED-A19C-9432B960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788480"/>
        <c:axId val="239779840"/>
      </c:lineChart>
      <c:catAx>
        <c:axId val="23978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79840"/>
        <c:crosses val="autoZero"/>
        <c:auto val="1"/>
        <c:lblAlgn val="ctr"/>
        <c:lblOffset val="100"/>
        <c:noMultiLvlLbl val="0"/>
      </c:catAx>
      <c:valAx>
        <c:axId val="2397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;\ \-#\ ##0;\ 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97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 от подписки, комиссии и доставки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'Финмодель сценарий 2 (ред)'!$B$6</c:f>
              <c:strCache>
                <c:ptCount val="1"/>
                <c:pt idx="0">
                  <c:v>Выручка от комиссии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'Финмодель сценарий 2 (ред)'!$C$6:$AL$6</c:f>
              <c:numCache>
                <c:formatCode>_("$"* #\ ##0_);_("$"* \(#\ ##0\);_("$"* "-"??_);_(@_)</c:formatCode>
                <c:ptCount val="36"/>
                <c:pt idx="0">
                  <c:v>19322.680896000002</c:v>
                </c:pt>
                <c:pt idx="1">
                  <c:v>14909.424537599998</c:v>
                </c:pt>
                <c:pt idx="2">
                  <c:v>12427.261522559998</c:v>
                </c:pt>
                <c:pt idx="3">
                  <c:v>11112.044053535999</c:v>
                </c:pt>
                <c:pt idx="4">
                  <c:v>10505.697929121598</c:v>
                </c:pt>
                <c:pt idx="5">
                  <c:v>10333.813829322957</c:v>
                </c:pt>
                <c:pt idx="6">
                  <c:v>10432.203123036275</c:v>
                </c:pt>
                <c:pt idx="7">
                  <c:v>10702.832440536387</c:v>
                </c:pt>
                <c:pt idx="8">
                  <c:v>11087.385559372189</c:v>
                </c:pt>
                <c:pt idx="9">
                  <c:v>11551.401735426187</c:v>
                </c:pt>
                <c:pt idx="10">
                  <c:v>12074.75996104873</c:v>
                </c:pt>
                <c:pt idx="11">
                  <c:v>12645.970842411907</c:v>
                </c:pt>
                <c:pt idx="12">
                  <c:v>18290.201394686133</c:v>
                </c:pt>
                <c:pt idx="13">
                  <c:v>19729.160040325998</c:v>
                </c:pt>
                <c:pt idx="14">
                  <c:v>21056.509616680916</c:v>
                </c:pt>
                <c:pt idx="15">
                  <c:v>22330.914620835061</c:v>
                </c:pt>
                <c:pt idx="16">
                  <c:v>23591.487042034882</c:v>
                </c:pt>
                <c:pt idx="17">
                  <c:v>24864.678742739368</c:v>
                </c:pt>
                <c:pt idx="18">
                  <c:v>26168.763956468112</c:v>
                </c:pt>
                <c:pt idx="19">
                  <c:v>27516.755484076177</c:v>
                </c:pt>
                <c:pt idx="20">
                  <c:v>28918.302922640014</c:v>
                </c:pt>
                <c:pt idx="21">
                  <c:v>30380.929350606038</c:v>
                </c:pt>
                <c:pt idx="22">
                  <c:v>31910.838151328462</c:v>
                </c:pt>
                <c:pt idx="23">
                  <c:v>33513.440575469751</c:v>
                </c:pt>
                <c:pt idx="24">
                  <c:v>43668.661116281597</c:v>
                </c:pt>
                <c:pt idx="25">
                  <c:v>47245.183594338399</c:v>
                </c:pt>
                <c:pt idx="26">
                  <c:v>50582.605369625242</c:v>
                </c:pt>
                <c:pt idx="27">
                  <c:v>53794.349455005431</c:v>
                </c:pt>
                <c:pt idx="28">
                  <c:v>56961.896599584972</c:v>
                </c:pt>
                <c:pt idx="29">
                  <c:v>60144.472199844691</c:v>
                </c:pt>
                <c:pt idx="30">
                  <c:v>63385.832349033262</c:v>
                </c:pt>
                <c:pt idx="31">
                  <c:v>66719.019543922361</c:v>
                </c:pt>
                <c:pt idx="32">
                  <c:v>70169.697425324688</c:v>
                </c:pt>
                <c:pt idx="33">
                  <c:v>73758.491129535236</c:v>
                </c:pt>
                <c:pt idx="34">
                  <c:v>77502.631869073055</c:v>
                </c:pt>
                <c:pt idx="35">
                  <c:v>81417.114790669439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1-496C-9C51-097A37994C79}"/>
            </c:ext>
          </c:extLst>
        </c:ser>
        <c:ser>
          <c:idx val="1"/>
          <c:order val="1"/>
          <c:tx>
            <c:strRef>
              <c:f>'Финмодель сценарий 2 (ред)'!$B$7</c:f>
              <c:strCache>
                <c:ptCount val="1"/>
                <c:pt idx="0">
                  <c:v>Выручка от подписки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'Финмодель сценарий 2 (ред)'!$C$7:$AL$7</c:f>
              <c:numCache>
                <c:formatCode>_("$"* #\ ##0_);_("$"* \(#\ ##0\);_("$"* "-"??_);_(@_)</c:formatCode>
                <c:ptCount val="36"/>
                <c:pt idx="0">
                  <c:v>36712.800000000003</c:v>
                </c:pt>
                <c:pt idx="1">
                  <c:v>28327.68</c:v>
                </c:pt>
                <c:pt idx="2">
                  <c:v>23611.608</c:v>
                </c:pt>
                <c:pt idx="3">
                  <c:v>21112.714800000002</c:v>
                </c:pt>
                <c:pt idx="4">
                  <c:v>19960.666379999999</c:v>
                </c:pt>
                <c:pt idx="5">
                  <c:v>19634.089202999996</c:v>
                </c:pt>
                <c:pt idx="6">
                  <c:v>19821.027365549999</c:v>
                </c:pt>
                <c:pt idx="7">
                  <c:v>20335.218955267497</c:v>
                </c:pt>
                <c:pt idx="8">
                  <c:v>21065.864035894872</c:v>
                </c:pt>
                <c:pt idx="9">
                  <c:v>21947.487717408017</c:v>
                </c:pt>
                <c:pt idx="10">
                  <c:v>22941.860391109461</c:v>
                </c:pt>
                <c:pt idx="11">
                  <c:v>24027.152383363558</c:v>
                </c:pt>
                <c:pt idx="12">
                  <c:v>35630.262457180776</c:v>
                </c:pt>
                <c:pt idx="13">
                  <c:v>38433.428649985712</c:v>
                </c:pt>
                <c:pt idx="14">
                  <c:v>41019.174577949838</c:v>
                </c:pt>
                <c:pt idx="15">
                  <c:v>43501.78172889947</c:v>
                </c:pt>
                <c:pt idx="16">
                  <c:v>45957.442289678344</c:v>
                </c:pt>
                <c:pt idx="17">
                  <c:v>48437.685862479288</c:v>
                </c:pt>
                <c:pt idx="18">
                  <c:v>50978.111603509315</c:v>
                </c:pt>
                <c:pt idx="19">
                  <c:v>53604.069124823727</c:v>
                </c:pt>
                <c:pt idx="20">
                  <c:v>56334.356342805229</c:v>
                </c:pt>
                <c:pt idx="21">
                  <c:v>59183.628605076701</c:v>
                </c:pt>
                <c:pt idx="22">
                  <c:v>62163.970424665829</c:v>
                </c:pt>
                <c:pt idx="23">
                  <c:v>65285.923198967044</c:v>
                </c:pt>
                <c:pt idx="24">
                  <c:v>90444.351727191432</c:v>
                </c:pt>
                <c:pt idx="25">
                  <c:v>97851.86660620771</c:v>
                </c:pt>
                <c:pt idx="26">
                  <c:v>104764.16804137781</c:v>
                </c:pt>
                <c:pt idx="27">
                  <c:v>111416.17211684849</c:v>
                </c:pt>
                <c:pt idx="28">
                  <c:v>117976.63769407217</c:v>
                </c:pt>
                <c:pt idx="29">
                  <c:v>124568.22945874267</c:v>
                </c:pt>
                <c:pt idx="30">
                  <c:v>131281.57284765661</c:v>
                </c:pt>
                <c:pt idx="31">
                  <c:v>138185.10383122321</c:v>
                </c:pt>
                <c:pt idx="32">
                  <c:v>145331.97566161302</c:v>
                </c:pt>
                <c:pt idx="33">
                  <c:v>152764.90609187371</c:v>
                </c:pt>
                <c:pt idx="34">
                  <c:v>160519.58354949343</c:v>
                </c:pt>
                <c:pt idx="35">
                  <c:v>168627.06523408633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1-496C-9C51-097A37994C79}"/>
            </c:ext>
          </c:extLst>
        </c:ser>
        <c:ser>
          <c:idx val="2"/>
          <c:order val="2"/>
          <c:tx>
            <c:strRef>
              <c:f>'Финмодель сценарий 2 (ред)'!$B$8</c:f>
              <c:strCache>
                <c:ptCount val="1"/>
                <c:pt idx="0">
                  <c:v>Выручка от доставки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'Финмодель сценарий 2 (ред)'!$C$8:$AL$8</c:f>
              <c:numCache>
                <c:formatCode>_("$"* #\ ##0_);_("$"* \(#\ ##0\);_("$"* "-"??_);_(@_)</c:formatCode>
                <c:ptCount val="36"/>
                <c:pt idx="0">
                  <c:v>78932.52</c:v>
                </c:pt>
                <c:pt idx="1">
                  <c:v>60904.511999999995</c:v>
                </c:pt>
                <c:pt idx="2">
                  <c:v>50764.957199999997</c:v>
                </c:pt>
                <c:pt idx="3">
                  <c:v>45392.336819999997</c:v>
                </c:pt>
                <c:pt idx="4">
                  <c:v>42915.432716999996</c:v>
                </c:pt>
                <c:pt idx="5">
                  <c:v>42213.29178644999</c:v>
                </c:pt>
                <c:pt idx="6">
                  <c:v>42615.208835932499</c:v>
                </c:pt>
                <c:pt idx="7">
                  <c:v>43720.720753825117</c:v>
                </c:pt>
                <c:pt idx="8">
                  <c:v>45291.607677173975</c:v>
                </c:pt>
                <c:pt idx="9">
                  <c:v>47187.098592427239</c:v>
                </c:pt>
                <c:pt idx="10">
                  <c:v>49324.999840885343</c:v>
                </c:pt>
                <c:pt idx="11">
                  <c:v>51658.377624231653</c:v>
                </c:pt>
                <c:pt idx="12">
                  <c:v>76011.226575319</c:v>
                </c:pt>
                <c:pt idx="13">
                  <c:v>81991.314453302854</c:v>
                </c:pt>
                <c:pt idx="14">
                  <c:v>87507.572432959656</c:v>
                </c:pt>
                <c:pt idx="15">
                  <c:v>92803.801021652209</c:v>
                </c:pt>
                <c:pt idx="16">
                  <c:v>98042.543551313807</c:v>
                </c:pt>
                <c:pt idx="17">
                  <c:v>103333.72983995582</c:v>
                </c:pt>
                <c:pt idx="18">
                  <c:v>108753.3047541532</c:v>
                </c:pt>
                <c:pt idx="19">
                  <c:v>114355.34746629061</c:v>
                </c:pt>
                <c:pt idx="20">
                  <c:v>120179.96019798447</c:v>
                </c:pt>
                <c:pt idx="21">
                  <c:v>126258.4076908303</c:v>
                </c:pt>
                <c:pt idx="22">
                  <c:v>132616.4702392871</c:v>
                </c:pt>
                <c:pt idx="23">
                  <c:v>139276.63615779637</c:v>
                </c:pt>
                <c:pt idx="24">
                  <c:v>197115.48420543777</c:v>
                </c:pt>
                <c:pt idx="25">
                  <c:v>213259.50927999974</c:v>
                </c:pt>
                <c:pt idx="26">
                  <c:v>228324.26034900281</c:v>
                </c:pt>
                <c:pt idx="27">
                  <c:v>242821.7162899551</c:v>
                </c:pt>
                <c:pt idx="28">
                  <c:v>257119.67215090437</c:v>
                </c:pt>
                <c:pt idx="29">
                  <c:v>271485.46479096561</c:v>
                </c:pt>
                <c:pt idx="30">
                  <c:v>286116.60435327515</c:v>
                </c:pt>
                <c:pt idx="31">
                  <c:v>301162.24099687178</c:v>
                </c:pt>
                <c:pt idx="32">
                  <c:v>316738.21754486836</c:v>
                </c:pt>
                <c:pt idx="33">
                  <c:v>332937.63357081881</c:v>
                </c:pt>
                <c:pt idx="34">
                  <c:v>349838.26885345479</c:v>
                </c:pt>
                <c:pt idx="35">
                  <c:v>367507.80981899396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1-496C-9C51-097A3799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10432"/>
        <c:axId val="243211872"/>
      </c:areaChart>
      <c:catAx>
        <c:axId val="243210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1872"/>
        <c:crosses val="autoZero"/>
        <c:auto val="1"/>
        <c:lblAlgn val="ctr"/>
        <c:lblOffset val="100"/>
        <c:noMultiLvlLbl val="0"/>
      </c:catAx>
      <c:valAx>
        <c:axId val="2432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\ ##0_);_(&quot;$&quot;* \(#\ 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32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(stacked)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'Financial Data'!$B$10:$C$10</c:f>
              <c:strCache>
                <c:ptCount val="2"/>
                <c:pt idx="0">
                  <c:v>Delivery revenue</c:v>
                </c:pt>
                <c:pt idx="1">
                  <c:v>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'Financial Data'!$D$10:$O$10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16952.712343773866</c:v>
                </c:pt>
                <c:pt idx="6">
                  <c:v>25725.4661192432</c:v>
                </c:pt>
                <c:pt idx="7">
                  <c:v>30728.614730465444</c:v>
                </c:pt>
                <c:pt idx="8">
                  <c:v>45013.079299931022</c:v>
                </c:pt>
                <c:pt idx="9">
                  <c:v>59298.836208024091</c:v>
                </c:pt>
                <c:pt idx="10">
                  <c:v>37536.622069160068</c:v>
                </c:pt>
                <c:pt idx="11">
                  <c:v>82459.356715333211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9-4862-8ECB-9CA805D215A7}"/>
            </c:ext>
          </c:extLst>
        </c:ser>
        <c:ser>
          <c:idx val="1"/>
          <c:order val="1"/>
          <c:tx>
            <c:strRef>
              <c:f>'Financial Data'!$B$11:$C$11</c:f>
              <c:strCache>
                <c:ptCount val="2"/>
                <c:pt idx="0">
                  <c:v>Subscription revenue</c:v>
                </c:pt>
                <c:pt idx="1">
                  <c:v>usd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'Financial Data'!$D$11:$O$11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5292.2325333333338</c:v>
                </c:pt>
                <c:pt idx="4">
                  <c:v>7629.5822400000015</c:v>
                </c:pt>
                <c:pt idx="5">
                  <c:v>12921.274652266668</c:v>
                </c:pt>
                <c:pt idx="6">
                  <c:v>15044.132233475557</c:v>
                </c:pt>
                <c:pt idx="7">
                  <c:v>17969.950134775114</c:v>
                </c:pt>
                <c:pt idx="8">
                  <c:v>29248.264652326849</c:v>
                </c:pt>
                <c:pt idx="9">
                  <c:v>33616.120299333386</c:v>
                </c:pt>
                <c:pt idx="10">
                  <c:v>38146.973647520397</c:v>
                </c:pt>
                <c:pt idx="11">
                  <c:v>41188.489867798809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9-4862-8ECB-9CA805D215A7}"/>
            </c:ext>
          </c:extLst>
        </c:ser>
        <c:ser>
          <c:idx val="2"/>
          <c:order val="2"/>
          <c:tx>
            <c:strRef>
              <c:f>'Financial Data'!$B$13:$C$13</c:f>
              <c:strCache>
                <c:ptCount val="2"/>
                <c:pt idx="0">
                  <c:v>Comission revenue</c:v>
                </c:pt>
                <c:pt idx="1">
                  <c:v>usd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'Financial Data'!$D$13:$O$13</c:f>
              <c:numCache>
                <c:formatCode>#,##0</c:formatCode>
                <c:ptCount val="12"/>
                <c:pt idx="0">
                  <c:v>113.82</c:v>
                </c:pt>
                <c:pt idx="1">
                  <c:v>287.96460000000002</c:v>
                </c:pt>
                <c:pt idx="2">
                  <c:v>566.37133971428568</c:v>
                </c:pt>
                <c:pt idx="3">
                  <c:v>1919.7195498057145</c:v>
                </c:pt>
                <c:pt idx="4">
                  <c:v>2594.6029317599996</c:v>
                </c:pt>
                <c:pt idx="5">
                  <c:v>4461.1149026071243</c:v>
                </c:pt>
                <c:pt idx="6">
                  <c:v>7555.4347483444872</c:v>
                </c:pt>
                <c:pt idx="7">
                  <c:v>10107.813305233298</c:v>
                </c:pt>
                <c:pt idx="8">
                  <c:v>13339.205837425259</c:v>
                </c:pt>
                <c:pt idx="9">
                  <c:v>26271.121519100736</c:v>
                </c:pt>
                <c:pt idx="10">
                  <c:v>15990.214577931934</c:v>
                </c:pt>
                <c:pt idx="11">
                  <c:v>42152.204492147524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C9-4862-8ECB-9CA805D21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523199"/>
        <c:axId val="344516959"/>
      </c:areaChart>
      <c:catAx>
        <c:axId val="344523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516959"/>
        <c:crosses val="autoZero"/>
        <c:auto val="1"/>
        <c:lblAlgn val="ctr"/>
        <c:lblOffset val="100"/>
        <c:noMultiLvlLbl val="0"/>
      </c:catAx>
      <c:valAx>
        <c:axId val="3445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523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</a:t>
            </a:r>
            <a:r>
              <a:rPr lang="en-US" baseline="0"/>
              <a:t> Transactions and Total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Data'!$B$7:$C$7</c:f>
              <c:strCache>
                <c:ptCount val="2"/>
                <c:pt idx="0">
                  <c:v>Gross Transactions</c:v>
                </c:pt>
                <c:pt idx="1">
                  <c:v>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'Financial Data'!$D$7:$O$7</c:f>
              <c:numCache>
                <c:formatCode>#,##0</c:formatCode>
                <c:ptCount val="12"/>
                <c:pt idx="0">
                  <c:v>2276.3999999999996</c:v>
                </c:pt>
                <c:pt idx="1">
                  <c:v>5759.2920000000004</c:v>
                </c:pt>
                <c:pt idx="2">
                  <c:v>11327.426794285713</c:v>
                </c:pt>
                <c:pt idx="3">
                  <c:v>23996.494372571429</c:v>
                </c:pt>
                <c:pt idx="4">
                  <c:v>32432.536646999994</c:v>
                </c:pt>
                <c:pt idx="5">
                  <c:v>55763.936282589049</c:v>
                </c:pt>
                <c:pt idx="6">
                  <c:v>75554.347483444872</c:v>
                </c:pt>
                <c:pt idx="7">
                  <c:v>101078.13305233297</c:v>
                </c:pt>
                <c:pt idx="8">
                  <c:v>133392.05837425258</c:v>
                </c:pt>
                <c:pt idx="9">
                  <c:v>202085.55014692873</c:v>
                </c:pt>
                <c:pt idx="10">
                  <c:v>114215.81841379953</c:v>
                </c:pt>
                <c:pt idx="11">
                  <c:v>281014.69661431684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D-43A2-9AE2-72113E52C8D5}"/>
            </c:ext>
          </c:extLst>
        </c:ser>
        <c:ser>
          <c:idx val="1"/>
          <c:order val="1"/>
          <c:tx>
            <c:strRef>
              <c:f>'Financial Data'!$B$8:$C$8</c:f>
              <c:strCache>
                <c:ptCount val="2"/>
                <c:pt idx="0">
                  <c:v>Gross Transactions</c:v>
                </c:pt>
                <c:pt idx="1">
                  <c:v>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'Financial Data'!$D$8:$O$8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D-43A2-9AE2-72113E52C8D5}"/>
            </c:ext>
          </c:extLst>
        </c:ser>
        <c:ser>
          <c:idx val="2"/>
          <c:order val="2"/>
          <c:tx>
            <c:strRef>
              <c:f>'Financial Data'!$B$9:$C$9</c:f>
              <c:strCache>
                <c:ptCount val="2"/>
                <c:pt idx="0">
                  <c:v>Total revenue</c:v>
                </c:pt>
                <c:pt idx="1">
                  <c:v>usd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'Financial Data'!$D$9:$O$9</c:f>
              <c:numCache>
                <c:formatCode>#,##0</c:formatCode>
                <c:ptCount val="12"/>
                <c:pt idx="0">
                  <c:v>113.82</c:v>
                </c:pt>
                <c:pt idx="1">
                  <c:v>287.96460000000002</c:v>
                </c:pt>
                <c:pt idx="2">
                  <c:v>566.37133971428568</c:v>
                </c:pt>
                <c:pt idx="3">
                  <c:v>7211.9520831390482</c:v>
                </c:pt>
                <c:pt idx="4">
                  <c:v>10224.18517176</c:v>
                </c:pt>
                <c:pt idx="5">
                  <c:v>34335.101898647656</c:v>
                </c:pt>
                <c:pt idx="6">
                  <c:v>48325.033101063244</c:v>
                </c:pt>
                <c:pt idx="7">
                  <c:v>58806.378170473858</c:v>
                </c:pt>
                <c:pt idx="8">
                  <c:v>87600.549789683137</c:v>
                </c:pt>
                <c:pt idx="9">
                  <c:v>119186.07802645821</c:v>
                </c:pt>
                <c:pt idx="10">
                  <c:v>91673.810294612398</c:v>
                </c:pt>
                <c:pt idx="11">
                  <c:v>165800.05107527954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6D-43A2-9AE2-72113E52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128335"/>
        <c:axId val="341136495"/>
      </c:lineChart>
      <c:catAx>
        <c:axId val="341128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36495"/>
        <c:crosses val="autoZero"/>
        <c:auto val="1"/>
        <c:lblAlgn val="ctr"/>
        <c:lblOffset val="100"/>
        <c:noMultiLvlLbl val="0"/>
      </c:catAx>
      <c:valAx>
        <c:axId val="3411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</a:t>
            </a:r>
            <a:r>
              <a:rPr lang="en-US" baseline="0"/>
              <a:t> Costs and Client Base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v>Client Base</c:v>
          </c:tx>
          <c:val>
            <c:numRef>
              <c:f>'Operational Data'!$D$6:$O$6</c:f>
              <c:numCache>
                <c:formatCode>#,##0</c:formatCode>
                <c:ptCount val="12"/>
                <c:pt idx="0">
                  <c:v>542</c:v>
                </c:pt>
                <c:pt idx="1">
                  <c:v>1084</c:v>
                </c:pt>
                <c:pt idx="2">
                  <c:v>2553.6871999999998</c:v>
                </c:pt>
                <c:pt idx="3">
                  <c:v>2646.1162666666669</c:v>
                </c:pt>
                <c:pt idx="4">
                  <c:v>3814.7911200000008</c:v>
                </c:pt>
                <c:pt idx="5">
                  <c:v>6460.6373261333338</c:v>
                </c:pt>
                <c:pt idx="6">
                  <c:v>7522.0661167377784</c:v>
                </c:pt>
                <c:pt idx="7">
                  <c:v>8984.9750673875569</c:v>
                </c:pt>
                <c:pt idx="8">
                  <c:v>14624.132326163424</c:v>
                </c:pt>
                <c:pt idx="9">
                  <c:v>16808.060149666693</c:v>
                </c:pt>
                <c:pt idx="10">
                  <c:v>19073.486823760199</c:v>
                </c:pt>
                <c:pt idx="11">
                  <c:v>20594.244933899405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F9-44CC-ABF2-84709EB2793B}"/>
            </c:ext>
          </c:extLst>
        </c:ser>
        <c:ser>
          <c:idx val="2"/>
          <c:order val="2"/>
          <c:tx>
            <c:v>New Clients</c:v>
          </c:tx>
          <c:spPr>
            <a:solidFill>
              <a:schemeClr val="accent4"/>
            </a:solidFill>
          </c:spPr>
          <c:val>
            <c:numRef>
              <c:f>'Operational Data'!$D$7:$O$7</c:f>
              <c:numCache>
                <c:formatCode>#,##0</c:formatCode>
                <c:ptCount val="12"/>
                <c:pt idx="0">
                  <c:v>542</c:v>
                </c:pt>
                <c:pt idx="1">
                  <c:v>775.06</c:v>
                </c:pt>
                <c:pt idx="2">
                  <c:v>1643.1271999999999</c:v>
                </c:pt>
                <c:pt idx="3">
                  <c:v>1369.2726666666667</c:v>
                </c:pt>
                <c:pt idx="4">
                  <c:v>1697.8981066666668</c:v>
                </c:pt>
                <c:pt idx="5">
                  <c:v>3599.5439861333339</c:v>
                </c:pt>
                <c:pt idx="6">
                  <c:v>2999.619988444445</c:v>
                </c:pt>
                <c:pt idx="7">
                  <c:v>3719.5287856711116</c:v>
                </c:pt>
                <c:pt idx="8">
                  <c:v>7885.4010256227566</c:v>
                </c:pt>
                <c:pt idx="9">
                  <c:v>6571.1675213522976</c:v>
                </c:pt>
                <c:pt idx="10">
                  <c:v>8148.2477264768486</c:v>
                </c:pt>
                <c:pt idx="11">
                  <c:v>10103.827180831293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F9-44CC-ABF2-84709EB2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129295"/>
        <c:axId val="341138415"/>
      </c:areaChart>
      <c:lineChart>
        <c:grouping val="stacked"/>
        <c:varyColors val="0"/>
        <c:ser>
          <c:idx val="0"/>
          <c:order val="0"/>
          <c:tx>
            <c:v>Marketing Costs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'Financial Data'!$D$19:$O$19</c:f>
              <c:numCache>
                <c:formatCode>#,##0</c:formatCode>
                <c:ptCount val="12"/>
                <c:pt idx="0">
                  <c:v>11653</c:v>
                </c:pt>
                <c:pt idx="1">
                  <c:v>21138</c:v>
                </c:pt>
                <c:pt idx="2">
                  <c:v>52159.06106</c:v>
                </c:pt>
                <c:pt idx="3">
                  <c:v>48566.156429333336</c:v>
                </c:pt>
                <c:pt idx="4">
                  <c:v>58313.135484765007</c:v>
                </c:pt>
                <c:pt idx="5">
                  <c:v>91881.629461411663</c:v>
                </c:pt>
                <c:pt idx="6">
                  <c:v>98995.440458472862</c:v>
                </c:pt>
                <c:pt idx="7">
                  <c:v>99756.924138132163</c:v>
                </c:pt>
                <c:pt idx="8">
                  <c:v>176184.32112735292</c:v>
                </c:pt>
                <c:pt idx="9">
                  <c:v>167998.75711743679</c:v>
                </c:pt>
                <c:pt idx="10">
                  <c:v>170619.47530817904</c:v>
                </c:pt>
                <c:pt idx="11">
                  <c:v>162655.51730376846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F9-44CC-ABF2-84709EB2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131695"/>
        <c:axId val="341127375"/>
      </c:lineChart>
      <c:catAx>
        <c:axId val="341131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27375"/>
        <c:crosses val="autoZero"/>
        <c:auto val="1"/>
        <c:lblAlgn val="ctr"/>
        <c:lblOffset val="100"/>
        <c:noMultiLvlLbl val="0"/>
      </c:catAx>
      <c:valAx>
        <c:axId val="3411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31695"/>
        <c:crosses val="autoZero"/>
        <c:crossBetween val="between"/>
      </c:valAx>
      <c:valAx>
        <c:axId val="341138415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crossAx val="341129295"/>
        <c:crosses val="max"/>
        <c:crossBetween val="between"/>
      </c:valAx>
      <c:catAx>
        <c:axId val="341129295"/>
        <c:scaling>
          <c:orientation val="minMax"/>
        </c:scaling>
        <c:delete val="1"/>
        <c:axPos val="b"/>
        <c:majorTickMark val="out"/>
        <c:minorTickMark val="none"/>
        <c:tickLblPos val="nextTo"/>
        <c:crossAx val="341138415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Marketing</a:t>
            </a:r>
            <a:r>
              <a:rPr lang="en-US" sz="1300" baseline="0"/>
              <a:t>, Operational and SG&amp;A costs (stacked) vs 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Marketing costs</c:v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'Financial Data'!$D$19:$O$19</c:f>
              <c:numCache>
                <c:formatCode>#,##0</c:formatCode>
                <c:ptCount val="12"/>
                <c:pt idx="0">
                  <c:v>11653</c:v>
                </c:pt>
                <c:pt idx="1">
                  <c:v>21138</c:v>
                </c:pt>
                <c:pt idx="2">
                  <c:v>52159.06106</c:v>
                </c:pt>
                <c:pt idx="3">
                  <c:v>48566.156429333336</c:v>
                </c:pt>
                <c:pt idx="4">
                  <c:v>58313.135484765007</c:v>
                </c:pt>
                <c:pt idx="5">
                  <c:v>91881.629461411663</c:v>
                </c:pt>
                <c:pt idx="6">
                  <c:v>98995.440458472862</c:v>
                </c:pt>
                <c:pt idx="7">
                  <c:v>99756.924138132163</c:v>
                </c:pt>
                <c:pt idx="8">
                  <c:v>176184.32112735292</c:v>
                </c:pt>
                <c:pt idx="9">
                  <c:v>167998.75711743679</c:v>
                </c:pt>
                <c:pt idx="10">
                  <c:v>170619.47530817904</c:v>
                </c:pt>
                <c:pt idx="11">
                  <c:v>162655.51730376846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F-49F4-B92F-9B0920385191}"/>
            </c:ext>
          </c:extLst>
        </c:ser>
        <c:ser>
          <c:idx val="0"/>
          <c:order val="1"/>
          <c:tx>
            <c:v>Operational costs</c:v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'Financial Data'!$D$15:$O$15</c:f>
              <c:numCache>
                <c:formatCode>#,##0</c:formatCode>
                <c:ptCount val="12"/>
                <c:pt idx="0">
                  <c:v>4800</c:v>
                </c:pt>
                <c:pt idx="1">
                  <c:v>6900</c:v>
                </c:pt>
                <c:pt idx="2">
                  <c:v>14950</c:v>
                </c:pt>
                <c:pt idx="3">
                  <c:v>14852.5</c:v>
                </c:pt>
                <c:pt idx="4">
                  <c:v>24700</c:v>
                </c:pt>
                <c:pt idx="5">
                  <c:v>32400</c:v>
                </c:pt>
                <c:pt idx="6">
                  <c:v>41600</c:v>
                </c:pt>
                <c:pt idx="7">
                  <c:v>48830</c:v>
                </c:pt>
                <c:pt idx="8">
                  <c:v>70150</c:v>
                </c:pt>
                <c:pt idx="9">
                  <c:v>81117.5</c:v>
                </c:pt>
                <c:pt idx="10">
                  <c:v>90830</c:v>
                </c:pt>
                <c:pt idx="11">
                  <c:v>97060.137499999997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F-49F4-B92F-9B0920385191}"/>
            </c:ext>
          </c:extLst>
        </c:ser>
        <c:ser>
          <c:idx val="2"/>
          <c:order val="2"/>
          <c:tx>
            <c:strRef>
              <c:f>'Financial Data'!$B$23</c:f>
              <c:strCache>
                <c:ptCount val="1"/>
                <c:pt idx="0">
                  <c:v>SG&amp;A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'Financial Data'!$D$23:$O$23</c:f>
              <c:numCache>
                <c:formatCode>#,##0</c:formatCode>
                <c:ptCount val="12"/>
                <c:pt idx="0">
                  <c:v>29000</c:v>
                </c:pt>
                <c:pt idx="1">
                  <c:v>29800</c:v>
                </c:pt>
                <c:pt idx="2">
                  <c:v>29285.714285714286</c:v>
                </c:pt>
                <c:pt idx="3">
                  <c:v>30142.857142857141</c:v>
                </c:pt>
                <c:pt idx="4">
                  <c:v>33591.836734693876</c:v>
                </c:pt>
                <c:pt idx="5">
                  <c:v>34510.204081632648</c:v>
                </c:pt>
                <c:pt idx="6">
                  <c:v>33919.825072886299</c:v>
                </c:pt>
                <c:pt idx="7">
                  <c:v>34903.790087463552</c:v>
                </c:pt>
                <c:pt idx="8">
                  <c:v>34271.241149521033</c:v>
                </c:pt>
                <c:pt idx="9">
                  <c:v>39325.489379425235</c:v>
                </c:pt>
                <c:pt idx="10">
                  <c:v>42647.758374486817</c:v>
                </c:pt>
                <c:pt idx="11">
                  <c:v>42042.641405791801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F-49F4-B92F-9B0920385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131695"/>
        <c:axId val="341127375"/>
      </c:areaChart>
      <c:lineChart>
        <c:grouping val="standard"/>
        <c:varyColors val="0"/>
        <c:ser>
          <c:idx val="3"/>
          <c:order val="3"/>
          <c:tx>
            <c:v>Total Revenue</c:v>
          </c:tx>
          <c:spPr>
            <a:ln w="19050" cap="rnd" cmpd="sng" algn="ctr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'Financial Data'!$D$9:$O$9</c:f>
              <c:numCache>
                <c:formatCode>#,##0</c:formatCode>
                <c:ptCount val="12"/>
                <c:pt idx="0">
                  <c:v>113.82</c:v>
                </c:pt>
                <c:pt idx="1">
                  <c:v>287.96460000000002</c:v>
                </c:pt>
                <c:pt idx="2">
                  <c:v>566.37133971428568</c:v>
                </c:pt>
                <c:pt idx="3">
                  <c:v>7211.9520831390482</c:v>
                </c:pt>
                <c:pt idx="4">
                  <c:v>10224.18517176</c:v>
                </c:pt>
                <c:pt idx="5">
                  <c:v>34335.101898647656</c:v>
                </c:pt>
                <c:pt idx="6">
                  <c:v>48325.033101063244</c:v>
                </c:pt>
                <c:pt idx="7">
                  <c:v>58806.378170473858</c:v>
                </c:pt>
                <c:pt idx="8">
                  <c:v>87600.549789683137</c:v>
                </c:pt>
                <c:pt idx="9">
                  <c:v>119186.07802645821</c:v>
                </c:pt>
                <c:pt idx="10">
                  <c:v>91673.810294612398</c:v>
                </c:pt>
                <c:pt idx="11">
                  <c:v>165800.05107527954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FF-49F4-B92F-9B0920385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70927"/>
        <c:axId val="279460367"/>
      </c:lineChart>
      <c:catAx>
        <c:axId val="341131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27375"/>
        <c:crosses val="autoZero"/>
        <c:auto val="1"/>
        <c:lblAlgn val="ctr"/>
        <c:lblOffset val="100"/>
        <c:noMultiLvlLbl val="0"/>
      </c:catAx>
      <c:valAx>
        <c:axId val="34112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31695"/>
        <c:crosses val="autoZero"/>
        <c:crossBetween val="between"/>
      </c:valAx>
      <c:valAx>
        <c:axId val="279460367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470927"/>
        <c:crosses val="max"/>
        <c:crossBetween val="between"/>
      </c:valAx>
      <c:catAx>
        <c:axId val="279470927"/>
        <c:scaling>
          <c:orientation val="minMax"/>
        </c:scaling>
        <c:delete val="1"/>
        <c:axPos val="b"/>
        <c:majorTickMark val="out"/>
        <c:minorTickMark val="none"/>
        <c:tickLblPos val="nextTo"/>
        <c:crossAx val="279460367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</a:t>
            </a:r>
            <a:r>
              <a:rPr lang="en-US" baseline="0"/>
              <a:t> (usd and margin 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'Financial Data'!$B$28:$C$28</c:f>
              <c:strCache>
                <c:ptCount val="2"/>
                <c:pt idx="0">
                  <c:v>EBITDA</c:v>
                </c:pt>
                <c:pt idx="1">
                  <c:v>usd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'Financial Data'!$D$28:$O$28</c:f>
              <c:numCache>
                <c:formatCode>#,##0</c:formatCode>
                <c:ptCount val="12"/>
                <c:pt idx="0">
                  <c:v>-45339.18</c:v>
                </c:pt>
                <c:pt idx="1">
                  <c:v>-57550.035400000001</c:v>
                </c:pt>
                <c:pt idx="2">
                  <c:v>-95828.404005999997</c:v>
                </c:pt>
                <c:pt idx="3">
                  <c:v>-86349.561489051426</c:v>
                </c:pt>
                <c:pt idx="4">
                  <c:v>-106380.78704769889</c:v>
                </c:pt>
                <c:pt idx="5">
                  <c:v>-124456.73164439666</c:v>
                </c:pt>
                <c:pt idx="6">
                  <c:v>-126190.23243029593</c:v>
                </c:pt>
                <c:pt idx="7">
                  <c:v>-124684.33605512186</c:v>
                </c:pt>
                <c:pt idx="8">
                  <c:v>-193005.0124871908</c:v>
                </c:pt>
                <c:pt idx="9">
                  <c:v>-169255.66847040382</c:v>
                </c:pt>
                <c:pt idx="10">
                  <c:v>-212423.42338805346</c:v>
                </c:pt>
                <c:pt idx="11">
                  <c:v>-135958.2451342807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F-4324-A795-C5E5C0863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472367"/>
        <c:axId val="279471887"/>
      </c:areaChart>
      <c:lineChart>
        <c:grouping val="standard"/>
        <c:varyColors val="0"/>
        <c:ser>
          <c:idx val="1"/>
          <c:order val="1"/>
          <c:tx>
            <c:strRef>
              <c:f>'Financial Data'!$B$29:$C$29</c:f>
              <c:strCache>
                <c:ptCount val="2"/>
                <c:pt idx="0">
                  <c:v>EBITDA margin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'Financial Data'!$D$29:$O$29</c:f>
              <c:numCache>
                <c:formatCode>0%</c:formatCode>
                <c:ptCount val="12"/>
                <c:pt idx="0">
                  <c:v>-19.917053241960993</c:v>
                </c:pt>
                <c:pt idx="1">
                  <c:v>-9.9925538416874851</c:v>
                </c:pt>
                <c:pt idx="2">
                  <c:v>-8.4598563951295667</c:v>
                </c:pt>
                <c:pt idx="3">
                  <c:v>-3.5984240092899173</c:v>
                </c:pt>
                <c:pt idx="4">
                  <c:v>-3.2800637275326752</c:v>
                </c:pt>
                <c:pt idx="5">
                  <c:v>-2.2318498287800259</c:v>
                </c:pt>
                <c:pt idx="6">
                  <c:v>-1.6701915459986756</c:v>
                </c:pt>
                <c:pt idx="7">
                  <c:v>-1.2335441137458172</c:v>
                </c:pt>
                <c:pt idx="8">
                  <c:v>-1.4469003240484124</c:v>
                </c:pt>
                <c:pt idx="9">
                  <c:v>-0.83754463566219584</c:v>
                </c:pt>
                <c:pt idx="10">
                  <c:v>-1.8598424135827802</c:v>
                </c:pt>
                <c:pt idx="11">
                  <c:v>-0.48381186739453275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F-4324-A795-C5E5C0863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9469007"/>
        <c:axId val="279468047"/>
      </c:lineChart>
      <c:valAx>
        <c:axId val="27946804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469007"/>
        <c:crosses val="max"/>
        <c:crossBetween val="between"/>
      </c:valAx>
      <c:catAx>
        <c:axId val="279469007"/>
        <c:scaling>
          <c:orientation val="minMax"/>
        </c:scaling>
        <c:delete val="1"/>
        <c:axPos val="b"/>
        <c:majorTickMark val="out"/>
        <c:minorTickMark val="none"/>
        <c:tickLblPos val="nextTo"/>
        <c:crossAx val="279468047"/>
        <c:crosses val="autoZero"/>
        <c:auto val="1"/>
        <c:lblAlgn val="ctr"/>
        <c:lblOffset val="100"/>
        <c:noMultiLvlLbl val="0"/>
      </c:catAx>
      <c:valAx>
        <c:axId val="279471887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472367"/>
        <c:crosses val="autoZero"/>
        <c:crossBetween val="between"/>
      </c:valAx>
      <c:catAx>
        <c:axId val="279472367"/>
        <c:scaling>
          <c:orientation val="minMax"/>
        </c:scaling>
        <c:delete val="1"/>
        <c:axPos val="b"/>
        <c:majorTickMark val="out"/>
        <c:minorTickMark val="none"/>
        <c:tickLblPos val="nextTo"/>
        <c:crossAx val="279471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CAV</a:t>
            </a:r>
            <a:r>
              <a:rPr lang="en-US" baseline="0"/>
              <a:t> and 3Y LTV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'Operational Data'!$B$36:$C$36</c:f>
              <c:strCache>
                <c:ptCount val="2"/>
                <c:pt idx="0">
                  <c:v>CAC</c:v>
                </c:pt>
                <c:pt idx="1">
                  <c:v>usd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'Operational Data'!$D$36:$O$36</c:f>
              <c:numCache>
                <c:formatCode>General</c:formatCode>
                <c:ptCount val="12"/>
                <c:pt idx="0">
                  <c:v>20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14</c:v>
                </c:pt>
                <c:pt idx="5">
                  <c:v>13</c:v>
                </c:pt>
                <c:pt idx="6">
                  <c:v>12</c:v>
                </c:pt>
                <c:pt idx="7">
                  <c:v>10</c:v>
                </c:pt>
                <c:pt idx="8">
                  <c:v>11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A-4807-838D-94714B85776E}"/>
            </c:ext>
          </c:extLst>
        </c:ser>
        <c:ser>
          <c:idx val="1"/>
          <c:order val="1"/>
          <c:tx>
            <c:strRef>
              <c:f>'Operational Data'!$B$37:$C$37</c:f>
              <c:strCache>
                <c:ptCount val="2"/>
                <c:pt idx="0">
                  <c:v>3Y LTV</c:v>
                </c:pt>
                <c:pt idx="1">
                  <c:v>usd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'Operational Data'!$D$37:$O$37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A-4807-838D-94714B85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417327"/>
        <c:axId val="460417807"/>
      </c:lineChart>
      <c:catAx>
        <c:axId val="460417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417807"/>
        <c:crosses val="autoZero"/>
        <c:auto val="1"/>
        <c:lblAlgn val="ctr"/>
        <c:lblOffset val="100"/>
        <c:noMultiLvlLbl val="0"/>
      </c:catAx>
      <c:valAx>
        <c:axId val="4604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41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Доставленные заказы и % успешных</a:t>
            </a:r>
            <a:r>
              <a:rPr lang="ru-RU" baseline="0"/>
              <a:t> доставок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'Operational Data'!$B$16:$C$16</c:f>
              <c:strCache>
                <c:ptCount val="2"/>
                <c:pt idx="0">
                  <c:v>Доставленные заказы</c:v>
                </c:pt>
                <c:pt idx="1">
                  <c:v>#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val>
            <c:numRef>
              <c:f>'Operational Data'!$D$16:$O$16</c:f>
              <c:numCache>
                <c:formatCode>#,##0</c:formatCode>
                <c:ptCount val="12"/>
                <c:pt idx="0">
                  <c:v>379.4</c:v>
                </c:pt>
                <c:pt idx="1">
                  <c:v>834.68000000000006</c:v>
                </c:pt>
                <c:pt idx="2">
                  <c:v>1838.6547840000001</c:v>
                </c:pt>
                <c:pt idx="3">
                  <c:v>3387.0288213333342</c:v>
                </c:pt>
                <c:pt idx="4">
                  <c:v>5127.079265280001</c:v>
                </c:pt>
                <c:pt idx="5">
                  <c:v>8476.3561718869332</c:v>
                </c:pt>
                <c:pt idx="6">
                  <c:v>12862.7330596216</c:v>
                </c:pt>
                <c:pt idx="7">
                  <c:v>15364.307365232722</c:v>
                </c:pt>
                <c:pt idx="8">
                  <c:v>22506.539649965511</c:v>
                </c:pt>
                <c:pt idx="9">
                  <c:v>29649.418104012046</c:v>
                </c:pt>
                <c:pt idx="10">
                  <c:v>18768.311034580034</c:v>
                </c:pt>
                <c:pt idx="11">
                  <c:v>41229.678357666606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0-4D73-A6BB-9E2EDF799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206623"/>
        <c:axId val="456213823"/>
      </c:areaChart>
      <c:lineChart>
        <c:grouping val="standard"/>
        <c:varyColors val="0"/>
        <c:ser>
          <c:idx val="1"/>
          <c:order val="1"/>
          <c:tx>
            <c:strRef>
              <c:f>'Operational Data'!$B$17:$C$17</c:f>
              <c:strCache>
                <c:ptCount val="2"/>
                <c:pt idx="0">
                  <c:v>Процент успешных доставок</c:v>
                </c:pt>
                <c:pt idx="1">
                  <c:v>%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'Operational Data'!$D$17:$O$17</c:f>
              <c:numCache>
                <c:formatCode>0%</c:formatCode>
                <c:ptCount val="12"/>
                <c:pt idx="0">
                  <c:v>0.5</c:v>
                </c:pt>
                <c:pt idx="1">
                  <c:v>0.55000000000000004</c:v>
                </c:pt>
                <c:pt idx="2">
                  <c:v>0.45</c:v>
                </c:pt>
                <c:pt idx="3">
                  <c:v>0.8</c:v>
                </c:pt>
                <c:pt idx="4">
                  <c:v>0.84</c:v>
                </c:pt>
                <c:pt idx="5">
                  <c:v>0.82</c:v>
                </c:pt>
                <c:pt idx="6">
                  <c:v>0.9</c:v>
                </c:pt>
                <c:pt idx="7">
                  <c:v>0.9</c:v>
                </c:pt>
                <c:pt idx="8">
                  <c:v>0.81</c:v>
                </c:pt>
                <c:pt idx="9">
                  <c:v>0.84</c:v>
                </c:pt>
                <c:pt idx="10">
                  <c:v>0.82</c:v>
                </c:pt>
                <c:pt idx="1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50-4D73-A6BB-9E2EDF799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204223"/>
        <c:axId val="456199903"/>
      </c:lineChart>
      <c:catAx>
        <c:axId val="4562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213823"/>
        <c:crosses val="autoZero"/>
        <c:auto val="1"/>
        <c:lblAlgn val="ctr"/>
        <c:lblOffset val="100"/>
        <c:noMultiLvlLbl val="0"/>
      </c:catAx>
      <c:valAx>
        <c:axId val="45621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206623"/>
        <c:crosses val="autoZero"/>
        <c:crossBetween val="between"/>
      </c:valAx>
      <c:valAx>
        <c:axId val="456199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204223"/>
        <c:crosses val="max"/>
        <c:crossBetween val="between"/>
      </c:valAx>
      <c:catAx>
        <c:axId val="456204223"/>
        <c:scaling>
          <c:orientation val="minMax"/>
        </c:scaling>
        <c:delete val="1"/>
        <c:axPos val="b"/>
        <c:majorTickMark val="none"/>
        <c:minorTickMark val="none"/>
        <c:tickLblPos val="nextTo"/>
        <c:crossAx val="45619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Частотность</a:t>
            </a:r>
            <a:r>
              <a:rPr lang="ru-RU" baseline="0"/>
              <a:t> заказов на 1 пользователя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'Operational Data'!$B$38</c:f>
              <c:strCache>
                <c:ptCount val="1"/>
                <c:pt idx="0">
                  <c:v>Частотность заказов (созданные)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'Operational Data'!$C$38:$O$38</c:f>
              <c:numCache>
                <c:formatCode>#\ ##0.0</c:formatCode>
                <c:ptCount val="13"/>
                <c:pt idx="1">
                  <c:v>1.4</c:v>
                </c:pt>
                <c:pt idx="2">
                  <c:v>1.4</c:v>
                </c:pt>
                <c:pt idx="3">
                  <c:v>1.6</c:v>
                </c:pt>
                <c:pt idx="4">
                  <c:v>1.6000000000000003</c:v>
                </c:pt>
                <c:pt idx="5">
                  <c:v>1.6</c:v>
                </c:pt>
                <c:pt idx="6">
                  <c:v>1.6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2.1</c:v>
                </c:pt>
                <c:pt idx="11">
                  <c:v>1.2</c:v>
                </c:pt>
                <c:pt idx="12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E-4266-98EF-D1DA4E7145DA}"/>
            </c:ext>
          </c:extLst>
        </c:ser>
        <c:ser>
          <c:idx val="1"/>
          <c:order val="1"/>
          <c:tx>
            <c:strRef>
              <c:f>'Operational Data'!$B$39</c:f>
              <c:strCache>
                <c:ptCount val="1"/>
                <c:pt idx="0">
                  <c:v>Частотность заказов (доставка)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'Operational Data'!$C$39:$O$39</c:f>
              <c:numCache>
                <c:formatCode>0.0</c:formatCode>
                <c:ptCount val="13"/>
                <c:pt idx="1">
                  <c:v>0.7</c:v>
                </c:pt>
                <c:pt idx="2">
                  <c:v>0.77</c:v>
                </c:pt>
                <c:pt idx="3">
                  <c:v>0.72000000000000008</c:v>
                </c:pt>
                <c:pt idx="4">
                  <c:v>1.2800000000000002</c:v>
                </c:pt>
                <c:pt idx="5">
                  <c:v>1.3440000000000001</c:v>
                </c:pt>
                <c:pt idx="6">
                  <c:v>1.3119999999999998</c:v>
                </c:pt>
                <c:pt idx="7">
                  <c:v>1.7099999999999997</c:v>
                </c:pt>
                <c:pt idx="8">
                  <c:v>1.71</c:v>
                </c:pt>
                <c:pt idx="9">
                  <c:v>1.5390000000000001</c:v>
                </c:pt>
                <c:pt idx="10">
                  <c:v>1.764</c:v>
                </c:pt>
                <c:pt idx="11">
                  <c:v>0.98399999999999999</c:v>
                </c:pt>
                <c:pt idx="12">
                  <c:v>2.0019999999999998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E-4266-98EF-D1DA4E714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211903"/>
        <c:axId val="456218143"/>
      </c:areaChart>
      <c:catAx>
        <c:axId val="45621190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218143"/>
        <c:crosses val="autoZero"/>
        <c:auto val="1"/>
        <c:lblAlgn val="ctr"/>
        <c:lblOffset val="100"/>
        <c:noMultiLvlLbl val="0"/>
      </c:catAx>
      <c:valAx>
        <c:axId val="45621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211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Потери в</a:t>
            </a:r>
            <a:r>
              <a:rPr lang="ru-RU" baseline="0"/>
              <a:t> воронке от общей выручки,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'Operational Data'!$B$42</c:f>
              <c:strCache>
                <c:ptCount val="1"/>
                <c:pt idx="0">
                  <c:v>Потери в воронке (по стоимости на клиента)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'Operational Data'!$D$42:$O$42</c:f>
              <c:numCache>
                <c:formatCode>0.00</c:formatCode>
                <c:ptCount val="12"/>
                <c:pt idx="0">
                  <c:v>56.91</c:v>
                </c:pt>
                <c:pt idx="1">
                  <c:v>129.58407</c:v>
                </c:pt>
                <c:pt idx="2">
                  <c:v>311.50423684285715</c:v>
                </c:pt>
                <c:pt idx="3">
                  <c:v>383.94390996114294</c:v>
                </c:pt>
                <c:pt idx="4">
                  <c:v>415.13646908159996</c:v>
                </c:pt>
                <c:pt idx="5">
                  <c:v>3854.4889043485823</c:v>
                </c:pt>
                <c:pt idx="6">
                  <c:v>3328.090086758772</c:v>
                </c:pt>
                <c:pt idx="7">
                  <c:v>4083.6428035698736</c:v>
                </c:pt>
                <c:pt idx="8">
                  <c:v>11086.934176097686</c:v>
                </c:pt>
                <c:pt idx="9">
                  <c:v>13691.193236339976</c:v>
                </c:pt>
                <c:pt idx="10">
                  <c:v>9634.8305964765586</c:v>
                </c:pt>
                <c:pt idx="11">
                  <c:v>28660.659077720582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5-4931-96BB-96142D2927EC}"/>
            </c:ext>
          </c:extLst>
        </c:ser>
        <c:ser>
          <c:idx val="1"/>
          <c:order val="1"/>
          <c:tx>
            <c:v>Выручка</c:v>
          </c:tx>
          <c:spPr>
            <a:solidFill>
              <a:schemeClr val="accent2"/>
            </a:solidFill>
            <a:ln w="25400">
              <a:noFill/>
            </a:ln>
            <a:effectLst/>
          </c:spPr>
          <c:val>
            <c:numRef>
              <c:f>'Financial Data'!$D$9:$O$9</c:f>
              <c:numCache>
                <c:formatCode>#,##0</c:formatCode>
                <c:ptCount val="12"/>
                <c:pt idx="0">
                  <c:v>113.82</c:v>
                </c:pt>
                <c:pt idx="1">
                  <c:v>287.96460000000002</c:v>
                </c:pt>
                <c:pt idx="2">
                  <c:v>566.37133971428568</c:v>
                </c:pt>
                <c:pt idx="3">
                  <c:v>7211.9520831390482</c:v>
                </c:pt>
                <c:pt idx="4">
                  <c:v>10224.18517176</c:v>
                </c:pt>
                <c:pt idx="5">
                  <c:v>34335.101898647656</c:v>
                </c:pt>
                <c:pt idx="6">
                  <c:v>48325.033101063244</c:v>
                </c:pt>
                <c:pt idx="7">
                  <c:v>58806.378170473858</c:v>
                </c:pt>
                <c:pt idx="8">
                  <c:v>87600.549789683137</c:v>
                </c:pt>
                <c:pt idx="9">
                  <c:v>119186.07802645821</c:v>
                </c:pt>
                <c:pt idx="10">
                  <c:v>91673.810294612398</c:v>
                </c:pt>
                <c:pt idx="11">
                  <c:v>165800.05107527954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05-4931-96BB-96142D292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07247"/>
        <c:axId val="460402447"/>
      </c:areaChart>
      <c:catAx>
        <c:axId val="460407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402447"/>
        <c:crosses val="autoZero"/>
        <c:auto val="1"/>
        <c:lblAlgn val="ctr"/>
        <c:lblOffset val="100"/>
        <c:noMultiLvlLbl val="0"/>
      </c:catAx>
      <c:valAx>
        <c:axId val="46040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040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клиентов и поваров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'Operational Data'!$B$6:$C$6</c:f>
              <c:strCache>
                <c:ptCount val="2"/>
                <c:pt idx="0">
                  <c:v>Общее кол-во заказчиков</c:v>
                </c:pt>
                <c:pt idx="1">
                  <c:v>#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val>
            <c:numRef>
              <c:f>'Operational Data'!$D$6:$O$6</c:f>
              <c:numCache>
                <c:formatCode>#,##0</c:formatCode>
                <c:ptCount val="12"/>
                <c:pt idx="0">
                  <c:v>542</c:v>
                </c:pt>
                <c:pt idx="1">
                  <c:v>1084</c:v>
                </c:pt>
                <c:pt idx="2">
                  <c:v>2553.6871999999998</c:v>
                </c:pt>
                <c:pt idx="3">
                  <c:v>2646.1162666666669</c:v>
                </c:pt>
                <c:pt idx="4">
                  <c:v>3814.7911200000008</c:v>
                </c:pt>
                <c:pt idx="5">
                  <c:v>6460.6373261333338</c:v>
                </c:pt>
                <c:pt idx="6">
                  <c:v>7522.0661167377784</c:v>
                </c:pt>
                <c:pt idx="7">
                  <c:v>8984.9750673875569</c:v>
                </c:pt>
                <c:pt idx="8">
                  <c:v>14624.132326163424</c:v>
                </c:pt>
                <c:pt idx="9">
                  <c:v>16808.060149666693</c:v>
                </c:pt>
                <c:pt idx="10">
                  <c:v>19073.486823760199</c:v>
                </c:pt>
                <c:pt idx="11">
                  <c:v>20594.244933899405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3-4A1D-8E04-5826AB17A565}"/>
            </c:ext>
          </c:extLst>
        </c:ser>
        <c:ser>
          <c:idx val="1"/>
          <c:order val="1"/>
          <c:tx>
            <c:strRef>
              <c:f>'Operational Data'!$B$11:$C$11</c:f>
              <c:strCache>
                <c:ptCount val="2"/>
                <c:pt idx="0">
                  <c:v>Общее кол-во поваров</c:v>
                </c:pt>
                <c:pt idx="1">
                  <c:v>#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val>
            <c:numRef>
              <c:f>'Operational Data'!$D$11:$O$11</c:f>
              <c:numCache>
                <c:formatCode>#,##0</c:formatCode>
                <c:ptCount val="12"/>
                <c:pt idx="0">
                  <c:v>20</c:v>
                </c:pt>
                <c:pt idx="1">
                  <c:v>36</c:v>
                </c:pt>
                <c:pt idx="2">
                  <c:v>51.3</c:v>
                </c:pt>
                <c:pt idx="3">
                  <c:v>108.53999999999999</c:v>
                </c:pt>
                <c:pt idx="4">
                  <c:v>174.58199999999999</c:v>
                </c:pt>
                <c:pt idx="5">
                  <c:v>238.82310000000001</c:v>
                </c:pt>
                <c:pt idx="6">
                  <c:v>305.08960500000001</c:v>
                </c:pt>
                <c:pt idx="7">
                  <c:v>370.64623274999997</c:v>
                </c:pt>
                <c:pt idx="8">
                  <c:v>409.52997615535708</c:v>
                </c:pt>
                <c:pt idx="9">
                  <c:v>453.06839977473209</c:v>
                </c:pt>
                <c:pt idx="10">
                  <c:v>474.45866522196997</c:v>
                </c:pt>
                <c:pt idx="11">
                  <c:v>479.57045485809766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3-4A1D-8E04-5826AB17A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015200"/>
        <c:axId val="1789017120"/>
      </c:areaChart>
      <c:catAx>
        <c:axId val="17890152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9017120"/>
        <c:crosses val="autoZero"/>
        <c:auto val="1"/>
        <c:lblAlgn val="ctr"/>
        <c:lblOffset val="100"/>
        <c:noMultiLvlLbl val="0"/>
      </c:catAx>
      <c:valAx>
        <c:axId val="178901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901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865844</xdr:colOff>
      <xdr:row>54</xdr:row>
      <xdr:rowOff>112469</xdr:rowOff>
    </xdr:from>
    <xdr:to>
      <xdr:col>13</xdr:col>
      <xdr:colOff>524401</xdr:colOff>
      <xdr:row>69</xdr:row>
      <xdr:rowOff>45014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61AAB-6D97-A2C3-FA76-F3172C635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296839</xdr:colOff>
      <xdr:row>54</xdr:row>
      <xdr:rowOff>61754</xdr:rowOff>
    </xdr:from>
    <xdr:to>
      <xdr:col>19</xdr:col>
      <xdr:colOff>576468</xdr:colOff>
      <xdr:row>70</xdr:row>
      <xdr:rowOff>152926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9534F-76D8-3520-5CAB-892EFEE01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865844</xdr:colOff>
      <xdr:row>54</xdr:row>
      <xdr:rowOff>112469</xdr:rowOff>
    </xdr:from>
    <xdr:to>
      <xdr:col>13</xdr:col>
      <xdr:colOff>524401</xdr:colOff>
      <xdr:row>69</xdr:row>
      <xdr:rowOff>45014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B3D9CA-465F-4FAA-B612-6F6A79582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296839</xdr:colOff>
      <xdr:row>54</xdr:row>
      <xdr:rowOff>61754</xdr:rowOff>
    </xdr:from>
    <xdr:to>
      <xdr:col>19</xdr:col>
      <xdr:colOff>576468</xdr:colOff>
      <xdr:row>70</xdr:row>
      <xdr:rowOff>152926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FB81A-21F0-4AD6-A494-7801DD798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865844</xdr:colOff>
      <xdr:row>55</xdr:row>
      <xdr:rowOff>112469</xdr:rowOff>
    </xdr:from>
    <xdr:to>
      <xdr:col>13</xdr:col>
      <xdr:colOff>524401</xdr:colOff>
      <xdr:row>70</xdr:row>
      <xdr:rowOff>45014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59C35-73B5-46C3-AB58-86C48D0E5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296839</xdr:colOff>
      <xdr:row>55</xdr:row>
      <xdr:rowOff>61754</xdr:rowOff>
    </xdr:from>
    <xdr:to>
      <xdr:col>19</xdr:col>
      <xdr:colOff>576468</xdr:colOff>
      <xdr:row>71</xdr:row>
      <xdr:rowOff>152926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D35665-2C5A-4E5A-8472-84D792B96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865844</xdr:colOff>
      <xdr:row>55</xdr:row>
      <xdr:rowOff>112469</xdr:rowOff>
    </xdr:from>
    <xdr:to>
      <xdr:col>13</xdr:col>
      <xdr:colOff>524401</xdr:colOff>
      <xdr:row>70</xdr:row>
      <xdr:rowOff>45014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9603D-4C3E-4387-98AA-22FF2DDA9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296839</xdr:colOff>
      <xdr:row>55</xdr:row>
      <xdr:rowOff>61754</xdr:rowOff>
    </xdr:from>
    <xdr:to>
      <xdr:col>19</xdr:col>
      <xdr:colOff>576468</xdr:colOff>
      <xdr:row>71</xdr:row>
      <xdr:rowOff>152926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FFBC4D-911E-4ABA-A634-EE8E7442A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865844</xdr:colOff>
      <xdr:row>55</xdr:row>
      <xdr:rowOff>112469</xdr:rowOff>
    </xdr:from>
    <xdr:to>
      <xdr:col>13</xdr:col>
      <xdr:colOff>524401</xdr:colOff>
      <xdr:row>70</xdr:row>
      <xdr:rowOff>45014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F185F-CB0D-420F-8F82-3864038AB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296839</xdr:colOff>
      <xdr:row>55</xdr:row>
      <xdr:rowOff>61754</xdr:rowOff>
    </xdr:from>
    <xdr:to>
      <xdr:col>19</xdr:col>
      <xdr:colOff>576468</xdr:colOff>
      <xdr:row>71</xdr:row>
      <xdr:rowOff>152926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18ADBA-82AA-40F3-8A50-B458287F7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2276</xdr:colOff>
      <xdr:row>37</xdr:row>
      <xdr:rowOff>134129</xdr:rowOff>
    </xdr:from>
    <xdr:to>
      <xdr:col>15</xdr:col>
      <xdr:colOff>369962</xdr:colOff>
      <xdr:row>53</xdr:row>
      <xdr:rowOff>11613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302ED-348C-AB78-A517-89DFCDC06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19646</xdr:colOff>
      <xdr:row>37</xdr:row>
      <xdr:rowOff>113899</xdr:rowOff>
    </xdr:from>
    <xdr:to>
      <xdr:col>23</xdr:col>
      <xdr:colOff>310924</xdr:colOff>
      <xdr:row>53</xdr:row>
      <xdr:rowOff>25607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25040-8982-6BF7-E802-9D99076D3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190636</xdr:colOff>
      <xdr:row>54</xdr:row>
      <xdr:rowOff>142539</xdr:rowOff>
    </xdr:from>
    <xdr:to>
      <xdr:col>13</xdr:col>
      <xdr:colOff>694496</xdr:colOff>
      <xdr:row>73</xdr:row>
      <xdr:rowOff>19995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C74C0A-7979-87DE-77E8-A1FFBD157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557390</xdr:colOff>
      <xdr:row>14</xdr:row>
      <xdr:rowOff>65552</xdr:rowOff>
    </xdr:from>
    <xdr:to>
      <xdr:col>25</xdr:col>
      <xdr:colOff>243696</xdr:colOff>
      <xdr:row>33</xdr:row>
      <xdr:rowOff>122687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A0A4F9-2889-4507-9C36-BE519C159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419343</xdr:colOff>
      <xdr:row>54</xdr:row>
      <xdr:rowOff>148711</xdr:rowOff>
    </xdr:from>
    <xdr:to>
      <xdr:col>23</xdr:col>
      <xdr:colOff>292475</xdr:colOff>
      <xdr:row>73</xdr:row>
      <xdr:rowOff>109482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F157C8-AB7C-AE37-BCD1-C1F441759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613596</xdr:colOff>
      <xdr:row>57</xdr:row>
      <xdr:rowOff>131049</xdr:rowOff>
    </xdr:from>
    <xdr:to>
      <xdr:col>9</xdr:col>
      <xdr:colOff>657318</xdr:colOff>
      <xdr:row>73</xdr:row>
      <xdr:rowOff>42774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81556-69F1-7C32-9ECC-AF00848D9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416668</xdr:colOff>
      <xdr:row>56</xdr:row>
      <xdr:rowOff>132948</xdr:rowOff>
    </xdr:from>
    <xdr:to>
      <xdr:col>21</xdr:col>
      <xdr:colOff>162660</xdr:colOff>
      <xdr:row>81</xdr:row>
      <xdr:rowOff>62725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DC9EC-5B68-9B9F-F608-9897CE01E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52764</xdr:colOff>
      <xdr:row>40</xdr:row>
      <xdr:rowOff>89444</xdr:rowOff>
    </xdr:from>
    <xdr:to>
      <xdr:col>22</xdr:col>
      <xdr:colOff>327866</xdr:colOff>
      <xdr:row>55</xdr:row>
      <xdr:rowOff>111216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931F90-B2EC-F043-9D1B-E7FBF3B07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284689</xdr:colOff>
      <xdr:row>15</xdr:row>
      <xdr:rowOff>79375</xdr:rowOff>
    </xdr:from>
    <xdr:to>
      <xdr:col>25</xdr:col>
      <xdr:colOff>72071</xdr:colOff>
      <xdr:row>39</xdr:row>
      <xdr:rowOff>2882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C00767-01D2-37DE-C1EE-419DB0680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282232</xdr:colOff>
      <xdr:row>12</xdr:row>
      <xdr:rowOff>151189</xdr:rowOff>
    </xdr:from>
    <xdr:to>
      <xdr:col>30</xdr:col>
      <xdr:colOff>822486</xdr:colOff>
      <xdr:row>37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AD8D95-72CE-8E34-EE44-6D0843CA7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7</xdr:col>
      <xdr:colOff>401812</xdr:colOff>
      <xdr:row>258</xdr:row>
      <xdr:rowOff>170895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9CEE7-03DD-7A50-27DD-D4FED93AA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" y="6223000"/>
          <a:ext cx="11304762" cy="443809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7194-9E7E-491D-B1F9-520246E5A79B}">
  <dimension ref="A1:AM61"/>
  <sheetViews>
    <sheetView topLeftCell="A30" zoomScale="70" zoomScaleNormal="70" workbookViewId="0">
      <selection activeCell="H69" sqref="H69"/>
    </sheetView>
  </sheetViews>
  <sheetFormatPr defaultRowHeight="15" x14ac:dyDescent="0.25"/>
  <cols>
    <col min="1" max="1" width="15.140625" customWidth="1"/>
    <col min="2" max="2" width="64.5703125" customWidth="1"/>
    <col min="3" max="3" width="17" customWidth="1"/>
    <col min="4" max="4" width="14.140625" bestFit="1" customWidth="1"/>
    <col min="5" max="5" width="13.85546875" bestFit="1" customWidth="1"/>
    <col min="6" max="6" width="14.42578125" bestFit="1" customWidth="1"/>
    <col min="7" max="8" width="13.85546875" bestFit="1" customWidth="1"/>
    <col min="9" max="10" width="13.28515625" bestFit="1" customWidth="1"/>
    <col min="11" max="11" width="15" bestFit="1" customWidth="1"/>
    <col min="12" max="15" width="13.85546875" bestFit="1" customWidth="1"/>
    <col min="16" max="16" width="14.140625" bestFit="1" customWidth="1"/>
    <col min="17" max="19" width="13.85546875" bestFit="1" customWidth="1"/>
    <col min="20" max="22" width="14.42578125" bestFit="1" customWidth="1"/>
    <col min="23" max="23" width="15" bestFit="1" customWidth="1"/>
    <col min="24" max="24" width="13.85546875" bestFit="1" customWidth="1"/>
    <col min="25" max="25" width="14.42578125" bestFit="1" customWidth="1"/>
    <col min="26" max="26" width="13.85546875" bestFit="1" customWidth="1"/>
    <col min="27" max="27" width="14.42578125" bestFit="1" customWidth="1"/>
    <col min="28" max="28" width="14.140625" bestFit="1" customWidth="1"/>
    <col min="29" max="30" width="14.42578125" bestFit="1" customWidth="1"/>
    <col min="31" max="31" width="13.85546875" bestFit="1" customWidth="1"/>
    <col min="32" max="34" width="14.42578125" bestFit="1" customWidth="1"/>
    <col min="35" max="35" width="15" bestFit="1" customWidth="1"/>
    <col min="36" max="36" width="13.85546875" bestFit="1" customWidth="1"/>
    <col min="37" max="38" width="14.42578125" bestFit="1" customWidth="1"/>
  </cols>
  <sheetData>
    <row r="1" spans="1:38" ht="95.45" customHeight="1" x14ac:dyDescent="0.6">
      <c r="A1" s="34"/>
      <c r="B1" s="82" t="s">
        <v>122</v>
      </c>
      <c r="C1" s="87">
        <v>2026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8">
        <v>2027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>
        <v>2028</v>
      </c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</row>
    <row r="2" spans="1:38" ht="18.75" x14ac:dyDescent="0.35">
      <c r="A2" s="34"/>
      <c r="B2" s="35" t="s">
        <v>77</v>
      </c>
      <c r="C2" s="36" t="s">
        <v>78</v>
      </c>
      <c r="D2" s="36" t="s">
        <v>79</v>
      </c>
      <c r="E2" s="36" t="s">
        <v>80</v>
      </c>
      <c r="F2" s="36" t="s">
        <v>81</v>
      </c>
      <c r="G2" s="36" t="s">
        <v>82</v>
      </c>
      <c r="H2" s="36" t="s">
        <v>83</v>
      </c>
      <c r="I2" s="36" t="s">
        <v>84</v>
      </c>
      <c r="J2" s="36" t="s">
        <v>85</v>
      </c>
      <c r="K2" s="36" t="s">
        <v>86</v>
      </c>
      <c r="L2" s="36" t="s">
        <v>87</v>
      </c>
      <c r="M2" s="36" t="s">
        <v>88</v>
      </c>
      <c r="N2" s="36" t="s">
        <v>89</v>
      </c>
      <c r="O2" s="36" t="s">
        <v>78</v>
      </c>
      <c r="P2" s="36" t="s">
        <v>79</v>
      </c>
      <c r="Q2" s="36" t="s">
        <v>80</v>
      </c>
      <c r="R2" s="36" t="s">
        <v>81</v>
      </c>
      <c r="S2" s="36" t="s">
        <v>82</v>
      </c>
      <c r="T2" s="36" t="s">
        <v>83</v>
      </c>
      <c r="U2" s="36" t="s">
        <v>84</v>
      </c>
      <c r="V2" s="36" t="s">
        <v>85</v>
      </c>
      <c r="W2" s="36" t="s">
        <v>86</v>
      </c>
      <c r="X2" s="36" t="s">
        <v>87</v>
      </c>
      <c r="Y2" s="36" t="s">
        <v>88</v>
      </c>
      <c r="Z2" s="36" t="s">
        <v>89</v>
      </c>
      <c r="AA2" s="36" t="s">
        <v>78</v>
      </c>
      <c r="AB2" s="36" t="s">
        <v>79</v>
      </c>
      <c r="AC2" s="36" t="s">
        <v>80</v>
      </c>
      <c r="AD2" s="36" t="s">
        <v>81</v>
      </c>
      <c r="AE2" s="36" t="s">
        <v>82</v>
      </c>
      <c r="AF2" s="36" t="s">
        <v>83</v>
      </c>
      <c r="AG2" s="36" t="s">
        <v>84</v>
      </c>
      <c r="AH2" s="36" t="s">
        <v>85</v>
      </c>
      <c r="AI2" s="36" t="s">
        <v>86</v>
      </c>
      <c r="AJ2" s="36" t="s">
        <v>87</v>
      </c>
      <c r="AK2" s="36" t="s">
        <v>88</v>
      </c>
      <c r="AL2" s="36" t="s">
        <v>89</v>
      </c>
    </row>
    <row r="3" spans="1:38" ht="18" x14ac:dyDescent="0.35">
      <c r="A3" s="34"/>
      <c r="B3" s="50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 spans="1:38" ht="32.1" customHeight="1" x14ac:dyDescent="0.35">
      <c r="A4" s="38">
        <v>1.03</v>
      </c>
      <c r="B4" s="49" t="s">
        <v>114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1:38" ht="27.6" customHeight="1" x14ac:dyDescent="0.35">
      <c r="A5" s="40">
        <v>3900</v>
      </c>
      <c r="B5" s="51" t="s">
        <v>115</v>
      </c>
      <c r="C5" s="74">
        <f ca="1">C20*C23*C24</f>
        <v>30057.503616000002</v>
      </c>
      <c r="D5" s="74">
        <f t="shared" ref="D5:AL5" ca="1" si="0">D20*D23*D24</f>
        <v>28198.204531200001</v>
      </c>
      <c r="E5" s="74">
        <f t="shared" ca="1" si="0"/>
        <v>27039.85421184</v>
      </c>
      <c r="F5" s="74">
        <f t="shared" ca="1" si="0"/>
        <v>26375.031209088</v>
      </c>
      <c r="G5" s="74">
        <f t="shared" ca="1" si="0"/>
        <v>26058.597772377605</v>
      </c>
      <c r="H5" s="74">
        <f t="shared" ca="1" si="0"/>
        <v>25989.015885200643</v>
      </c>
      <c r="I5" s="74">
        <f t="shared" ca="1" si="0"/>
        <v>26095.268513067502</v>
      </c>
      <c r="J5" s="74">
        <f t="shared" ca="1" si="0"/>
        <v>26327.704500442836</v>
      </c>
      <c r="K5" s="74">
        <f t="shared" ca="1" si="0"/>
        <v>26651.630022431484</v>
      </c>
      <c r="L5" s="74">
        <f t="shared" ca="1" si="0"/>
        <v>27042.822625265966</v>
      </c>
      <c r="M5" s="74">
        <f t="shared" ca="1" si="0"/>
        <v>27484.391079441382</v>
      </c>
      <c r="N5" s="74">
        <f t="shared" ca="1" si="0"/>
        <v>27964.577302199279</v>
      </c>
      <c r="O5" s="74">
        <f t="shared" ca="1" si="0"/>
        <v>29312.724132857536</v>
      </c>
      <c r="P5" s="74">
        <f t="shared" ca="1" si="0"/>
        <v>29863.921191398505</v>
      </c>
      <c r="Q5" s="74">
        <f t="shared" ca="1" si="0"/>
        <v>30436.659418345138</v>
      </c>
      <c r="R5" s="74">
        <f t="shared" ca="1" si="0"/>
        <v>31028.214468895105</v>
      </c>
      <c r="S5" s="74">
        <f t="shared" ca="1" si="0"/>
        <v>31636.754061801159</v>
      </c>
      <c r="T5" s="74">
        <f t="shared" ca="1" si="0"/>
        <v>32261.071855506878</v>
      </c>
      <c r="U5" s="74">
        <f t="shared" ca="1" si="0"/>
        <v>32900.401191345809</v>
      </c>
      <c r="V5" s="74">
        <f t="shared" ca="1" si="0"/>
        <v>33554.284744282879</v>
      </c>
      <c r="W5" s="74">
        <f t="shared" ca="1" si="0"/>
        <v>34222.483309545642</v>
      </c>
      <c r="X5" s="74">
        <f t="shared" ca="1" si="0"/>
        <v>34904.911985000537</v>
      </c>
      <c r="Y5" s="74">
        <f t="shared" ca="1" si="0"/>
        <v>35601.595531185325</v>
      </c>
      <c r="Z5" s="74">
        <f t="shared" ca="1" si="0"/>
        <v>36312.637156348384</v>
      </c>
      <c r="AA5" s="74">
        <f t="shared" ca="1" si="0"/>
        <v>38096.430891071555</v>
      </c>
      <c r="AB5" s="74">
        <f t="shared" ca="1" si="0"/>
        <v>38857.860405020816</v>
      </c>
      <c r="AC5" s="74">
        <f t="shared" ca="1" si="0"/>
        <v>39634.668240410712</v>
      </c>
      <c r="AD5" s="74">
        <f t="shared" ca="1" si="0"/>
        <v>40427.117044321567</v>
      </c>
      <c r="AE5" s="74">
        <f t="shared" ca="1" si="0"/>
        <v>41235.48819257984</v>
      </c>
      <c r="AF5" s="74">
        <f t="shared" ca="1" si="0"/>
        <v>42060.078121591738</v>
      </c>
      <c r="AG5" s="74">
        <f t="shared" ca="1" si="0"/>
        <v>42901.195799635767</v>
      </c>
      <c r="AH5" s="74">
        <f t="shared" ca="1" si="0"/>
        <v>43759.160996557024</v>
      </c>
      <c r="AI5" s="74">
        <f t="shared" ca="1" si="0"/>
        <v>44634.30311313815</v>
      </c>
      <c r="AJ5" s="74">
        <f t="shared" ca="1" si="0"/>
        <v>45526.960403055891</v>
      </c>
      <c r="AK5" s="74">
        <f t="shared" ca="1" si="0"/>
        <v>46437.479470475504</v>
      </c>
      <c r="AL5" s="74">
        <f t="shared" ca="1" si="0"/>
        <v>47366.214961435966</v>
      </c>
    </row>
    <row r="6" spans="1:38" ht="25.5" customHeight="1" x14ac:dyDescent="0.35">
      <c r="A6" s="56"/>
      <c r="B6" s="51" t="s">
        <v>116</v>
      </c>
      <c r="C6" s="75">
        <f>C12*C25</f>
        <v>53539.500000000007</v>
      </c>
      <c r="D6" s="75">
        <f t="shared" ref="D6:AL6" si="1">D12*D25</f>
        <v>50227.65</v>
      </c>
      <c r="E6" s="75">
        <f t="shared" si="1"/>
        <v>48164.355000000003</v>
      </c>
      <c r="F6" s="75">
        <f t="shared" si="1"/>
        <v>46980.148500000003</v>
      </c>
      <c r="G6" s="75">
        <f t="shared" si="1"/>
        <v>46416.505950000006</v>
      </c>
      <c r="H6" s="75">
        <f t="shared" si="1"/>
        <v>46292.56420500001</v>
      </c>
      <c r="I6" s="75">
        <f t="shared" si="1"/>
        <v>46481.825184300018</v>
      </c>
      <c r="J6" s="75">
        <f t="shared" si="1"/>
        <v>46895.848474626007</v>
      </c>
      <c r="K6" s="75">
        <f t="shared" si="1"/>
        <v>47472.836194766525</v>
      </c>
      <c r="L6" s="75">
        <f t="shared" si="1"/>
        <v>48169.642444115452</v>
      </c>
      <c r="M6" s="75">
        <f t="shared" si="1"/>
        <v>48956.17996081528</v>
      </c>
      <c r="N6" s="75">
        <f t="shared" si="1"/>
        <v>49811.50482750385</v>
      </c>
      <c r="O6" s="75">
        <f t="shared" si="1"/>
        <v>50721.075811284507</v>
      </c>
      <c r="P6" s="75">
        <f t="shared" si="1"/>
        <v>51674.835948571606</v>
      </c>
      <c r="Q6" s="75">
        <f t="shared" si="1"/>
        <v>52665.869702286029</v>
      </c>
      <c r="R6" s="75">
        <f t="shared" si="1"/>
        <v>53689.463020651834</v>
      </c>
      <c r="S6" s="75">
        <f t="shared" si="1"/>
        <v>54742.44542808894</v>
      </c>
      <c r="T6" s="75">
        <f t="shared" si="1"/>
        <v>55822.729539567554</v>
      </c>
      <c r="U6" s="75">
        <f t="shared" si="1"/>
        <v>68314.786526880838</v>
      </c>
      <c r="V6" s="75">
        <f t="shared" si="1"/>
        <v>69672.518156733553</v>
      </c>
      <c r="W6" s="75">
        <f t="shared" si="1"/>
        <v>71059.97364938879</v>
      </c>
      <c r="X6" s="75">
        <f t="shared" si="1"/>
        <v>72476.976713040989</v>
      </c>
      <c r="Y6" s="75">
        <f t="shared" si="1"/>
        <v>73923.57876076689</v>
      </c>
      <c r="Z6" s="75">
        <f t="shared" si="1"/>
        <v>75399.994095407776</v>
      </c>
      <c r="AA6" s="75">
        <f t="shared" si="1"/>
        <v>76906.554608913837</v>
      </c>
      <c r="AB6" s="75">
        <f t="shared" si="1"/>
        <v>78443.678143210636</v>
      </c>
      <c r="AC6" s="75">
        <f t="shared" si="1"/>
        <v>80011.846415557811</v>
      </c>
      <c r="AD6" s="75">
        <f t="shared" si="1"/>
        <v>81611.589640507038</v>
      </c>
      <c r="AE6" s="75">
        <f t="shared" si="1"/>
        <v>83243.475840963831</v>
      </c>
      <c r="AF6" s="75">
        <f t="shared" si="1"/>
        <v>84908.103443135769</v>
      </c>
      <c r="AG6" s="75">
        <f t="shared" si="1"/>
        <v>86606.096171745332</v>
      </c>
      <c r="AH6" s="75">
        <f t="shared" si="1"/>
        <v>88338.09955700305</v>
      </c>
      <c r="AI6" s="75">
        <f t="shared" si="1"/>
        <v>90104.778571419054</v>
      </c>
      <c r="AJ6" s="75">
        <f t="shared" si="1"/>
        <v>91906.816059140619</v>
      </c>
      <c r="AK6" s="75">
        <f t="shared" si="1"/>
        <v>93744.911721728655</v>
      </c>
      <c r="AL6" s="75">
        <f t="shared" si="1"/>
        <v>95619.78149514689</v>
      </c>
    </row>
    <row r="7" spans="1:38" ht="36.950000000000003" customHeight="1" x14ac:dyDescent="0.35">
      <c r="A7" s="56"/>
      <c r="B7" s="51" t="s">
        <v>117</v>
      </c>
      <c r="C7" s="75">
        <f ca="1">C20*C26</f>
        <v>110505.52800000002</v>
      </c>
      <c r="D7" s="75">
        <f t="shared" ref="D7:AL7" ca="1" si="2">D20*D26</f>
        <v>103669.86960000001</v>
      </c>
      <c r="E7" s="75">
        <f t="shared" ca="1" si="2"/>
        <v>99411.228720000014</v>
      </c>
      <c r="F7" s="75">
        <f t="shared" ca="1" si="2"/>
        <v>96967.026504000009</v>
      </c>
      <c r="G7" s="75">
        <f t="shared" ca="1" si="2"/>
        <v>95803.668280800019</v>
      </c>
      <c r="H7" s="75">
        <f t="shared" ca="1" si="2"/>
        <v>95547.852519120002</v>
      </c>
      <c r="I7" s="75">
        <f t="shared" ca="1" si="2"/>
        <v>95938.487180395226</v>
      </c>
      <c r="J7" s="75">
        <f t="shared" ca="1" si="2"/>
        <v>96793.031251628083</v>
      </c>
      <c r="K7" s="75">
        <f t="shared" ca="1" si="2"/>
        <v>97983.933905998099</v>
      </c>
      <c r="L7" s="75">
        <f t="shared" ca="1" si="2"/>
        <v>99422.142004654292</v>
      </c>
      <c r="M7" s="75">
        <f t="shared" ca="1" si="2"/>
        <v>101045.55543912275</v>
      </c>
      <c r="N7" s="75">
        <f t="shared" ca="1" si="2"/>
        <v>102810.94596396794</v>
      </c>
      <c r="O7" s="75">
        <f t="shared" ca="1" si="2"/>
        <v>104688.30047449122</v>
      </c>
      <c r="P7" s="75">
        <f t="shared" ca="1" si="2"/>
        <v>106656.86139785181</v>
      </c>
      <c r="Q7" s="75">
        <f t="shared" ca="1" si="2"/>
        <v>108702.35506551836</v>
      </c>
      <c r="R7" s="75">
        <f t="shared" ca="1" si="2"/>
        <v>110815.05167462539</v>
      </c>
      <c r="S7" s="75">
        <f t="shared" ca="1" si="2"/>
        <v>112988.40736357556</v>
      </c>
      <c r="T7" s="75">
        <f t="shared" ca="1" si="2"/>
        <v>115218.11376966743</v>
      </c>
      <c r="U7" s="75">
        <f t="shared" ca="1" si="2"/>
        <v>137085.00496394088</v>
      </c>
      <c r="V7" s="75">
        <f t="shared" ca="1" si="2"/>
        <v>139809.51976784534</v>
      </c>
      <c r="W7" s="75">
        <f t="shared" ca="1" si="2"/>
        <v>142593.68045644017</v>
      </c>
      <c r="X7" s="75">
        <f t="shared" ca="1" si="2"/>
        <v>145437.13327083556</v>
      </c>
      <c r="Y7" s="75">
        <f t="shared" ca="1" si="2"/>
        <v>148339.98137993886</v>
      </c>
      <c r="Z7" s="75">
        <f t="shared" ca="1" si="2"/>
        <v>151302.65481811829</v>
      </c>
      <c r="AA7" s="75">
        <f t="shared" ca="1" si="2"/>
        <v>154325.8195818871</v>
      </c>
      <c r="AB7" s="75">
        <f t="shared" ca="1" si="2"/>
        <v>157410.31414070932</v>
      </c>
      <c r="AC7" s="75">
        <f t="shared" ca="1" si="2"/>
        <v>160557.10514055265</v>
      </c>
      <c r="AD7" s="75">
        <f t="shared" ca="1" si="2"/>
        <v>163767.25654528412</v>
      </c>
      <c r="AE7" s="75">
        <f t="shared" ca="1" si="2"/>
        <v>167041.90818753408</v>
      </c>
      <c r="AF7" s="75">
        <f t="shared" ca="1" si="2"/>
        <v>170382.26090922579</v>
      </c>
      <c r="AG7" s="75">
        <f t="shared" ca="1" si="2"/>
        <v>173789.56631796897</v>
      </c>
      <c r="AH7" s="75">
        <f t="shared" ca="1" si="2"/>
        <v>177265.11977771943</v>
      </c>
      <c r="AI7" s="75">
        <f t="shared" ca="1" si="2"/>
        <v>180810.25566664757</v>
      </c>
      <c r="AJ7" s="75">
        <f t="shared" ca="1" si="2"/>
        <v>184426.34422534218</v>
      </c>
      <c r="AK7" s="75">
        <f t="shared" ca="1" si="2"/>
        <v>188114.78952160219</v>
      </c>
      <c r="AL7" s="75">
        <f t="shared" ca="1" si="2"/>
        <v>191877.02820026141</v>
      </c>
    </row>
    <row r="8" spans="1:38" ht="26.45" customHeight="1" x14ac:dyDescent="0.35">
      <c r="A8" s="56"/>
      <c r="B8" s="81" t="s">
        <v>118</v>
      </c>
      <c r="C8" s="75">
        <f ca="1">SUM(C5:C7)</f>
        <v>194102.53161600002</v>
      </c>
      <c r="D8" s="75">
        <f t="shared" ref="D8:AL8" ca="1" si="3">SUM(D5:D7)</f>
        <v>182095.7241312</v>
      </c>
      <c r="E8" s="75">
        <f t="shared" ca="1" si="3"/>
        <v>174615.43793184002</v>
      </c>
      <c r="F8" s="75">
        <f t="shared" ca="1" si="3"/>
        <v>170322.20621308801</v>
      </c>
      <c r="G8" s="75">
        <f t="shared" ca="1" si="3"/>
        <v>168278.77200317761</v>
      </c>
      <c r="H8" s="75">
        <f t="shared" ca="1" si="3"/>
        <v>167829.43260932065</v>
      </c>
      <c r="I8" s="75">
        <f t="shared" ca="1" si="3"/>
        <v>168515.58087776275</v>
      </c>
      <c r="J8" s="75">
        <f t="shared" ca="1" si="3"/>
        <v>170016.58422669693</v>
      </c>
      <c r="K8" s="75">
        <f t="shared" ca="1" si="3"/>
        <v>172108.4001231961</v>
      </c>
      <c r="L8" s="75">
        <f t="shared" ca="1" si="3"/>
        <v>174634.60707403571</v>
      </c>
      <c r="M8" s="75">
        <f t="shared" ca="1" si="3"/>
        <v>177486.12647937943</v>
      </c>
      <c r="N8" s="75">
        <f t="shared" ca="1" si="3"/>
        <v>180587.02809367108</v>
      </c>
      <c r="O8" s="75">
        <f t="shared" ca="1" si="3"/>
        <v>184722.10041863326</v>
      </c>
      <c r="P8" s="75">
        <f t="shared" ca="1" si="3"/>
        <v>188195.61853782192</v>
      </c>
      <c r="Q8" s="75">
        <f t="shared" ca="1" si="3"/>
        <v>191804.88418614952</v>
      </c>
      <c r="R8" s="75">
        <f t="shared" ca="1" si="3"/>
        <v>195532.72916417231</v>
      </c>
      <c r="S8" s="75">
        <f t="shared" ca="1" si="3"/>
        <v>199367.60685346567</v>
      </c>
      <c r="T8" s="75">
        <f t="shared" ca="1" si="3"/>
        <v>203301.91516474186</v>
      </c>
      <c r="U8" s="75">
        <f t="shared" ca="1" si="3"/>
        <v>238300.19268216752</v>
      </c>
      <c r="V8" s="75">
        <f t="shared" ca="1" si="3"/>
        <v>243036.32266886177</v>
      </c>
      <c r="W8" s="75">
        <f t="shared" ca="1" si="3"/>
        <v>247876.1374153746</v>
      </c>
      <c r="X8" s="75">
        <f t="shared" ca="1" si="3"/>
        <v>252819.02196887709</v>
      </c>
      <c r="Y8" s="75">
        <f t="shared" ca="1" si="3"/>
        <v>257865.15567189109</v>
      </c>
      <c r="Z8" s="75">
        <f t="shared" ca="1" si="3"/>
        <v>263015.28606987442</v>
      </c>
      <c r="AA8" s="75">
        <f t="shared" ca="1" si="3"/>
        <v>269328.8050818725</v>
      </c>
      <c r="AB8" s="75">
        <f t="shared" ca="1" si="3"/>
        <v>274711.85268894077</v>
      </c>
      <c r="AC8" s="75">
        <f t="shared" ca="1" si="3"/>
        <v>280203.61979652115</v>
      </c>
      <c r="AD8" s="75">
        <f t="shared" ca="1" si="3"/>
        <v>285805.96323011274</v>
      </c>
      <c r="AE8" s="75">
        <f t="shared" ca="1" si="3"/>
        <v>291520.87222107773</v>
      </c>
      <c r="AF8" s="75">
        <f t="shared" ca="1" si="3"/>
        <v>297350.4424739533</v>
      </c>
      <c r="AG8" s="75">
        <f t="shared" ca="1" si="3"/>
        <v>303296.85828935006</v>
      </c>
      <c r="AH8" s="75">
        <f t="shared" ca="1" si="3"/>
        <v>309362.38033127948</v>
      </c>
      <c r="AI8" s="75">
        <f t="shared" ca="1" si="3"/>
        <v>315549.33735120477</v>
      </c>
      <c r="AJ8" s="75">
        <f t="shared" ca="1" si="3"/>
        <v>321860.1206875387</v>
      </c>
      <c r="AK8" s="75">
        <f t="shared" ca="1" si="3"/>
        <v>328297.1807138063</v>
      </c>
      <c r="AL8" s="75">
        <f t="shared" ca="1" si="3"/>
        <v>334863.02465684427</v>
      </c>
    </row>
    <row r="9" spans="1:38" ht="18.75" x14ac:dyDescent="0.35">
      <c r="A9" s="57"/>
      <c r="B9" s="51" t="s">
        <v>90</v>
      </c>
      <c r="C9" s="44">
        <v>1</v>
      </c>
      <c r="D9" s="44">
        <f ca="1">(D8/C8*100%)-100%</f>
        <v>-6.1858067408175343E-2</v>
      </c>
      <c r="E9" s="44">
        <f ca="1">(E8/D8*100%)-100%</f>
        <v>-4.1078867914385642E-2</v>
      </c>
      <c r="F9" s="44">
        <f t="shared" ref="F9:AL9" ca="1" si="4">(F8/E8*100%)-100%</f>
        <v>-2.4586782071513325E-2</v>
      </c>
      <c r="G9" s="44">
        <f t="shared" ca="1" si="4"/>
        <v>-1.1997462076987708E-2</v>
      </c>
      <c r="H9" s="44">
        <f t="shared" ca="1" si="4"/>
        <v>-2.670208419684017E-3</v>
      </c>
      <c r="I9" s="44">
        <f t="shared" ca="1" si="4"/>
        <v>4.0883667290907422E-3</v>
      </c>
      <c r="J9" s="44">
        <f t="shared" ca="1" si="4"/>
        <v>8.9072081116521318E-3</v>
      </c>
      <c r="K9" s="44">
        <f t="shared" ca="1" si="4"/>
        <v>1.2303599122483133E-2</v>
      </c>
      <c r="L9" s="44">
        <f t="shared" ca="1" si="4"/>
        <v>1.4677999150717325E-2</v>
      </c>
      <c r="M9" s="44">
        <f t="shared" ca="1" si="4"/>
        <v>1.6328489828678849E-2</v>
      </c>
      <c r="N9" s="44">
        <f t="shared" ca="1" si="4"/>
        <v>1.7471233813037834E-2</v>
      </c>
      <c r="O9" s="44">
        <f t="shared" ca="1" si="4"/>
        <v>2.2897947702075871E-2</v>
      </c>
      <c r="P9" s="44">
        <f t="shared" ca="1" si="4"/>
        <v>1.8804020262419563E-2</v>
      </c>
      <c r="Q9" s="44">
        <f t="shared" ca="1" si="4"/>
        <v>1.91782660848836E-2</v>
      </c>
      <c r="R9" s="44">
        <f t="shared" ca="1" si="4"/>
        <v>1.9435610275726267E-2</v>
      </c>
      <c r="S9" s="44">
        <f t="shared" ca="1" si="4"/>
        <v>1.9612459283343542E-2</v>
      </c>
      <c r="T9" s="44">
        <f t="shared" ca="1" si="4"/>
        <v>1.9733939597157857E-2</v>
      </c>
      <c r="U9" s="44">
        <f t="shared" ca="1" si="4"/>
        <v>0.17214927606100239</v>
      </c>
      <c r="V9" s="44">
        <f t="shared" ca="1" si="4"/>
        <v>1.9874637671867257E-2</v>
      </c>
      <c r="W9" s="44">
        <f t="shared" ca="1" si="4"/>
        <v>1.9913956454595816E-2</v>
      </c>
      <c r="X9" s="44">
        <f t="shared" ca="1" si="4"/>
        <v>1.9940945526432552E-2</v>
      </c>
      <c r="Y9" s="44">
        <f t="shared" ca="1" si="4"/>
        <v>1.9959470073557917E-2</v>
      </c>
      <c r="Z9" s="44">
        <f t="shared" ca="1" si="4"/>
        <v>1.9972184239333224E-2</v>
      </c>
      <c r="AA9" s="44">
        <f t="shared" ca="1" si="4"/>
        <v>2.400438052988596E-2</v>
      </c>
      <c r="AB9" s="44">
        <f t="shared" ca="1" si="4"/>
        <v>1.9986898933561426E-2</v>
      </c>
      <c r="AC9" s="44">
        <f t="shared" ca="1" si="4"/>
        <v>1.9991008956569356E-2</v>
      </c>
      <c r="AD9" s="44">
        <f t="shared" ca="1" si="4"/>
        <v>1.9993829621687054E-2</v>
      </c>
      <c r="AE9" s="44">
        <f t="shared" ca="1" si="4"/>
        <v>1.9995765401030985E-2</v>
      </c>
      <c r="AF9" s="44">
        <f t="shared" ca="1" si="4"/>
        <v>1.9997093890603557E-2</v>
      </c>
      <c r="AG9" s="44">
        <f t="shared" ca="1" si="4"/>
        <v>1.9998005605516012E-2</v>
      </c>
      <c r="AH9" s="44">
        <f t="shared" ca="1" si="4"/>
        <v>1.9998631295226943E-2</v>
      </c>
      <c r="AI9" s="44">
        <f t="shared" ca="1" si="4"/>
        <v>1.9999060691542336E-2</v>
      </c>
      <c r="AJ9" s="44">
        <f t="shared" ca="1" si="4"/>
        <v>1.9999355375955208E-2</v>
      </c>
      <c r="AK9" s="44">
        <f t="shared" ca="1" si="4"/>
        <v>1.999955761066996E-2</v>
      </c>
      <c r="AL9" s="44">
        <f t="shared" ca="1" si="4"/>
        <v>1.9999696399347844E-2</v>
      </c>
    </row>
    <row r="10" spans="1:38" ht="23.1" customHeight="1" x14ac:dyDescent="0.35">
      <c r="A10" s="57"/>
      <c r="B10" s="52"/>
      <c r="C10" s="41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 spans="1:38" ht="22.5" customHeight="1" x14ac:dyDescent="0.35">
      <c r="A11" s="58"/>
      <c r="B11" s="49" t="s">
        <v>93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1:38" ht="29.45" customHeight="1" x14ac:dyDescent="0.35">
      <c r="A12" s="38">
        <v>0.02</v>
      </c>
      <c r="B12" s="51" t="s">
        <v>106</v>
      </c>
      <c r="C12" s="72">
        <f>30594-30594*C14</f>
        <v>21415.800000000003</v>
      </c>
      <c r="D12" s="69">
        <f>C12+D13-(C12*D14)</f>
        <v>20091.060000000001</v>
      </c>
      <c r="E12" s="69">
        <f t="shared" ref="E12:AL12" si="5">D12+E13-(D12*E14)</f>
        <v>19265.742000000002</v>
      </c>
      <c r="F12" s="69">
        <f t="shared" si="5"/>
        <v>18792.059400000002</v>
      </c>
      <c r="G12" s="69">
        <f t="shared" si="5"/>
        <v>18566.602380000004</v>
      </c>
      <c r="H12" s="69">
        <f t="shared" si="5"/>
        <v>18517.025682000003</v>
      </c>
      <c r="I12" s="69">
        <f t="shared" si="5"/>
        <v>18592.730073720006</v>
      </c>
      <c r="J12" s="69">
        <f t="shared" si="5"/>
        <v>18758.339389850404</v>
      </c>
      <c r="K12" s="69">
        <f t="shared" si="5"/>
        <v>18989.134477906609</v>
      </c>
      <c r="L12" s="69">
        <f t="shared" si="5"/>
        <v>19267.856977646181</v>
      </c>
      <c r="M12" s="69">
        <f t="shared" si="5"/>
        <v>19582.471984326112</v>
      </c>
      <c r="N12" s="69">
        <f t="shared" si="5"/>
        <v>19924.60193100154</v>
      </c>
      <c r="O12" s="69">
        <f t="shared" si="5"/>
        <v>20288.430324513803</v>
      </c>
      <c r="P12" s="69">
        <f t="shared" si="5"/>
        <v>20669.934379428643</v>
      </c>
      <c r="Q12" s="69">
        <f t="shared" si="5"/>
        <v>21066.347880914411</v>
      </c>
      <c r="R12" s="69">
        <f t="shared" si="5"/>
        <v>21475.785208260735</v>
      </c>
      <c r="S12" s="69">
        <f t="shared" si="5"/>
        <v>21896.978171235576</v>
      </c>
      <c r="T12" s="69">
        <f t="shared" si="5"/>
        <v>22329.091815827021</v>
      </c>
      <c r="U12" s="69">
        <f t="shared" si="5"/>
        <v>22771.595508960279</v>
      </c>
      <c r="V12" s="69">
        <f t="shared" si="5"/>
        <v>23224.172718911184</v>
      </c>
      <c r="W12" s="69">
        <f t="shared" si="5"/>
        <v>23686.657883129599</v>
      </c>
      <c r="X12" s="69">
        <f t="shared" si="5"/>
        <v>24158.99223768033</v>
      </c>
      <c r="Y12" s="69">
        <f t="shared" si="5"/>
        <v>24641.192920255628</v>
      </c>
      <c r="Z12" s="69">
        <f t="shared" si="5"/>
        <v>25133.331365135928</v>
      </c>
      <c r="AA12" s="69">
        <f t="shared" si="5"/>
        <v>25635.518202971278</v>
      </c>
      <c r="AB12" s="69">
        <f t="shared" si="5"/>
        <v>26147.892714403544</v>
      </c>
      <c r="AC12" s="69">
        <f t="shared" si="5"/>
        <v>26670.615471852601</v>
      </c>
      <c r="AD12" s="69">
        <f t="shared" si="5"/>
        <v>27203.863213502344</v>
      </c>
      <c r="AE12" s="69">
        <f t="shared" si="5"/>
        <v>27747.825280321274</v>
      </c>
      <c r="AF12" s="69">
        <f t="shared" si="5"/>
        <v>28302.701147711923</v>
      </c>
      <c r="AG12" s="69">
        <f t="shared" si="5"/>
        <v>28868.698723915113</v>
      </c>
      <c r="AH12" s="69">
        <f t="shared" si="5"/>
        <v>29446.033185667682</v>
      </c>
      <c r="AI12" s="69">
        <f t="shared" si="5"/>
        <v>30034.926190473019</v>
      </c>
      <c r="AJ12" s="69">
        <f t="shared" si="5"/>
        <v>30635.605353046874</v>
      </c>
      <c r="AK12" s="69">
        <f t="shared" si="5"/>
        <v>31248.303907242887</v>
      </c>
      <c r="AL12" s="69">
        <f t="shared" si="5"/>
        <v>31873.260498382297</v>
      </c>
    </row>
    <row r="13" spans="1:38" ht="24.6" customHeight="1" x14ac:dyDescent="0.35">
      <c r="A13" s="71">
        <v>5000</v>
      </c>
      <c r="B13" s="51" t="s">
        <v>105</v>
      </c>
      <c r="C13" s="70">
        <f>$A$13</f>
        <v>5000</v>
      </c>
      <c r="D13" s="69">
        <f>C13+C13*$A$12</f>
        <v>5100</v>
      </c>
      <c r="E13" s="69">
        <f t="shared" ref="E13:AL13" si="6">D13+D13*$A$12</f>
        <v>5202</v>
      </c>
      <c r="F13" s="69">
        <f t="shared" si="6"/>
        <v>5306.04</v>
      </c>
      <c r="G13" s="69">
        <f t="shared" si="6"/>
        <v>5412.1607999999997</v>
      </c>
      <c r="H13" s="69">
        <f t="shared" si="6"/>
        <v>5520.4040159999995</v>
      </c>
      <c r="I13" s="69">
        <f t="shared" si="6"/>
        <v>5630.8120963199999</v>
      </c>
      <c r="J13" s="69">
        <f t="shared" si="6"/>
        <v>5743.4283382464</v>
      </c>
      <c r="K13" s="69">
        <f t="shared" si="6"/>
        <v>5858.2969050113279</v>
      </c>
      <c r="L13" s="69">
        <f t="shared" si="6"/>
        <v>5975.4628431115543</v>
      </c>
      <c r="M13" s="69">
        <f t="shared" si="6"/>
        <v>6094.9720999737856</v>
      </c>
      <c r="N13" s="69">
        <f t="shared" si="6"/>
        <v>6216.8715419732616</v>
      </c>
      <c r="O13" s="69">
        <f t="shared" si="6"/>
        <v>6341.2089728127266</v>
      </c>
      <c r="P13" s="69">
        <f t="shared" si="6"/>
        <v>6468.0331522689812</v>
      </c>
      <c r="Q13" s="69">
        <f t="shared" si="6"/>
        <v>6597.3938153143608</v>
      </c>
      <c r="R13" s="69">
        <f t="shared" si="6"/>
        <v>6729.3416916206479</v>
      </c>
      <c r="S13" s="69">
        <f t="shared" si="6"/>
        <v>6863.9285254530605</v>
      </c>
      <c r="T13" s="69">
        <f t="shared" si="6"/>
        <v>7001.2070959621215</v>
      </c>
      <c r="U13" s="69">
        <f t="shared" si="6"/>
        <v>7141.231237881364</v>
      </c>
      <c r="V13" s="69">
        <f t="shared" si="6"/>
        <v>7284.0558626389911</v>
      </c>
      <c r="W13" s="69">
        <f t="shared" si="6"/>
        <v>7429.7369798917707</v>
      </c>
      <c r="X13" s="69">
        <f t="shared" si="6"/>
        <v>7578.3317194896063</v>
      </c>
      <c r="Y13" s="69">
        <f t="shared" si="6"/>
        <v>7729.8983538793982</v>
      </c>
      <c r="Z13" s="69">
        <f t="shared" si="6"/>
        <v>7884.496320956986</v>
      </c>
      <c r="AA13" s="69">
        <f t="shared" si="6"/>
        <v>8042.1862473761257</v>
      </c>
      <c r="AB13" s="69">
        <f t="shared" si="6"/>
        <v>8203.0299723236476</v>
      </c>
      <c r="AC13" s="69">
        <f t="shared" si="6"/>
        <v>8367.0905717701207</v>
      </c>
      <c r="AD13" s="69">
        <f t="shared" si="6"/>
        <v>8534.4323832055234</v>
      </c>
      <c r="AE13" s="69">
        <f t="shared" si="6"/>
        <v>8705.1210308696336</v>
      </c>
      <c r="AF13" s="69">
        <f t="shared" si="6"/>
        <v>8879.223451487027</v>
      </c>
      <c r="AG13" s="69">
        <f t="shared" si="6"/>
        <v>9056.8079205167669</v>
      </c>
      <c r="AH13" s="69">
        <f t="shared" si="6"/>
        <v>9237.944078927103</v>
      </c>
      <c r="AI13" s="69">
        <f t="shared" si="6"/>
        <v>9422.702960505645</v>
      </c>
      <c r="AJ13" s="69">
        <f t="shared" si="6"/>
        <v>9611.157019715758</v>
      </c>
      <c r="AK13" s="69">
        <f t="shared" si="6"/>
        <v>9803.3801601100731</v>
      </c>
      <c r="AL13" s="69">
        <f t="shared" si="6"/>
        <v>9999.4477633122751</v>
      </c>
    </row>
    <row r="14" spans="1:38" ht="22.5" customHeight="1" x14ac:dyDescent="0.35">
      <c r="A14" s="38">
        <v>0.3</v>
      </c>
      <c r="B14" s="51" t="s">
        <v>27</v>
      </c>
      <c r="C14" s="63">
        <f>$A$14</f>
        <v>0.3</v>
      </c>
      <c r="D14" s="63">
        <f t="shared" ref="D14:AL14" si="7">$A$14</f>
        <v>0.3</v>
      </c>
      <c r="E14" s="63">
        <f t="shared" si="7"/>
        <v>0.3</v>
      </c>
      <c r="F14" s="63">
        <f t="shared" si="7"/>
        <v>0.3</v>
      </c>
      <c r="G14" s="63">
        <f t="shared" si="7"/>
        <v>0.3</v>
      </c>
      <c r="H14" s="63">
        <f t="shared" si="7"/>
        <v>0.3</v>
      </c>
      <c r="I14" s="63">
        <f t="shared" si="7"/>
        <v>0.3</v>
      </c>
      <c r="J14" s="63">
        <f t="shared" si="7"/>
        <v>0.3</v>
      </c>
      <c r="K14" s="63">
        <f t="shared" si="7"/>
        <v>0.3</v>
      </c>
      <c r="L14" s="63">
        <f t="shared" si="7"/>
        <v>0.3</v>
      </c>
      <c r="M14" s="63">
        <f t="shared" si="7"/>
        <v>0.3</v>
      </c>
      <c r="N14" s="63">
        <f t="shared" si="7"/>
        <v>0.3</v>
      </c>
      <c r="O14" s="63">
        <f t="shared" si="7"/>
        <v>0.3</v>
      </c>
      <c r="P14" s="63">
        <f t="shared" si="7"/>
        <v>0.3</v>
      </c>
      <c r="Q14" s="63">
        <f t="shared" si="7"/>
        <v>0.3</v>
      </c>
      <c r="R14" s="63">
        <f t="shared" si="7"/>
        <v>0.3</v>
      </c>
      <c r="S14" s="63">
        <f t="shared" si="7"/>
        <v>0.3</v>
      </c>
      <c r="T14" s="63">
        <f t="shared" si="7"/>
        <v>0.3</v>
      </c>
      <c r="U14" s="63">
        <f t="shared" si="7"/>
        <v>0.3</v>
      </c>
      <c r="V14" s="63">
        <f t="shared" si="7"/>
        <v>0.3</v>
      </c>
      <c r="W14" s="63">
        <f t="shared" si="7"/>
        <v>0.3</v>
      </c>
      <c r="X14" s="63">
        <f t="shared" si="7"/>
        <v>0.3</v>
      </c>
      <c r="Y14" s="63">
        <f t="shared" si="7"/>
        <v>0.3</v>
      </c>
      <c r="Z14" s="63">
        <f t="shared" si="7"/>
        <v>0.3</v>
      </c>
      <c r="AA14" s="63">
        <f t="shared" si="7"/>
        <v>0.3</v>
      </c>
      <c r="AB14" s="63">
        <f t="shared" si="7"/>
        <v>0.3</v>
      </c>
      <c r="AC14" s="63">
        <f t="shared" si="7"/>
        <v>0.3</v>
      </c>
      <c r="AD14" s="63">
        <f t="shared" si="7"/>
        <v>0.3</v>
      </c>
      <c r="AE14" s="63">
        <f t="shared" si="7"/>
        <v>0.3</v>
      </c>
      <c r="AF14" s="63">
        <f t="shared" si="7"/>
        <v>0.3</v>
      </c>
      <c r="AG14" s="63">
        <f t="shared" si="7"/>
        <v>0.3</v>
      </c>
      <c r="AH14" s="63">
        <f t="shared" si="7"/>
        <v>0.3</v>
      </c>
      <c r="AI14" s="63">
        <f t="shared" si="7"/>
        <v>0.3</v>
      </c>
      <c r="AJ14" s="63">
        <f t="shared" si="7"/>
        <v>0.3</v>
      </c>
      <c r="AK14" s="63">
        <f t="shared" si="7"/>
        <v>0.3</v>
      </c>
      <c r="AL14" s="63">
        <f t="shared" si="7"/>
        <v>0.3</v>
      </c>
    </row>
    <row r="15" spans="1:38" ht="24" customHeight="1" x14ac:dyDescent="0.35">
      <c r="A15" s="71">
        <v>495</v>
      </c>
      <c r="B15" s="51" t="s">
        <v>107</v>
      </c>
      <c r="C15" s="64">
        <f>$A$15</f>
        <v>495</v>
      </c>
      <c r="D15" s="64">
        <f>C15+(D13/18)-(C15*15%)</f>
        <v>704.08333333333326</v>
      </c>
      <c r="E15" s="64">
        <f t="shared" ref="E15:AL15" si="8">D15+(E13/18)-(D15*15%)</f>
        <v>887.4708333333333</v>
      </c>
      <c r="F15" s="64">
        <f t="shared" si="8"/>
        <v>1049.1302083333333</v>
      </c>
      <c r="G15" s="64">
        <f t="shared" si="8"/>
        <v>1192.4362770833334</v>
      </c>
      <c r="H15" s="64">
        <f t="shared" si="8"/>
        <v>1320.2599475208335</v>
      </c>
      <c r="I15" s="64">
        <f t="shared" si="8"/>
        <v>1435.0438496327085</v>
      </c>
      <c r="J15" s="64">
        <f t="shared" si="8"/>
        <v>1538.8666243126022</v>
      </c>
      <c r="K15" s="64">
        <f t="shared" si="8"/>
        <v>1633.4975698330077</v>
      </c>
      <c r="L15" s="64">
        <f t="shared" si="8"/>
        <v>1720.4430923086984</v>
      </c>
      <c r="M15" s="64">
        <f t="shared" si="8"/>
        <v>1800.9861895720485</v>
      </c>
      <c r="N15" s="64">
        <f t="shared" si="8"/>
        <v>1876.2200134680891</v>
      </c>
      <c r="O15" s="64">
        <f t="shared" si="8"/>
        <v>1947.0763988263607</v>
      </c>
      <c r="P15" s="64">
        <f t="shared" si="8"/>
        <v>2014.350114128461</v>
      </c>
      <c r="Q15" s="64">
        <f t="shared" si="8"/>
        <v>2078.7194756377671</v>
      </c>
      <c r="R15" s="64">
        <f t="shared" si="8"/>
        <v>2140.7638704932492</v>
      </c>
      <c r="S15" s="64">
        <f t="shared" si="8"/>
        <v>2200.9786524444316</v>
      </c>
      <c r="T15" s="64">
        <f t="shared" si="8"/>
        <v>2259.7878043534406</v>
      </c>
      <c r="U15" s="64">
        <f t="shared" si="8"/>
        <v>2317.5547024716116</v>
      </c>
      <c r="V15" s="64">
        <f t="shared" si="8"/>
        <v>2374.5912672474806</v>
      </c>
      <c r="W15" s="64">
        <f t="shared" si="8"/>
        <v>2431.1657427099012</v>
      </c>
      <c r="X15" s="64">
        <f t="shared" si="8"/>
        <v>2487.50931016395</v>
      </c>
      <c r="Y15" s="64">
        <f t="shared" si="8"/>
        <v>2543.821711077102</v>
      </c>
      <c r="Z15" s="64">
        <f t="shared" si="8"/>
        <v>2600.276027802036</v>
      </c>
      <c r="AA15" s="64">
        <f t="shared" si="8"/>
        <v>2657.0227484859597</v>
      </c>
      <c r="AB15" s="64">
        <f t="shared" si="8"/>
        <v>2714.1932235643794</v>
      </c>
      <c r="AC15" s="64">
        <f t="shared" si="8"/>
        <v>2771.9026051280625</v>
      </c>
      <c r="AD15" s="64">
        <f t="shared" si="8"/>
        <v>2830.25234675916</v>
      </c>
      <c r="AE15" s="64">
        <f t="shared" si="8"/>
        <v>2889.332329793599</v>
      </c>
      <c r="AF15" s="64">
        <f t="shared" si="8"/>
        <v>2949.2226720738386</v>
      </c>
      <c r="AG15" s="64">
        <f t="shared" si="8"/>
        <v>3009.9952668470278</v>
      </c>
      <c r="AH15" s="64">
        <f t="shared" si="8"/>
        <v>3071.7150923159238</v>
      </c>
      <c r="AI15" s="64">
        <f t="shared" si="8"/>
        <v>3134.4413262744047</v>
      </c>
      <c r="AJ15" s="64">
        <f t="shared" si="8"/>
        <v>3198.2282950952304</v>
      </c>
      <c r="AK15" s="64">
        <f t="shared" si="8"/>
        <v>3263.1262819481722</v>
      </c>
      <c r="AL15" s="64">
        <f t="shared" si="8"/>
        <v>3329.1822153955172</v>
      </c>
    </row>
    <row r="16" spans="1:38" ht="18.75" x14ac:dyDescent="0.35">
      <c r="A16" s="59"/>
      <c r="B16" s="95" t="s">
        <v>108</v>
      </c>
      <c r="C16" s="64">
        <f>C12/C15</f>
        <v>43.264242424242433</v>
      </c>
      <c r="D16" s="64">
        <f>D12/D15</f>
        <v>28.535059770387033</v>
      </c>
      <c r="E16" s="64">
        <f t="shared" ref="E16:AL16" si="9">E12/E15</f>
        <v>21.708591737756642</v>
      </c>
      <c r="F16" s="64">
        <f t="shared" si="9"/>
        <v>17.912037276910937</v>
      </c>
      <c r="G16" s="64">
        <f t="shared" si="9"/>
        <v>15.570309908227053</v>
      </c>
      <c r="H16" s="64">
        <f t="shared" si="9"/>
        <v>14.025287760013493</v>
      </c>
      <c r="I16" s="64">
        <f t="shared" si="9"/>
        <v>12.956210417179037</v>
      </c>
      <c r="J16" s="64">
        <f t="shared" si="9"/>
        <v>12.189710981762039</v>
      </c>
      <c r="K16" s="64">
        <f t="shared" si="9"/>
        <v>11.624831789525016</v>
      </c>
      <c r="L16" s="64">
        <f t="shared" si="9"/>
        <v>11.199357342177615</v>
      </c>
      <c r="M16" s="64">
        <f t="shared" si="9"/>
        <v>10.873193863290707</v>
      </c>
      <c r="N16" s="64">
        <f t="shared" si="9"/>
        <v>10.619544503297357</v>
      </c>
      <c r="O16" s="64">
        <f t="shared" si="9"/>
        <v>10.419945687155913</v>
      </c>
      <c r="P16" s="64">
        <f t="shared" si="9"/>
        <v>10.261341479046607</v>
      </c>
      <c r="Q16" s="64">
        <f t="shared" si="9"/>
        <v>10.134290907363098</v>
      </c>
      <c r="R16" s="64">
        <f t="shared" si="9"/>
        <v>10.031832797753889</v>
      </c>
      <c r="S16" s="64">
        <f t="shared" si="9"/>
        <v>9.9487462756245026</v>
      </c>
      <c r="T16" s="64">
        <f t="shared" si="9"/>
        <v>9.8810568730437556</v>
      </c>
      <c r="U16" s="64">
        <f t="shared" si="9"/>
        <v>9.8256992530424281</v>
      </c>
      <c r="V16" s="64">
        <f t="shared" si="9"/>
        <v>9.7802822065591108</v>
      </c>
      <c r="W16" s="64">
        <f t="shared" si="9"/>
        <v>9.742921869541993</v>
      </c>
      <c r="X16" s="64">
        <f t="shared" si="9"/>
        <v>9.7121213331611731</v>
      </c>
      <c r="Y16" s="64">
        <f t="shared" si="9"/>
        <v>9.6866823696626447</v>
      </c>
      <c r="Z16" s="64">
        <f t="shared" si="9"/>
        <v>9.6656397614758838</v>
      </c>
      <c r="AA16" s="64">
        <f t="shared" si="9"/>
        <v>9.6482117880168925</v>
      </c>
      <c r="AB16" s="64">
        <f t="shared" si="9"/>
        <v>9.6337624334884904</v>
      </c>
      <c r="AC16" s="64">
        <f t="shared" si="9"/>
        <v>9.6217722161347048</v>
      </c>
      <c r="AD16" s="64">
        <f t="shared" si="9"/>
        <v>9.6118154427652716</v>
      </c>
      <c r="AE16" s="64">
        <f t="shared" si="9"/>
        <v>9.6035423112105125</v>
      </c>
      <c r="AF16" s="64">
        <f t="shared" si="9"/>
        <v>9.5966647129462039</v>
      </c>
      <c r="AG16" s="64">
        <f t="shared" si="9"/>
        <v>9.5909448901410048</v>
      </c>
      <c r="AH16" s="64">
        <f t="shared" si="9"/>
        <v>9.5861863163444649</v>
      </c>
      <c r="AI16" s="64">
        <f t="shared" si="9"/>
        <v>9.582226324897432</v>
      </c>
      <c r="AJ16" s="64">
        <f t="shared" si="9"/>
        <v>9.5789301220395426</v>
      </c>
      <c r="AK16" s="64">
        <f t="shared" si="9"/>
        <v>9.5761859049435341</v>
      </c>
      <c r="AL16" s="64">
        <f t="shared" si="9"/>
        <v>9.5739008670018535</v>
      </c>
    </row>
    <row r="17" spans="1:39" ht="21.95" customHeight="1" x14ac:dyDescent="0.35">
      <c r="A17" s="38">
        <v>0.86</v>
      </c>
      <c r="B17" s="51" t="s">
        <v>34</v>
      </c>
      <c r="C17" s="63">
        <f>$A$17</f>
        <v>0.86</v>
      </c>
      <c r="D17" s="63">
        <f t="shared" ref="D17:AL17" si="10">$A$17</f>
        <v>0.86</v>
      </c>
      <c r="E17" s="63">
        <f t="shared" si="10"/>
        <v>0.86</v>
      </c>
      <c r="F17" s="63">
        <f t="shared" si="10"/>
        <v>0.86</v>
      </c>
      <c r="G17" s="63">
        <f t="shared" si="10"/>
        <v>0.86</v>
      </c>
      <c r="H17" s="63">
        <f t="shared" si="10"/>
        <v>0.86</v>
      </c>
      <c r="I17" s="63">
        <f t="shared" si="10"/>
        <v>0.86</v>
      </c>
      <c r="J17" s="63">
        <f t="shared" si="10"/>
        <v>0.86</v>
      </c>
      <c r="K17" s="63">
        <f t="shared" si="10"/>
        <v>0.86</v>
      </c>
      <c r="L17" s="63">
        <f t="shared" si="10"/>
        <v>0.86</v>
      </c>
      <c r="M17" s="63">
        <f t="shared" si="10"/>
        <v>0.86</v>
      </c>
      <c r="N17" s="63">
        <f t="shared" si="10"/>
        <v>0.86</v>
      </c>
      <c r="O17" s="63">
        <f t="shared" si="10"/>
        <v>0.86</v>
      </c>
      <c r="P17" s="63">
        <f t="shared" si="10"/>
        <v>0.86</v>
      </c>
      <c r="Q17" s="63">
        <f t="shared" si="10"/>
        <v>0.86</v>
      </c>
      <c r="R17" s="63">
        <f t="shared" si="10"/>
        <v>0.86</v>
      </c>
      <c r="S17" s="63">
        <f t="shared" si="10"/>
        <v>0.86</v>
      </c>
      <c r="T17" s="63">
        <f t="shared" si="10"/>
        <v>0.86</v>
      </c>
      <c r="U17" s="63">
        <f t="shared" si="10"/>
        <v>0.86</v>
      </c>
      <c r="V17" s="63">
        <f t="shared" si="10"/>
        <v>0.86</v>
      </c>
      <c r="W17" s="63">
        <f t="shared" si="10"/>
        <v>0.86</v>
      </c>
      <c r="X17" s="63">
        <f t="shared" si="10"/>
        <v>0.86</v>
      </c>
      <c r="Y17" s="63">
        <f t="shared" si="10"/>
        <v>0.86</v>
      </c>
      <c r="Z17" s="63">
        <f t="shared" si="10"/>
        <v>0.86</v>
      </c>
      <c r="AA17" s="63">
        <f t="shared" si="10"/>
        <v>0.86</v>
      </c>
      <c r="AB17" s="63">
        <f t="shared" si="10"/>
        <v>0.86</v>
      </c>
      <c r="AC17" s="63">
        <f t="shared" si="10"/>
        <v>0.86</v>
      </c>
      <c r="AD17" s="63">
        <f t="shared" si="10"/>
        <v>0.86</v>
      </c>
      <c r="AE17" s="63">
        <f t="shared" si="10"/>
        <v>0.86</v>
      </c>
      <c r="AF17" s="63">
        <f t="shared" si="10"/>
        <v>0.86</v>
      </c>
      <c r="AG17" s="63">
        <f t="shared" si="10"/>
        <v>0.86</v>
      </c>
      <c r="AH17" s="63">
        <f t="shared" si="10"/>
        <v>0.86</v>
      </c>
      <c r="AI17" s="63">
        <f t="shared" si="10"/>
        <v>0.86</v>
      </c>
      <c r="AJ17" s="63">
        <f t="shared" si="10"/>
        <v>0.86</v>
      </c>
      <c r="AK17" s="63">
        <f t="shared" si="10"/>
        <v>0.86</v>
      </c>
      <c r="AL17" s="63">
        <f t="shared" si="10"/>
        <v>0.86</v>
      </c>
    </row>
    <row r="18" spans="1:39" ht="26.45" customHeight="1" x14ac:dyDescent="0.35">
      <c r="A18" s="71">
        <v>2</v>
      </c>
      <c r="B18" s="51" t="s">
        <v>109</v>
      </c>
      <c r="C18" s="67">
        <f ca="1">$A$18+RANDBETWEEN(-0.4, 0.1)</f>
        <v>2</v>
      </c>
      <c r="D18" s="67">
        <f t="shared" ref="D18:E18" ca="1" si="11">$A$18+RANDBETWEEN(-0.4, 0.1)</f>
        <v>2</v>
      </c>
      <c r="E18" s="67">
        <f t="shared" ca="1" si="11"/>
        <v>2</v>
      </c>
      <c r="F18" s="67">
        <f t="shared" ref="F18:AL18" ca="1" si="12">$A$18+RANDBETWEEN(-0.4, 0.1)</f>
        <v>2</v>
      </c>
      <c r="G18" s="67">
        <f t="shared" ca="1" si="12"/>
        <v>2</v>
      </c>
      <c r="H18" s="67">
        <f t="shared" ca="1" si="12"/>
        <v>2</v>
      </c>
      <c r="I18" s="67">
        <f t="shared" ca="1" si="12"/>
        <v>2</v>
      </c>
      <c r="J18" s="67">
        <f t="shared" ca="1" si="12"/>
        <v>2</v>
      </c>
      <c r="K18" s="67">
        <f t="shared" ca="1" si="12"/>
        <v>2</v>
      </c>
      <c r="L18" s="67">
        <f t="shared" ca="1" si="12"/>
        <v>2</v>
      </c>
      <c r="M18" s="67">
        <f t="shared" ca="1" si="12"/>
        <v>2</v>
      </c>
      <c r="N18" s="67">
        <f t="shared" ca="1" si="12"/>
        <v>2</v>
      </c>
      <c r="O18" s="67">
        <f t="shared" ca="1" si="12"/>
        <v>2</v>
      </c>
      <c r="P18" s="67">
        <f t="shared" ca="1" si="12"/>
        <v>2</v>
      </c>
      <c r="Q18" s="67">
        <f t="shared" ca="1" si="12"/>
        <v>2</v>
      </c>
      <c r="R18" s="67">
        <f t="shared" ca="1" si="12"/>
        <v>2</v>
      </c>
      <c r="S18" s="67">
        <f t="shared" ca="1" si="12"/>
        <v>2</v>
      </c>
      <c r="T18" s="67">
        <f t="shared" ca="1" si="12"/>
        <v>2</v>
      </c>
      <c r="U18" s="67">
        <f t="shared" ca="1" si="12"/>
        <v>2</v>
      </c>
      <c r="V18" s="67">
        <f t="shared" ca="1" si="12"/>
        <v>2</v>
      </c>
      <c r="W18" s="67">
        <f t="shared" ca="1" si="12"/>
        <v>2</v>
      </c>
      <c r="X18" s="67">
        <f t="shared" ca="1" si="12"/>
        <v>2</v>
      </c>
      <c r="Y18" s="67">
        <f t="shared" ca="1" si="12"/>
        <v>2</v>
      </c>
      <c r="Z18" s="67">
        <f t="shared" ca="1" si="12"/>
        <v>2</v>
      </c>
      <c r="AA18" s="67">
        <f t="shared" ca="1" si="12"/>
        <v>2</v>
      </c>
      <c r="AB18" s="67">
        <f t="shared" ca="1" si="12"/>
        <v>2</v>
      </c>
      <c r="AC18" s="67">
        <f t="shared" ca="1" si="12"/>
        <v>2</v>
      </c>
      <c r="AD18" s="67">
        <f t="shared" ca="1" si="12"/>
        <v>2</v>
      </c>
      <c r="AE18" s="67">
        <f t="shared" ca="1" si="12"/>
        <v>2</v>
      </c>
      <c r="AF18" s="67">
        <f t="shared" ca="1" si="12"/>
        <v>2</v>
      </c>
      <c r="AG18" s="67">
        <f t="shared" ca="1" si="12"/>
        <v>2</v>
      </c>
      <c r="AH18" s="67">
        <f t="shared" ca="1" si="12"/>
        <v>2</v>
      </c>
      <c r="AI18" s="67">
        <f t="shared" ca="1" si="12"/>
        <v>2</v>
      </c>
      <c r="AJ18" s="67">
        <f t="shared" ca="1" si="12"/>
        <v>2</v>
      </c>
      <c r="AK18" s="67">
        <f t="shared" ca="1" si="12"/>
        <v>2</v>
      </c>
      <c r="AL18" s="67">
        <f t="shared" ca="1" si="12"/>
        <v>2</v>
      </c>
    </row>
    <row r="19" spans="1:39" ht="18.75" x14ac:dyDescent="0.35">
      <c r="A19" s="60"/>
      <c r="B19" s="48" t="s">
        <v>110</v>
      </c>
      <c r="C19" s="64">
        <f ca="1">C12*C18</f>
        <v>42831.600000000006</v>
      </c>
      <c r="D19" s="64">
        <f t="shared" ref="D19:AL19" ca="1" si="13">D12*D18</f>
        <v>40182.120000000003</v>
      </c>
      <c r="E19" s="64">
        <f t="shared" ca="1" si="13"/>
        <v>38531.484000000004</v>
      </c>
      <c r="F19" s="64">
        <f t="shared" ca="1" si="13"/>
        <v>37584.118800000004</v>
      </c>
      <c r="G19" s="64">
        <f t="shared" ca="1" si="13"/>
        <v>37133.204760000008</v>
      </c>
      <c r="H19" s="64">
        <f t="shared" ca="1" si="13"/>
        <v>37034.051364000006</v>
      </c>
      <c r="I19" s="64">
        <f t="shared" ca="1" si="13"/>
        <v>37185.460147440011</v>
      </c>
      <c r="J19" s="64">
        <f t="shared" ca="1" si="13"/>
        <v>37516.678779700807</v>
      </c>
      <c r="K19" s="64">
        <f t="shared" ca="1" si="13"/>
        <v>37978.268955813219</v>
      </c>
      <c r="L19" s="64">
        <f t="shared" ca="1" si="13"/>
        <v>38535.713955292362</v>
      </c>
      <c r="M19" s="64">
        <f t="shared" ca="1" si="13"/>
        <v>39164.943968652224</v>
      </c>
      <c r="N19" s="64">
        <f t="shared" ca="1" si="13"/>
        <v>39849.20386200308</v>
      </c>
      <c r="O19" s="64">
        <f t="shared" ca="1" si="13"/>
        <v>40576.860649027607</v>
      </c>
      <c r="P19" s="64">
        <f t="shared" ca="1" si="13"/>
        <v>41339.868758857287</v>
      </c>
      <c r="Q19" s="64">
        <f t="shared" ca="1" si="13"/>
        <v>42132.695761828822</v>
      </c>
      <c r="R19" s="64">
        <f t="shared" ca="1" si="13"/>
        <v>42951.57041652147</v>
      </c>
      <c r="S19" s="64">
        <f t="shared" ca="1" si="13"/>
        <v>43793.956342471152</v>
      </c>
      <c r="T19" s="64">
        <f t="shared" ca="1" si="13"/>
        <v>44658.183631654043</v>
      </c>
      <c r="U19" s="64">
        <f t="shared" ca="1" si="13"/>
        <v>45543.191017920559</v>
      </c>
      <c r="V19" s="64">
        <f t="shared" ca="1" si="13"/>
        <v>46448.345437822369</v>
      </c>
      <c r="W19" s="64">
        <f t="shared" ca="1" si="13"/>
        <v>47373.315766259198</v>
      </c>
      <c r="X19" s="64">
        <f t="shared" ca="1" si="13"/>
        <v>48317.984475360659</v>
      </c>
      <c r="Y19" s="64">
        <f t="shared" ca="1" si="13"/>
        <v>49282.385840511255</v>
      </c>
      <c r="Z19" s="64">
        <f t="shared" ca="1" si="13"/>
        <v>50266.662730271855</v>
      </c>
      <c r="AA19" s="64">
        <f t="shared" ca="1" si="13"/>
        <v>51271.036405942556</v>
      </c>
      <c r="AB19" s="64">
        <f t="shared" ca="1" si="13"/>
        <v>52295.785428807088</v>
      </c>
      <c r="AC19" s="64">
        <f t="shared" ca="1" si="13"/>
        <v>53341.230943705203</v>
      </c>
      <c r="AD19" s="64">
        <f t="shared" ca="1" si="13"/>
        <v>54407.726427004687</v>
      </c>
      <c r="AE19" s="64">
        <f t="shared" ca="1" si="13"/>
        <v>55495.650560642549</v>
      </c>
      <c r="AF19" s="64">
        <f t="shared" ca="1" si="13"/>
        <v>56605.402295423846</v>
      </c>
      <c r="AG19" s="64">
        <f t="shared" ca="1" si="13"/>
        <v>57737.397447830226</v>
      </c>
      <c r="AH19" s="64">
        <f t="shared" ca="1" si="13"/>
        <v>58892.066371335364</v>
      </c>
      <c r="AI19" s="64">
        <f t="shared" ca="1" si="13"/>
        <v>60069.852380946038</v>
      </c>
      <c r="AJ19" s="64">
        <f t="shared" ca="1" si="13"/>
        <v>61271.210706093749</v>
      </c>
      <c r="AK19" s="64">
        <f t="shared" ca="1" si="13"/>
        <v>62496.607814485775</v>
      </c>
      <c r="AL19" s="64">
        <f t="shared" ca="1" si="13"/>
        <v>63746.520996764593</v>
      </c>
    </row>
    <row r="20" spans="1:39" ht="24" customHeight="1" x14ac:dyDescent="0.35">
      <c r="A20" s="61"/>
      <c r="B20" s="48" t="s">
        <v>111</v>
      </c>
      <c r="C20" s="64">
        <f ca="1">C19*C17</f>
        <v>36835.176000000007</v>
      </c>
      <c r="D20" s="64">
        <f ca="1">D19*D17</f>
        <v>34556.623200000002</v>
      </c>
      <c r="E20" s="64">
        <f t="shared" ref="E20:AL20" ca="1" si="14">E19*E17</f>
        <v>33137.076240000002</v>
      </c>
      <c r="F20" s="64">
        <f t="shared" ca="1" si="14"/>
        <v>32322.342168000003</v>
      </c>
      <c r="G20" s="64">
        <f t="shared" ca="1" si="14"/>
        <v>31934.556093600007</v>
      </c>
      <c r="H20" s="64">
        <f t="shared" ca="1" si="14"/>
        <v>31849.284173040003</v>
      </c>
      <c r="I20" s="64">
        <f t="shared" ca="1" si="14"/>
        <v>31979.49572679841</v>
      </c>
      <c r="J20" s="64">
        <f t="shared" ca="1" si="14"/>
        <v>32264.343750542695</v>
      </c>
      <c r="K20" s="64">
        <f t="shared" ca="1" si="14"/>
        <v>32661.311301999369</v>
      </c>
      <c r="L20" s="64">
        <f t="shared" ca="1" si="14"/>
        <v>33140.714001551431</v>
      </c>
      <c r="M20" s="64">
        <f t="shared" ca="1" si="14"/>
        <v>33681.851813040914</v>
      </c>
      <c r="N20" s="64">
        <f t="shared" ca="1" si="14"/>
        <v>34270.315321322647</v>
      </c>
      <c r="O20" s="64">
        <f t="shared" ca="1" si="14"/>
        <v>34896.100158163739</v>
      </c>
      <c r="P20" s="64">
        <f t="shared" ca="1" si="14"/>
        <v>35552.287132617268</v>
      </c>
      <c r="Q20" s="64">
        <f t="shared" ca="1" si="14"/>
        <v>36234.118355172788</v>
      </c>
      <c r="R20" s="64">
        <f t="shared" ca="1" si="14"/>
        <v>36938.350558208462</v>
      </c>
      <c r="S20" s="64">
        <f t="shared" ca="1" si="14"/>
        <v>37662.80245452519</v>
      </c>
      <c r="T20" s="64">
        <f t="shared" ca="1" si="14"/>
        <v>38406.037923222473</v>
      </c>
      <c r="U20" s="64">
        <f t="shared" ca="1" si="14"/>
        <v>39167.14427541168</v>
      </c>
      <c r="V20" s="64">
        <f t="shared" ca="1" si="14"/>
        <v>39945.577076527239</v>
      </c>
      <c r="W20" s="64">
        <f t="shared" ca="1" si="14"/>
        <v>40741.051558982908</v>
      </c>
      <c r="X20" s="64">
        <f t="shared" ca="1" si="14"/>
        <v>41553.466648810165</v>
      </c>
      <c r="Y20" s="64">
        <f t="shared" ca="1" si="14"/>
        <v>42382.851822839679</v>
      </c>
      <c r="Z20" s="64">
        <f t="shared" ca="1" si="14"/>
        <v>43229.329948033796</v>
      </c>
      <c r="AA20" s="64">
        <f t="shared" ca="1" si="14"/>
        <v>44093.091309110598</v>
      </c>
      <c r="AB20" s="64">
        <f t="shared" ca="1" si="14"/>
        <v>44974.375468774095</v>
      </c>
      <c r="AC20" s="64">
        <f t="shared" ca="1" si="14"/>
        <v>45873.458611586473</v>
      </c>
      <c r="AD20" s="64">
        <f t="shared" ca="1" si="14"/>
        <v>46790.644727224033</v>
      </c>
      <c r="AE20" s="64">
        <f t="shared" ca="1" si="14"/>
        <v>47726.259482152593</v>
      </c>
      <c r="AF20" s="64">
        <f t="shared" ca="1" si="14"/>
        <v>48680.645974064508</v>
      </c>
      <c r="AG20" s="64">
        <f t="shared" ca="1" si="14"/>
        <v>49654.16180513399</v>
      </c>
      <c r="AH20" s="64">
        <f t="shared" ca="1" si="14"/>
        <v>50647.17707934841</v>
      </c>
      <c r="AI20" s="64">
        <f t="shared" ca="1" si="14"/>
        <v>51660.073047613594</v>
      </c>
      <c r="AJ20" s="64">
        <f t="shared" ca="1" si="14"/>
        <v>52693.241207240622</v>
      </c>
      <c r="AK20" s="64">
        <f t="shared" ca="1" si="14"/>
        <v>53747.082720457765</v>
      </c>
      <c r="AL20" s="64">
        <f t="shared" ca="1" si="14"/>
        <v>54822.00805721755</v>
      </c>
    </row>
    <row r="21" spans="1:39" ht="21.95" customHeight="1" x14ac:dyDescent="0.35">
      <c r="A21" s="62"/>
      <c r="B21" s="51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</row>
    <row r="22" spans="1:39" ht="18.75" x14ac:dyDescent="0.35">
      <c r="A22" s="62"/>
      <c r="B22" s="55" t="s">
        <v>112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spans="1:39" ht="18.75" x14ac:dyDescent="0.35">
      <c r="A23" s="68">
        <v>6.8</v>
      </c>
      <c r="B23" s="51" t="s">
        <v>113</v>
      </c>
      <c r="C23" s="67">
        <f>$A$23</f>
        <v>6.8</v>
      </c>
      <c r="D23" s="67">
        <f t="shared" ref="D23:N23" si="15">$A$23</f>
        <v>6.8</v>
      </c>
      <c r="E23" s="67">
        <f t="shared" si="15"/>
        <v>6.8</v>
      </c>
      <c r="F23" s="67">
        <f t="shared" si="15"/>
        <v>6.8</v>
      </c>
      <c r="G23" s="67">
        <f t="shared" si="15"/>
        <v>6.8</v>
      </c>
      <c r="H23" s="67">
        <f t="shared" si="15"/>
        <v>6.8</v>
      </c>
      <c r="I23" s="67">
        <f t="shared" si="15"/>
        <v>6.8</v>
      </c>
      <c r="J23" s="67">
        <f t="shared" si="15"/>
        <v>6.8</v>
      </c>
      <c r="K23" s="67">
        <f t="shared" si="15"/>
        <v>6.8</v>
      </c>
      <c r="L23" s="67">
        <f t="shared" si="15"/>
        <v>6.8</v>
      </c>
      <c r="M23" s="67">
        <f t="shared" si="15"/>
        <v>6.8</v>
      </c>
      <c r="N23" s="67">
        <f t="shared" si="15"/>
        <v>6.8</v>
      </c>
      <c r="O23" s="67">
        <f>$A$23+0.2</f>
        <v>7</v>
      </c>
      <c r="P23" s="67">
        <f t="shared" ref="P23:Z23" si="16">$A$23+0.2</f>
        <v>7</v>
      </c>
      <c r="Q23" s="67">
        <f t="shared" si="16"/>
        <v>7</v>
      </c>
      <c r="R23" s="67">
        <f t="shared" si="16"/>
        <v>7</v>
      </c>
      <c r="S23" s="67">
        <f t="shared" si="16"/>
        <v>7</v>
      </c>
      <c r="T23" s="67">
        <f t="shared" si="16"/>
        <v>7</v>
      </c>
      <c r="U23" s="67">
        <f t="shared" si="16"/>
        <v>7</v>
      </c>
      <c r="V23" s="67">
        <f t="shared" si="16"/>
        <v>7</v>
      </c>
      <c r="W23" s="67">
        <f t="shared" si="16"/>
        <v>7</v>
      </c>
      <c r="X23" s="67">
        <f t="shared" si="16"/>
        <v>7</v>
      </c>
      <c r="Y23" s="67">
        <f t="shared" si="16"/>
        <v>7</v>
      </c>
      <c r="Z23" s="67">
        <f t="shared" si="16"/>
        <v>7</v>
      </c>
      <c r="AA23" s="67">
        <f>$A$23+0.4</f>
        <v>7.2</v>
      </c>
      <c r="AB23" s="67">
        <f t="shared" ref="AB23:AL23" si="17">$A$23+0.4</f>
        <v>7.2</v>
      </c>
      <c r="AC23" s="67">
        <f t="shared" si="17"/>
        <v>7.2</v>
      </c>
      <c r="AD23" s="67">
        <f t="shared" si="17"/>
        <v>7.2</v>
      </c>
      <c r="AE23" s="67">
        <f t="shared" si="17"/>
        <v>7.2</v>
      </c>
      <c r="AF23" s="67">
        <f t="shared" si="17"/>
        <v>7.2</v>
      </c>
      <c r="AG23" s="67">
        <f t="shared" si="17"/>
        <v>7.2</v>
      </c>
      <c r="AH23" s="67">
        <f t="shared" si="17"/>
        <v>7.2</v>
      </c>
      <c r="AI23" s="67">
        <f t="shared" si="17"/>
        <v>7.2</v>
      </c>
      <c r="AJ23" s="67">
        <f t="shared" si="17"/>
        <v>7.2</v>
      </c>
      <c r="AK23" s="67">
        <f t="shared" si="17"/>
        <v>7.2</v>
      </c>
      <c r="AL23" s="67">
        <f t="shared" si="17"/>
        <v>7.2</v>
      </c>
    </row>
    <row r="24" spans="1:39" ht="32.1" customHeight="1" x14ac:dyDescent="0.35">
      <c r="A24" s="38">
        <v>0.12</v>
      </c>
      <c r="B24" s="76" t="s">
        <v>37</v>
      </c>
      <c r="C24" s="63">
        <f>$A$24</f>
        <v>0.12</v>
      </c>
      <c r="D24" s="63">
        <f t="shared" ref="D24:AL24" si="18">$A$24</f>
        <v>0.12</v>
      </c>
      <c r="E24" s="63">
        <f t="shared" si="18"/>
        <v>0.12</v>
      </c>
      <c r="F24" s="63">
        <f t="shared" si="18"/>
        <v>0.12</v>
      </c>
      <c r="G24" s="63">
        <f t="shared" si="18"/>
        <v>0.12</v>
      </c>
      <c r="H24" s="63">
        <f t="shared" si="18"/>
        <v>0.12</v>
      </c>
      <c r="I24" s="63">
        <f t="shared" si="18"/>
        <v>0.12</v>
      </c>
      <c r="J24" s="63">
        <f t="shared" si="18"/>
        <v>0.12</v>
      </c>
      <c r="K24" s="63">
        <f t="shared" si="18"/>
        <v>0.12</v>
      </c>
      <c r="L24" s="63">
        <f t="shared" si="18"/>
        <v>0.12</v>
      </c>
      <c r="M24" s="63">
        <f t="shared" si="18"/>
        <v>0.12</v>
      </c>
      <c r="N24" s="63">
        <f t="shared" si="18"/>
        <v>0.12</v>
      </c>
      <c r="O24" s="63">
        <f t="shared" si="18"/>
        <v>0.12</v>
      </c>
      <c r="P24" s="63">
        <f t="shared" si="18"/>
        <v>0.12</v>
      </c>
      <c r="Q24" s="63">
        <f t="shared" si="18"/>
        <v>0.12</v>
      </c>
      <c r="R24" s="63">
        <f t="shared" si="18"/>
        <v>0.12</v>
      </c>
      <c r="S24" s="63">
        <f t="shared" si="18"/>
        <v>0.12</v>
      </c>
      <c r="T24" s="63">
        <f t="shared" si="18"/>
        <v>0.12</v>
      </c>
      <c r="U24" s="63">
        <f t="shared" si="18"/>
        <v>0.12</v>
      </c>
      <c r="V24" s="63">
        <f t="shared" si="18"/>
        <v>0.12</v>
      </c>
      <c r="W24" s="63">
        <f t="shared" si="18"/>
        <v>0.12</v>
      </c>
      <c r="X24" s="63">
        <f t="shared" si="18"/>
        <v>0.12</v>
      </c>
      <c r="Y24" s="63">
        <f t="shared" si="18"/>
        <v>0.12</v>
      </c>
      <c r="Z24" s="63">
        <f t="shared" si="18"/>
        <v>0.12</v>
      </c>
      <c r="AA24" s="63">
        <f t="shared" si="18"/>
        <v>0.12</v>
      </c>
      <c r="AB24" s="63">
        <f t="shared" si="18"/>
        <v>0.12</v>
      </c>
      <c r="AC24" s="63">
        <f t="shared" si="18"/>
        <v>0.12</v>
      </c>
      <c r="AD24" s="63">
        <f t="shared" si="18"/>
        <v>0.12</v>
      </c>
      <c r="AE24" s="63">
        <f t="shared" si="18"/>
        <v>0.12</v>
      </c>
      <c r="AF24" s="63">
        <f t="shared" si="18"/>
        <v>0.12</v>
      </c>
      <c r="AG24" s="63">
        <f t="shared" si="18"/>
        <v>0.12</v>
      </c>
      <c r="AH24" s="63">
        <f t="shared" si="18"/>
        <v>0.12</v>
      </c>
      <c r="AI24" s="63">
        <f t="shared" si="18"/>
        <v>0.12</v>
      </c>
      <c r="AJ24" s="63">
        <f t="shared" si="18"/>
        <v>0.12</v>
      </c>
      <c r="AK24" s="63">
        <f t="shared" si="18"/>
        <v>0.12</v>
      </c>
      <c r="AL24" s="63">
        <f t="shared" si="18"/>
        <v>0.12</v>
      </c>
    </row>
    <row r="25" spans="1:39" ht="24.95" customHeight="1" x14ac:dyDescent="0.35">
      <c r="A25" s="68">
        <v>2.5</v>
      </c>
      <c r="B25" s="51" t="s">
        <v>35</v>
      </c>
      <c r="C25" s="67">
        <f>$A$25</f>
        <v>2.5</v>
      </c>
      <c r="D25" s="67">
        <f t="shared" ref="D25:T25" si="19">$A$25</f>
        <v>2.5</v>
      </c>
      <c r="E25" s="67">
        <f t="shared" si="19"/>
        <v>2.5</v>
      </c>
      <c r="F25" s="67">
        <f t="shared" si="19"/>
        <v>2.5</v>
      </c>
      <c r="G25" s="67">
        <f t="shared" si="19"/>
        <v>2.5</v>
      </c>
      <c r="H25" s="67">
        <f t="shared" si="19"/>
        <v>2.5</v>
      </c>
      <c r="I25" s="67">
        <f t="shared" si="19"/>
        <v>2.5</v>
      </c>
      <c r="J25" s="67">
        <f t="shared" si="19"/>
        <v>2.5</v>
      </c>
      <c r="K25" s="67">
        <f t="shared" si="19"/>
        <v>2.5</v>
      </c>
      <c r="L25" s="67">
        <f t="shared" si="19"/>
        <v>2.5</v>
      </c>
      <c r="M25" s="67">
        <f t="shared" si="19"/>
        <v>2.5</v>
      </c>
      <c r="N25" s="67">
        <f t="shared" si="19"/>
        <v>2.5</v>
      </c>
      <c r="O25" s="67">
        <f t="shared" si="19"/>
        <v>2.5</v>
      </c>
      <c r="P25" s="67">
        <f t="shared" si="19"/>
        <v>2.5</v>
      </c>
      <c r="Q25" s="67">
        <f t="shared" si="19"/>
        <v>2.5</v>
      </c>
      <c r="R25" s="67">
        <f t="shared" si="19"/>
        <v>2.5</v>
      </c>
      <c r="S25" s="67">
        <f t="shared" si="19"/>
        <v>2.5</v>
      </c>
      <c r="T25" s="67">
        <f t="shared" si="19"/>
        <v>2.5</v>
      </c>
      <c r="U25" s="67">
        <f>$A$25+0.5</f>
        <v>3</v>
      </c>
      <c r="V25" s="67">
        <f t="shared" ref="V25:AL25" si="20">$A$25+0.5</f>
        <v>3</v>
      </c>
      <c r="W25" s="67">
        <f t="shared" si="20"/>
        <v>3</v>
      </c>
      <c r="X25" s="67">
        <f t="shared" si="20"/>
        <v>3</v>
      </c>
      <c r="Y25" s="67">
        <f t="shared" si="20"/>
        <v>3</v>
      </c>
      <c r="Z25" s="67">
        <f t="shared" si="20"/>
        <v>3</v>
      </c>
      <c r="AA25" s="67">
        <f t="shared" si="20"/>
        <v>3</v>
      </c>
      <c r="AB25" s="67">
        <f t="shared" si="20"/>
        <v>3</v>
      </c>
      <c r="AC25" s="67">
        <f t="shared" si="20"/>
        <v>3</v>
      </c>
      <c r="AD25" s="67">
        <f t="shared" si="20"/>
        <v>3</v>
      </c>
      <c r="AE25" s="67">
        <f t="shared" si="20"/>
        <v>3</v>
      </c>
      <c r="AF25" s="67">
        <f t="shared" si="20"/>
        <v>3</v>
      </c>
      <c r="AG25" s="67">
        <f t="shared" si="20"/>
        <v>3</v>
      </c>
      <c r="AH25" s="67">
        <f t="shared" si="20"/>
        <v>3</v>
      </c>
      <c r="AI25" s="67">
        <f t="shared" si="20"/>
        <v>3</v>
      </c>
      <c r="AJ25" s="67">
        <f t="shared" si="20"/>
        <v>3</v>
      </c>
      <c r="AK25" s="67">
        <f t="shared" si="20"/>
        <v>3</v>
      </c>
      <c r="AL25" s="67">
        <f t="shared" si="20"/>
        <v>3</v>
      </c>
    </row>
    <row r="26" spans="1:39" ht="23.45" customHeight="1" x14ac:dyDescent="0.35">
      <c r="A26" s="68">
        <v>3</v>
      </c>
      <c r="B26" s="51" t="s">
        <v>38</v>
      </c>
      <c r="C26" s="67">
        <f>$A$26</f>
        <v>3</v>
      </c>
      <c r="D26" s="67">
        <f t="shared" ref="D26:T26" si="21">$A$26</f>
        <v>3</v>
      </c>
      <c r="E26" s="67">
        <f t="shared" si="21"/>
        <v>3</v>
      </c>
      <c r="F26" s="67">
        <f t="shared" si="21"/>
        <v>3</v>
      </c>
      <c r="G26" s="67">
        <f t="shared" si="21"/>
        <v>3</v>
      </c>
      <c r="H26" s="67">
        <f t="shared" si="21"/>
        <v>3</v>
      </c>
      <c r="I26" s="67">
        <f t="shared" si="21"/>
        <v>3</v>
      </c>
      <c r="J26" s="67">
        <f t="shared" si="21"/>
        <v>3</v>
      </c>
      <c r="K26" s="67">
        <f t="shared" si="21"/>
        <v>3</v>
      </c>
      <c r="L26" s="67">
        <f t="shared" si="21"/>
        <v>3</v>
      </c>
      <c r="M26" s="67">
        <f t="shared" si="21"/>
        <v>3</v>
      </c>
      <c r="N26" s="67">
        <f t="shared" si="21"/>
        <v>3</v>
      </c>
      <c r="O26" s="67">
        <f t="shared" si="21"/>
        <v>3</v>
      </c>
      <c r="P26" s="67">
        <f t="shared" si="21"/>
        <v>3</v>
      </c>
      <c r="Q26" s="67">
        <f t="shared" si="21"/>
        <v>3</v>
      </c>
      <c r="R26" s="67">
        <f t="shared" si="21"/>
        <v>3</v>
      </c>
      <c r="S26" s="67">
        <f t="shared" si="21"/>
        <v>3</v>
      </c>
      <c r="T26" s="67">
        <f t="shared" si="21"/>
        <v>3</v>
      </c>
      <c r="U26" s="67">
        <f>$A$26+0.5</f>
        <v>3.5</v>
      </c>
      <c r="V26" s="67">
        <f t="shared" ref="V26:AL26" si="22">$A$26+0.5</f>
        <v>3.5</v>
      </c>
      <c r="W26" s="67">
        <f t="shared" si="22"/>
        <v>3.5</v>
      </c>
      <c r="X26" s="67">
        <f t="shared" si="22"/>
        <v>3.5</v>
      </c>
      <c r="Y26" s="67">
        <f t="shared" si="22"/>
        <v>3.5</v>
      </c>
      <c r="Z26" s="67">
        <f t="shared" si="22"/>
        <v>3.5</v>
      </c>
      <c r="AA26" s="67">
        <f t="shared" si="22"/>
        <v>3.5</v>
      </c>
      <c r="AB26" s="67">
        <f t="shared" si="22"/>
        <v>3.5</v>
      </c>
      <c r="AC26" s="67">
        <f t="shared" si="22"/>
        <v>3.5</v>
      </c>
      <c r="AD26" s="67">
        <f t="shared" si="22"/>
        <v>3.5</v>
      </c>
      <c r="AE26" s="67">
        <f t="shared" si="22"/>
        <v>3.5</v>
      </c>
      <c r="AF26" s="67">
        <f t="shared" si="22"/>
        <v>3.5</v>
      </c>
      <c r="AG26" s="67">
        <f t="shared" si="22"/>
        <v>3.5</v>
      </c>
      <c r="AH26" s="67">
        <f t="shared" si="22"/>
        <v>3.5</v>
      </c>
      <c r="AI26" s="67">
        <f t="shared" si="22"/>
        <v>3.5</v>
      </c>
      <c r="AJ26" s="67">
        <f t="shared" si="22"/>
        <v>3.5</v>
      </c>
      <c r="AK26" s="67">
        <f t="shared" si="22"/>
        <v>3.5</v>
      </c>
      <c r="AL26" s="67">
        <f t="shared" si="22"/>
        <v>3.5</v>
      </c>
    </row>
    <row r="27" spans="1:39" ht="18.75" x14ac:dyDescent="0.35">
      <c r="A27" s="68">
        <v>0.85</v>
      </c>
      <c r="B27" s="51" t="s">
        <v>41</v>
      </c>
      <c r="C27" s="73">
        <f>$A$27</f>
        <v>0.85</v>
      </c>
      <c r="D27" s="73">
        <f>$A$27</f>
        <v>0.85</v>
      </c>
      <c r="E27" s="73">
        <f>D27-0.05</f>
        <v>0.79999999999999993</v>
      </c>
      <c r="F27" s="73">
        <f>E27-0.05</f>
        <v>0.74999999999999989</v>
      </c>
      <c r="G27" s="73">
        <f t="shared" ref="G27:K27" si="23">F27-0.05</f>
        <v>0.69999999999999984</v>
      </c>
      <c r="H27" s="73">
        <f t="shared" si="23"/>
        <v>0.6499999999999998</v>
      </c>
      <c r="I27" s="73">
        <f t="shared" si="23"/>
        <v>0.59999999999999976</v>
      </c>
      <c r="J27" s="73">
        <f t="shared" si="23"/>
        <v>0.54999999999999971</v>
      </c>
      <c r="K27" s="73">
        <f t="shared" si="23"/>
        <v>0.49999999999999972</v>
      </c>
      <c r="L27" s="73">
        <f>K27</f>
        <v>0.49999999999999972</v>
      </c>
      <c r="M27" s="73">
        <f t="shared" ref="M27:AL27" si="24">L27</f>
        <v>0.49999999999999972</v>
      </c>
      <c r="N27" s="73">
        <f t="shared" si="24"/>
        <v>0.49999999999999972</v>
      </c>
      <c r="O27" s="73">
        <f t="shared" si="24"/>
        <v>0.49999999999999972</v>
      </c>
      <c r="P27" s="73">
        <f t="shared" si="24"/>
        <v>0.49999999999999972</v>
      </c>
      <c r="Q27" s="73">
        <f t="shared" si="24"/>
        <v>0.49999999999999972</v>
      </c>
      <c r="R27" s="73">
        <f t="shared" si="24"/>
        <v>0.49999999999999972</v>
      </c>
      <c r="S27" s="73">
        <f t="shared" si="24"/>
        <v>0.49999999999999972</v>
      </c>
      <c r="T27" s="73">
        <f t="shared" si="24"/>
        <v>0.49999999999999972</v>
      </c>
      <c r="U27" s="73">
        <f t="shared" si="24"/>
        <v>0.49999999999999972</v>
      </c>
      <c r="V27" s="73">
        <f t="shared" si="24"/>
        <v>0.49999999999999972</v>
      </c>
      <c r="W27" s="73">
        <f t="shared" si="24"/>
        <v>0.49999999999999972</v>
      </c>
      <c r="X27" s="73">
        <f t="shared" si="24"/>
        <v>0.49999999999999972</v>
      </c>
      <c r="Y27" s="73">
        <f t="shared" si="24"/>
        <v>0.49999999999999972</v>
      </c>
      <c r="Z27" s="73">
        <f t="shared" si="24"/>
        <v>0.49999999999999972</v>
      </c>
      <c r="AA27" s="73">
        <f t="shared" si="24"/>
        <v>0.49999999999999972</v>
      </c>
      <c r="AB27" s="73">
        <f t="shared" si="24"/>
        <v>0.49999999999999972</v>
      </c>
      <c r="AC27" s="73">
        <f t="shared" si="24"/>
        <v>0.49999999999999972</v>
      </c>
      <c r="AD27" s="73">
        <f t="shared" si="24"/>
        <v>0.49999999999999972</v>
      </c>
      <c r="AE27" s="73">
        <f t="shared" si="24"/>
        <v>0.49999999999999972</v>
      </c>
      <c r="AF27" s="73">
        <f t="shared" si="24"/>
        <v>0.49999999999999972</v>
      </c>
      <c r="AG27" s="73">
        <f t="shared" si="24"/>
        <v>0.49999999999999972</v>
      </c>
      <c r="AH27" s="73">
        <f t="shared" si="24"/>
        <v>0.49999999999999972</v>
      </c>
      <c r="AI27" s="73">
        <f t="shared" si="24"/>
        <v>0.49999999999999972</v>
      </c>
      <c r="AJ27" s="73">
        <f t="shared" si="24"/>
        <v>0.49999999999999972</v>
      </c>
      <c r="AK27" s="73">
        <f t="shared" si="24"/>
        <v>0.49999999999999972</v>
      </c>
      <c r="AL27" s="73">
        <f t="shared" si="24"/>
        <v>0.49999999999999972</v>
      </c>
      <c r="AM27" s="45"/>
    </row>
    <row r="28" spans="1:39" ht="24" customHeight="1" x14ac:dyDescent="0.35">
      <c r="A28" s="78">
        <v>125</v>
      </c>
      <c r="B28" s="51" t="s">
        <v>42</v>
      </c>
      <c r="C28" s="64">
        <f ca="1">$A$28 - (ROUND($C$29,0)-ROUND(C29,0))*10</f>
        <v>125</v>
      </c>
      <c r="D28" s="64">
        <f t="shared" ref="D28:AL28" ca="1" si="25">$A$28 - (ROUND($C$29,0)-ROUND(D29,0))*10</f>
        <v>105</v>
      </c>
      <c r="E28" s="64">
        <f t="shared" ca="1" si="25"/>
        <v>95</v>
      </c>
      <c r="F28" s="64">
        <f t="shared" ca="1" si="25"/>
        <v>85</v>
      </c>
      <c r="G28" s="64">
        <f t="shared" ca="1" si="25"/>
        <v>75</v>
      </c>
      <c r="H28" s="64">
        <f t="shared" ca="1" si="25"/>
        <v>65</v>
      </c>
      <c r="I28" s="64">
        <f t="shared" ca="1" si="25"/>
        <v>65</v>
      </c>
      <c r="J28" s="64">
        <f t="shared" ca="1" si="25"/>
        <v>65</v>
      </c>
      <c r="K28" s="64">
        <f t="shared" ca="1" si="25"/>
        <v>65</v>
      </c>
      <c r="L28" s="64">
        <f t="shared" ca="1" si="25"/>
        <v>65</v>
      </c>
      <c r="M28" s="64">
        <f t="shared" ca="1" si="25"/>
        <v>65</v>
      </c>
      <c r="N28" s="64">
        <f t="shared" ca="1" si="25"/>
        <v>65</v>
      </c>
      <c r="O28" s="64">
        <f t="shared" ca="1" si="25"/>
        <v>65</v>
      </c>
      <c r="P28" s="64">
        <f t="shared" ca="1" si="25"/>
        <v>65</v>
      </c>
      <c r="Q28" s="64">
        <f t="shared" ca="1" si="25"/>
        <v>65</v>
      </c>
      <c r="R28" s="64">
        <f t="shared" ca="1" si="25"/>
        <v>75</v>
      </c>
      <c r="S28" s="64">
        <f t="shared" ca="1" si="25"/>
        <v>75</v>
      </c>
      <c r="T28" s="64">
        <f t="shared" ca="1" si="25"/>
        <v>75</v>
      </c>
      <c r="U28" s="64">
        <f t="shared" ca="1" si="25"/>
        <v>75</v>
      </c>
      <c r="V28" s="64">
        <f t="shared" ca="1" si="25"/>
        <v>75</v>
      </c>
      <c r="W28" s="64">
        <f t="shared" ca="1" si="25"/>
        <v>75</v>
      </c>
      <c r="X28" s="64">
        <f t="shared" ca="1" si="25"/>
        <v>75</v>
      </c>
      <c r="Y28" s="64">
        <f t="shared" ca="1" si="25"/>
        <v>75</v>
      </c>
      <c r="Z28" s="64">
        <f t="shared" ca="1" si="25"/>
        <v>75</v>
      </c>
      <c r="AA28" s="64">
        <f t="shared" ca="1" si="25"/>
        <v>75</v>
      </c>
      <c r="AB28" s="64">
        <f t="shared" ca="1" si="25"/>
        <v>75</v>
      </c>
      <c r="AC28" s="64">
        <f t="shared" ca="1" si="25"/>
        <v>75</v>
      </c>
      <c r="AD28" s="64">
        <f t="shared" ca="1" si="25"/>
        <v>75</v>
      </c>
      <c r="AE28" s="64">
        <f t="shared" ca="1" si="25"/>
        <v>75</v>
      </c>
      <c r="AF28" s="64">
        <f t="shared" ca="1" si="25"/>
        <v>75</v>
      </c>
      <c r="AG28" s="64">
        <f t="shared" ca="1" si="25"/>
        <v>75</v>
      </c>
      <c r="AH28" s="64">
        <f t="shared" ca="1" si="25"/>
        <v>75</v>
      </c>
      <c r="AI28" s="64">
        <f t="shared" ca="1" si="25"/>
        <v>75</v>
      </c>
      <c r="AJ28" s="64">
        <f t="shared" ca="1" si="25"/>
        <v>75</v>
      </c>
      <c r="AK28" s="64">
        <f t="shared" ca="1" si="25"/>
        <v>75</v>
      </c>
      <c r="AL28" s="64">
        <f t="shared" ca="1" si="25"/>
        <v>75</v>
      </c>
    </row>
    <row r="29" spans="1:39" ht="18.75" x14ac:dyDescent="0.35">
      <c r="A29" s="57"/>
      <c r="B29" s="95" t="s">
        <v>45</v>
      </c>
      <c r="C29" s="65">
        <f t="shared" ref="C29:AL29" ca="1" si="26">(C20/C30)/31</f>
        <v>12.507699830220714</v>
      </c>
      <c r="D29" s="65">
        <f t="shared" ca="1" si="26"/>
        <v>11.392230767962813</v>
      </c>
      <c r="E29" s="65">
        <f t="shared" ca="1" si="26"/>
        <v>9.9311371136322411</v>
      </c>
      <c r="F29" s="65">
        <f t="shared" ca="1" si="26"/>
        <v>8.806329463360953</v>
      </c>
      <c r="G29" s="65">
        <f t="shared" ca="1" si="26"/>
        <v>7.9097053268971091</v>
      </c>
      <c r="H29" s="65">
        <f t="shared" ca="1" si="26"/>
        <v>7.1714406955781884</v>
      </c>
      <c r="I29" s="65">
        <f t="shared" ca="1" si="26"/>
        <v>6.5461456137433061</v>
      </c>
      <c r="J29" s="65">
        <f t="shared" ca="1" si="26"/>
        <v>6.6044534950540967</v>
      </c>
      <c r="K29" s="65">
        <f t="shared" ca="1" si="26"/>
        <v>6.6857120432803256</v>
      </c>
      <c r="L29" s="65">
        <f t="shared" ca="1" si="26"/>
        <v>6.7838449189735348</v>
      </c>
      <c r="M29" s="65">
        <f t="shared" ca="1" si="26"/>
        <v>6.894614861732328</v>
      </c>
      <c r="N29" s="65">
        <f t="shared" ca="1" si="26"/>
        <v>7.0150722900324993</v>
      </c>
      <c r="O29" s="65">
        <f t="shared" ca="1" si="26"/>
        <v>7.1431693275790167</v>
      </c>
      <c r="P29" s="65">
        <f t="shared" ca="1" si="26"/>
        <v>7.277489628352706</v>
      </c>
      <c r="Q29" s="65">
        <f t="shared" ca="1" si="26"/>
        <v>7.4170592608752361</v>
      </c>
      <c r="R29" s="65">
        <f t="shared" ca="1" si="26"/>
        <v>7.5612143340615718</v>
      </c>
      <c r="S29" s="65">
        <f t="shared" ca="1" si="26"/>
        <v>7.7095083423209871</v>
      </c>
      <c r="T29" s="65">
        <f t="shared" ca="1" si="26"/>
        <v>7.8616473142721324</v>
      </c>
      <c r="U29" s="65">
        <f t="shared" ca="1" si="26"/>
        <v>7.8602396315008685</v>
      </c>
      <c r="V29" s="65">
        <f t="shared" ca="1" si="26"/>
        <v>7.8592735746970579</v>
      </c>
      <c r="W29" s="65">
        <f t="shared" ca="1" si="26"/>
        <v>7.8586105945375815</v>
      </c>
      <c r="X29" s="65">
        <f t="shared" ca="1" si="26"/>
        <v>7.858155608153627</v>
      </c>
      <c r="Y29" s="65">
        <f t="shared" ca="1" si="26"/>
        <v>7.8578433625960109</v>
      </c>
      <c r="Z29" s="65">
        <f t="shared" ca="1" si="26"/>
        <v>7.8576290764290206</v>
      </c>
      <c r="AA29" s="65">
        <f t="shared" ca="1" si="26"/>
        <v>7.857482017294811</v>
      </c>
      <c r="AB29" s="65">
        <f t="shared" ca="1" si="26"/>
        <v>7.8573810943595683</v>
      </c>
      <c r="AC29" s="65">
        <f t="shared" ca="1" si="26"/>
        <v>7.8573118335216563</v>
      </c>
      <c r="AD29" s="65">
        <f t="shared" ca="1" si="26"/>
        <v>7.8572643015740704</v>
      </c>
      <c r="AE29" s="65">
        <f t="shared" ca="1" si="26"/>
        <v>7.85723168161004</v>
      </c>
      <c r="AF29" s="65">
        <f t="shared" ca="1" si="26"/>
        <v>7.8572092953602164</v>
      </c>
      <c r="AG29" s="65">
        <f t="shared" ca="1" si="26"/>
        <v>7.8571939322475908</v>
      </c>
      <c r="AH29" s="65">
        <f t="shared" ca="1" si="26"/>
        <v>7.8571833889350051</v>
      </c>
      <c r="AI29" s="65">
        <f t="shared" ca="1" si="26"/>
        <v>7.8571761533283295</v>
      </c>
      <c r="AJ29" s="65">
        <f t="shared" ca="1" si="26"/>
        <v>7.8571711877159043</v>
      </c>
      <c r="AK29" s="65">
        <f t="shared" ca="1" si="26"/>
        <v>7.8571677799426718</v>
      </c>
      <c r="AL29" s="65">
        <f t="shared" ca="1" si="26"/>
        <v>7.8571654412747671</v>
      </c>
    </row>
    <row r="30" spans="1:39" ht="18.75" x14ac:dyDescent="0.35">
      <c r="A30" s="78">
        <v>95</v>
      </c>
      <c r="B30" s="76" t="s">
        <v>43</v>
      </c>
      <c r="C30" s="65">
        <f>A30</f>
        <v>95</v>
      </c>
      <c r="D30" s="65">
        <f>C30*103%</f>
        <v>97.850000000000009</v>
      </c>
      <c r="E30" s="65">
        <f>D30*110%</f>
        <v>107.63500000000002</v>
      </c>
      <c r="F30" s="65">
        <f>E30*110%</f>
        <v>118.39850000000003</v>
      </c>
      <c r="G30" s="65">
        <f t="shared" ref="G30:I30" si="27">F30*110%</f>
        <v>130.23835000000005</v>
      </c>
      <c r="H30" s="65">
        <f t="shared" si="27"/>
        <v>143.26218500000007</v>
      </c>
      <c r="I30" s="65">
        <f t="shared" si="27"/>
        <v>157.58840350000008</v>
      </c>
      <c r="J30" s="65">
        <f>I30</f>
        <v>157.58840350000008</v>
      </c>
      <c r="K30" s="65">
        <f t="shared" ref="K30:T30" si="28">J30</f>
        <v>157.58840350000008</v>
      </c>
      <c r="L30" s="65">
        <f t="shared" si="28"/>
        <v>157.58840350000008</v>
      </c>
      <c r="M30" s="65">
        <f t="shared" si="28"/>
        <v>157.58840350000008</v>
      </c>
      <c r="N30" s="65">
        <f t="shared" si="28"/>
        <v>157.58840350000008</v>
      </c>
      <c r="O30" s="65">
        <f t="shared" si="28"/>
        <v>157.58840350000008</v>
      </c>
      <c r="P30" s="65">
        <f t="shared" si="28"/>
        <v>157.58840350000008</v>
      </c>
      <c r="Q30" s="65">
        <f t="shared" si="28"/>
        <v>157.58840350000008</v>
      </c>
      <c r="R30" s="65">
        <f t="shared" si="28"/>
        <v>157.58840350000008</v>
      </c>
      <c r="S30" s="65">
        <f t="shared" si="28"/>
        <v>157.58840350000008</v>
      </c>
      <c r="T30" s="65">
        <f t="shared" si="28"/>
        <v>157.58840350000008</v>
      </c>
      <c r="U30" s="65">
        <f>T30*102%</f>
        <v>160.74017157000009</v>
      </c>
      <c r="V30" s="65">
        <f t="shared" ref="V30:AL30" si="29">U30*102%</f>
        <v>163.9549750014001</v>
      </c>
      <c r="W30" s="65">
        <f t="shared" si="29"/>
        <v>167.2340745014281</v>
      </c>
      <c r="X30" s="65">
        <f t="shared" si="29"/>
        <v>170.57875599145666</v>
      </c>
      <c r="Y30" s="65">
        <f t="shared" si="29"/>
        <v>173.9903311112858</v>
      </c>
      <c r="Z30" s="65">
        <f t="shared" si="29"/>
        <v>177.47013773351151</v>
      </c>
      <c r="AA30" s="65">
        <f t="shared" si="29"/>
        <v>181.01954048818175</v>
      </c>
      <c r="AB30" s="65">
        <f t="shared" si="29"/>
        <v>184.6399312979454</v>
      </c>
      <c r="AC30" s="65">
        <f t="shared" si="29"/>
        <v>188.33272992390431</v>
      </c>
      <c r="AD30" s="65">
        <f t="shared" si="29"/>
        <v>192.09938452238239</v>
      </c>
      <c r="AE30" s="65">
        <f t="shared" si="29"/>
        <v>195.94137221283003</v>
      </c>
      <c r="AF30" s="65">
        <f t="shared" si="29"/>
        <v>199.86019965708664</v>
      </c>
      <c r="AG30" s="65">
        <f t="shared" si="29"/>
        <v>203.85740365022838</v>
      </c>
      <c r="AH30" s="65">
        <f t="shared" si="29"/>
        <v>207.93455172323294</v>
      </c>
      <c r="AI30" s="65">
        <f t="shared" si="29"/>
        <v>212.0932427576976</v>
      </c>
      <c r="AJ30" s="65">
        <f t="shared" si="29"/>
        <v>216.33510761285154</v>
      </c>
      <c r="AK30" s="65">
        <f t="shared" si="29"/>
        <v>220.66180976510859</v>
      </c>
      <c r="AL30" s="65">
        <f t="shared" si="29"/>
        <v>225.07504596041076</v>
      </c>
    </row>
    <row r="31" spans="1:39" ht="18.75" x14ac:dyDescent="0.35">
      <c r="A31" s="78">
        <v>8</v>
      </c>
      <c r="B31" s="76" t="s">
        <v>46</v>
      </c>
      <c r="C31" s="65">
        <f>$A$31</f>
        <v>8</v>
      </c>
      <c r="D31" s="65">
        <f t="shared" ref="D31:K31" si="30">$A$31</f>
        <v>8</v>
      </c>
      <c r="E31" s="65">
        <f t="shared" si="30"/>
        <v>8</v>
      </c>
      <c r="F31" s="65">
        <f t="shared" si="30"/>
        <v>8</v>
      </c>
      <c r="G31" s="65">
        <f t="shared" si="30"/>
        <v>8</v>
      </c>
      <c r="H31" s="65">
        <f t="shared" si="30"/>
        <v>8</v>
      </c>
      <c r="I31" s="65">
        <f t="shared" si="30"/>
        <v>8</v>
      </c>
      <c r="J31" s="65">
        <f t="shared" si="30"/>
        <v>8</v>
      </c>
      <c r="K31" s="65">
        <f t="shared" si="30"/>
        <v>8</v>
      </c>
      <c r="L31" s="65">
        <f>$A$31+1</f>
        <v>9</v>
      </c>
      <c r="M31" s="65">
        <f t="shared" ref="M31:P31" si="31">$A$31+1</f>
        <v>9</v>
      </c>
      <c r="N31" s="65">
        <f t="shared" si="31"/>
        <v>9</v>
      </c>
      <c r="O31" s="65">
        <f t="shared" si="31"/>
        <v>9</v>
      </c>
      <c r="P31" s="65">
        <f t="shared" si="31"/>
        <v>9</v>
      </c>
      <c r="Q31" s="65">
        <f>$A$31+2</f>
        <v>10</v>
      </c>
      <c r="R31" s="65">
        <f t="shared" ref="R31:W31" si="32">$A$31+2</f>
        <v>10</v>
      </c>
      <c r="S31" s="65">
        <f t="shared" si="32"/>
        <v>10</v>
      </c>
      <c r="T31" s="65">
        <f t="shared" si="32"/>
        <v>10</v>
      </c>
      <c r="U31" s="65">
        <f t="shared" si="32"/>
        <v>10</v>
      </c>
      <c r="V31" s="65">
        <f t="shared" si="32"/>
        <v>10</v>
      </c>
      <c r="W31" s="65">
        <f t="shared" si="32"/>
        <v>10</v>
      </c>
      <c r="X31" s="65">
        <f>$A$31+3</f>
        <v>11</v>
      </c>
      <c r="Y31" s="65">
        <f t="shared" ref="Y31:AD31" si="33">$A$31+3</f>
        <v>11</v>
      </c>
      <c r="Z31" s="65">
        <f t="shared" si="33"/>
        <v>11</v>
      </c>
      <c r="AA31" s="65">
        <f t="shared" si="33"/>
        <v>11</v>
      </c>
      <c r="AB31" s="65">
        <f t="shared" si="33"/>
        <v>11</v>
      </c>
      <c r="AC31" s="65">
        <f t="shared" si="33"/>
        <v>11</v>
      </c>
      <c r="AD31" s="65">
        <f t="shared" si="33"/>
        <v>11</v>
      </c>
      <c r="AE31" s="65">
        <f>$A$31+4</f>
        <v>12</v>
      </c>
      <c r="AF31" s="65">
        <f t="shared" ref="AF31:AL31" si="34">$A$31+4</f>
        <v>12</v>
      </c>
      <c r="AG31" s="65">
        <f t="shared" si="34"/>
        <v>12</v>
      </c>
      <c r="AH31" s="65">
        <f t="shared" si="34"/>
        <v>12</v>
      </c>
      <c r="AI31" s="65">
        <f t="shared" si="34"/>
        <v>12</v>
      </c>
      <c r="AJ31" s="65">
        <f t="shared" si="34"/>
        <v>12</v>
      </c>
      <c r="AK31" s="65">
        <f t="shared" si="34"/>
        <v>12</v>
      </c>
      <c r="AL31" s="65">
        <f t="shared" si="34"/>
        <v>12</v>
      </c>
    </row>
    <row r="32" spans="1:39" ht="15.75" x14ac:dyDescent="0.3">
      <c r="A32" s="77">
        <v>7.5</v>
      </c>
      <c r="B32" s="66" t="s">
        <v>47</v>
      </c>
      <c r="C32" s="80">
        <f>$A$32</f>
        <v>7.5</v>
      </c>
      <c r="D32" s="80">
        <f t="shared" ref="D32:N32" si="35">$A$32</f>
        <v>7.5</v>
      </c>
      <c r="E32" s="80">
        <f t="shared" si="35"/>
        <v>7.5</v>
      </c>
      <c r="F32" s="80">
        <f t="shared" si="35"/>
        <v>7.5</v>
      </c>
      <c r="G32" s="80">
        <f t="shared" si="35"/>
        <v>7.5</v>
      </c>
      <c r="H32" s="80">
        <f t="shared" si="35"/>
        <v>7.5</v>
      </c>
      <c r="I32" s="80">
        <f t="shared" si="35"/>
        <v>7.5</v>
      </c>
      <c r="J32" s="80">
        <f t="shared" si="35"/>
        <v>7.5</v>
      </c>
      <c r="K32" s="80">
        <f t="shared" si="35"/>
        <v>7.5</v>
      </c>
      <c r="L32" s="80">
        <f t="shared" si="35"/>
        <v>7.5</v>
      </c>
      <c r="M32" s="80">
        <f t="shared" si="35"/>
        <v>7.5</v>
      </c>
      <c r="N32" s="80">
        <f t="shared" si="35"/>
        <v>7.5</v>
      </c>
      <c r="O32" s="80">
        <f>$A$32*105%</f>
        <v>7.875</v>
      </c>
      <c r="P32" s="80">
        <f t="shared" ref="P32:Z32" si="36">$A$32*105%</f>
        <v>7.875</v>
      </c>
      <c r="Q32" s="80">
        <f t="shared" si="36"/>
        <v>7.875</v>
      </c>
      <c r="R32" s="80">
        <f t="shared" si="36"/>
        <v>7.875</v>
      </c>
      <c r="S32" s="80">
        <f t="shared" si="36"/>
        <v>7.875</v>
      </c>
      <c r="T32" s="80">
        <f t="shared" si="36"/>
        <v>7.875</v>
      </c>
      <c r="U32" s="80">
        <f t="shared" si="36"/>
        <v>7.875</v>
      </c>
      <c r="V32" s="80">
        <f t="shared" si="36"/>
        <v>7.875</v>
      </c>
      <c r="W32" s="80">
        <f t="shared" si="36"/>
        <v>7.875</v>
      </c>
      <c r="X32" s="80">
        <f t="shared" si="36"/>
        <v>7.875</v>
      </c>
      <c r="Y32" s="80">
        <f t="shared" si="36"/>
        <v>7.875</v>
      </c>
      <c r="Z32" s="80">
        <f t="shared" si="36"/>
        <v>7.875</v>
      </c>
      <c r="AA32" s="80">
        <f>$A$32*112%</f>
        <v>8.4</v>
      </c>
      <c r="AB32" s="80">
        <f t="shared" ref="AB32:AL32" si="37">$A$32*112%</f>
        <v>8.4</v>
      </c>
      <c r="AC32" s="80">
        <f t="shared" si="37"/>
        <v>8.4</v>
      </c>
      <c r="AD32" s="80">
        <f t="shared" si="37"/>
        <v>8.4</v>
      </c>
      <c r="AE32" s="80">
        <f t="shared" si="37"/>
        <v>8.4</v>
      </c>
      <c r="AF32" s="80">
        <f t="shared" si="37"/>
        <v>8.4</v>
      </c>
      <c r="AG32" s="80">
        <f t="shared" si="37"/>
        <v>8.4</v>
      </c>
      <c r="AH32" s="80">
        <f t="shared" si="37"/>
        <v>8.4</v>
      </c>
      <c r="AI32" s="80">
        <f t="shared" si="37"/>
        <v>8.4</v>
      </c>
      <c r="AJ32" s="80">
        <f t="shared" si="37"/>
        <v>8.4</v>
      </c>
      <c r="AK32" s="80">
        <f t="shared" si="37"/>
        <v>8.4</v>
      </c>
      <c r="AL32" s="80">
        <f t="shared" si="37"/>
        <v>8.4</v>
      </c>
    </row>
    <row r="33" spans="1:39" ht="18" x14ac:dyDescent="0.35">
      <c r="A33" s="57"/>
      <c r="B33" s="57"/>
      <c r="C33" s="52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</row>
    <row r="34" spans="1:39" ht="26.45" customHeight="1" x14ac:dyDescent="0.35">
      <c r="A34" s="57"/>
      <c r="B34" s="49" t="s">
        <v>91</v>
      </c>
      <c r="C34" s="39">
        <f ca="1">SUM(C35:C40)</f>
        <v>191487.576</v>
      </c>
      <c r="D34" s="39">
        <f t="shared" ref="D34:AL34" ca="1" si="38">SUM(D35:D40)</f>
        <v>184384.05320000002</v>
      </c>
      <c r="E34" s="39">
        <f t="shared" ca="1" si="38"/>
        <v>180241.34013999999</v>
      </c>
      <c r="F34" s="39">
        <f t="shared" ca="1" si="38"/>
        <v>177708.486928</v>
      </c>
      <c r="G34" s="39">
        <f t="shared" ca="1" si="38"/>
        <v>176238.45512660002</v>
      </c>
      <c r="H34" s="39">
        <f t="shared" ca="1" si="38"/>
        <v>175442.02822764002</v>
      </c>
      <c r="I34" s="39">
        <f t="shared" ca="1" si="38"/>
        <v>176613.84037942841</v>
      </c>
      <c r="J34" s="39">
        <f t="shared" ca="1" si="38"/>
        <v>177260.81886748679</v>
      </c>
      <c r="K34" s="39">
        <f t="shared" ca="1" si="38"/>
        <v>178192.99068353683</v>
      </c>
      <c r="L34" s="39">
        <f t="shared" ca="1" si="38"/>
        <v>184689.75254315045</v>
      </c>
      <c r="M34" s="39">
        <f t="shared" ca="1" si="38"/>
        <v>186960.9395488085</v>
      </c>
      <c r="N34" s="39">
        <f t="shared" ca="1" si="38"/>
        <v>189370.29323077618</v>
      </c>
      <c r="O34" s="39">
        <f t="shared" ca="1" si="38"/>
        <v>196833.70740652553</v>
      </c>
      <c r="P34" s="39">
        <f t="shared" ca="1" si="38"/>
        <v>199499.62053972139</v>
      </c>
      <c r="Q34" s="39">
        <f t="shared" ca="1" si="38"/>
        <v>206870.66276269656</v>
      </c>
      <c r="R34" s="39">
        <f t="shared" ca="1" si="38"/>
        <v>211274.87744411203</v>
      </c>
      <c r="S34" s="39">
        <f t="shared" ca="1" si="38"/>
        <v>214175.36200874232</v>
      </c>
      <c r="T34" s="39">
        <f t="shared" ca="1" si="38"/>
        <v>217144.7673783658</v>
      </c>
      <c r="U34" s="39">
        <f t="shared" ca="1" si="38"/>
        <v>220417.58124022215</v>
      </c>
      <c r="V34" s="39">
        <f t="shared" ca="1" si="38"/>
        <v>223761.19782502894</v>
      </c>
      <c r="W34" s="39">
        <f t="shared" ca="1" si="38"/>
        <v>227175.42925353115</v>
      </c>
      <c r="X34" s="39">
        <f t="shared" ca="1" si="38"/>
        <v>235280.56506900291</v>
      </c>
      <c r="Y34" s="39">
        <f t="shared" ca="1" si="38"/>
        <v>238837.23743166379</v>
      </c>
      <c r="Z34" s="39">
        <f t="shared" ca="1" si="38"/>
        <v>242466.32692319361</v>
      </c>
      <c r="AA34" s="39">
        <f t="shared" ca="1" si="38"/>
        <v>253102.54456155756</v>
      </c>
      <c r="AB34" s="39">
        <f t="shared" ca="1" si="38"/>
        <v>256964.23777680803</v>
      </c>
      <c r="AC34" s="39">
        <f t="shared" ca="1" si="38"/>
        <v>260903.60515915771</v>
      </c>
      <c r="AD34" s="39">
        <f t="shared" ca="1" si="38"/>
        <v>264922.06810111034</v>
      </c>
      <c r="AE34" s="39">
        <f t="shared" ca="1" si="38"/>
        <v>273861.11605027114</v>
      </c>
      <c r="AF34" s="39">
        <f t="shared" ca="1" si="38"/>
        <v>278042.29598227364</v>
      </c>
      <c r="AG34" s="39">
        <f t="shared" ca="1" si="38"/>
        <v>282307.20522961701</v>
      </c>
      <c r="AH34" s="39">
        <f t="shared" ca="1" si="38"/>
        <v>286657.48666359787</v>
      </c>
      <c r="AI34" s="39">
        <f t="shared" ca="1" si="38"/>
        <v>291094.82552744186</v>
      </c>
      <c r="AJ34" s="39">
        <f t="shared" ca="1" si="38"/>
        <v>295620.94742939109</v>
      </c>
      <c r="AK34" s="39">
        <f t="shared" ca="1" si="38"/>
        <v>300237.61715195916</v>
      </c>
      <c r="AL34" s="39">
        <f t="shared" ca="1" si="38"/>
        <v>304946.6380367846</v>
      </c>
    </row>
    <row r="35" spans="1:39" ht="18.75" x14ac:dyDescent="0.35">
      <c r="A35" s="68">
        <v>5300</v>
      </c>
      <c r="B35" s="51" t="s">
        <v>95</v>
      </c>
      <c r="C35" s="47">
        <f>$A$35</f>
        <v>5300</v>
      </c>
      <c r="D35" s="47">
        <f t="shared" ref="D35:M35" si="39">$A$35</f>
        <v>5300</v>
      </c>
      <c r="E35" s="47">
        <f t="shared" si="39"/>
        <v>5300</v>
      </c>
      <c r="F35" s="47">
        <f t="shared" si="39"/>
        <v>5300</v>
      </c>
      <c r="G35" s="47">
        <f t="shared" si="39"/>
        <v>5300</v>
      </c>
      <c r="H35" s="47">
        <f t="shared" si="39"/>
        <v>5300</v>
      </c>
      <c r="I35" s="47">
        <f t="shared" si="39"/>
        <v>5300</v>
      </c>
      <c r="J35" s="47">
        <f t="shared" si="39"/>
        <v>5300</v>
      </c>
      <c r="K35" s="47">
        <f t="shared" si="39"/>
        <v>5300</v>
      </c>
      <c r="L35" s="47">
        <f t="shared" si="39"/>
        <v>5300</v>
      </c>
      <c r="M35" s="47">
        <f t="shared" si="39"/>
        <v>5300</v>
      </c>
      <c r="N35" s="47">
        <f>$A$35</f>
        <v>5300</v>
      </c>
      <c r="O35" s="47">
        <f>$A$35*110%</f>
        <v>5830.0000000000009</v>
      </c>
      <c r="P35" s="47">
        <f t="shared" ref="P35:Z35" si="40">$A$35*110%</f>
        <v>5830.0000000000009</v>
      </c>
      <c r="Q35" s="47">
        <f t="shared" si="40"/>
        <v>5830.0000000000009</v>
      </c>
      <c r="R35" s="47">
        <f t="shared" si="40"/>
        <v>5830.0000000000009</v>
      </c>
      <c r="S35" s="47">
        <f t="shared" si="40"/>
        <v>5830.0000000000009</v>
      </c>
      <c r="T35" s="47">
        <f t="shared" si="40"/>
        <v>5830.0000000000009</v>
      </c>
      <c r="U35" s="47">
        <f t="shared" si="40"/>
        <v>5830.0000000000009</v>
      </c>
      <c r="V35" s="47">
        <f t="shared" si="40"/>
        <v>5830.0000000000009</v>
      </c>
      <c r="W35" s="47">
        <f t="shared" si="40"/>
        <v>5830.0000000000009</v>
      </c>
      <c r="X35" s="47">
        <f t="shared" si="40"/>
        <v>5830.0000000000009</v>
      </c>
      <c r="Y35" s="47">
        <f t="shared" si="40"/>
        <v>5830.0000000000009</v>
      </c>
      <c r="Z35" s="47">
        <f t="shared" si="40"/>
        <v>5830.0000000000009</v>
      </c>
      <c r="AA35" s="47">
        <f>$A$35*115%</f>
        <v>6094.9999999999991</v>
      </c>
      <c r="AB35" s="47">
        <f t="shared" ref="AB35:AL35" si="41">$A$35*115%</f>
        <v>6094.9999999999991</v>
      </c>
      <c r="AC35" s="47">
        <f t="shared" si="41"/>
        <v>6094.9999999999991</v>
      </c>
      <c r="AD35" s="47">
        <f t="shared" si="41"/>
        <v>6094.9999999999991</v>
      </c>
      <c r="AE35" s="47">
        <f t="shared" si="41"/>
        <v>6094.9999999999991</v>
      </c>
      <c r="AF35" s="47">
        <f t="shared" si="41"/>
        <v>6094.9999999999991</v>
      </c>
      <c r="AG35" s="47">
        <f t="shared" si="41"/>
        <v>6094.9999999999991</v>
      </c>
      <c r="AH35" s="47">
        <f t="shared" si="41"/>
        <v>6094.9999999999991</v>
      </c>
      <c r="AI35" s="47">
        <f t="shared" si="41"/>
        <v>6094.9999999999991</v>
      </c>
      <c r="AJ35" s="47">
        <f t="shared" si="41"/>
        <v>6094.9999999999991</v>
      </c>
      <c r="AK35" s="47">
        <f t="shared" si="41"/>
        <v>6094.9999999999991</v>
      </c>
      <c r="AL35" s="47">
        <f t="shared" si="41"/>
        <v>6094.9999999999991</v>
      </c>
    </row>
    <row r="36" spans="1:39" ht="18.75" x14ac:dyDescent="0.35">
      <c r="A36" s="68">
        <v>4000</v>
      </c>
      <c r="B36" s="51" t="s">
        <v>119</v>
      </c>
      <c r="C36" s="47">
        <f>$A$36*C31</f>
        <v>32000</v>
      </c>
      <c r="D36" s="47">
        <f t="shared" ref="D36:N36" si="42">$A$36*D31</f>
        <v>32000</v>
      </c>
      <c r="E36" s="47">
        <f t="shared" si="42"/>
        <v>32000</v>
      </c>
      <c r="F36" s="47">
        <f t="shared" si="42"/>
        <v>32000</v>
      </c>
      <c r="G36" s="47">
        <f t="shared" si="42"/>
        <v>32000</v>
      </c>
      <c r="H36" s="47">
        <f t="shared" si="42"/>
        <v>32000</v>
      </c>
      <c r="I36" s="47">
        <f t="shared" si="42"/>
        <v>32000</v>
      </c>
      <c r="J36" s="47">
        <f t="shared" si="42"/>
        <v>32000</v>
      </c>
      <c r="K36" s="47">
        <f t="shared" si="42"/>
        <v>32000</v>
      </c>
      <c r="L36" s="47">
        <f t="shared" si="42"/>
        <v>36000</v>
      </c>
      <c r="M36" s="47">
        <f t="shared" si="42"/>
        <v>36000</v>
      </c>
      <c r="N36" s="47">
        <f t="shared" si="42"/>
        <v>36000</v>
      </c>
      <c r="O36" s="47">
        <f>$A$36*O31*105%</f>
        <v>37800</v>
      </c>
      <c r="P36" s="47">
        <f t="shared" ref="P36:Z36" si="43">$A$36*P31*105%</f>
        <v>37800</v>
      </c>
      <c r="Q36" s="47">
        <f t="shared" si="43"/>
        <v>42000</v>
      </c>
      <c r="R36" s="47">
        <f t="shared" si="43"/>
        <v>42000</v>
      </c>
      <c r="S36" s="47">
        <f t="shared" si="43"/>
        <v>42000</v>
      </c>
      <c r="T36" s="47">
        <f t="shared" si="43"/>
        <v>42000</v>
      </c>
      <c r="U36" s="47">
        <f t="shared" si="43"/>
        <v>42000</v>
      </c>
      <c r="V36" s="47">
        <f t="shared" si="43"/>
        <v>42000</v>
      </c>
      <c r="W36" s="47">
        <f t="shared" si="43"/>
        <v>42000</v>
      </c>
      <c r="X36" s="47">
        <f t="shared" si="43"/>
        <v>46200</v>
      </c>
      <c r="Y36" s="47">
        <f t="shared" si="43"/>
        <v>46200</v>
      </c>
      <c r="Z36" s="47">
        <f t="shared" si="43"/>
        <v>46200</v>
      </c>
      <c r="AA36" s="47">
        <f>$A$36*AA31*110%</f>
        <v>48400.000000000007</v>
      </c>
      <c r="AB36" s="47">
        <f t="shared" ref="AB36:AL36" si="44">$A$36*AB31*110%</f>
        <v>48400.000000000007</v>
      </c>
      <c r="AC36" s="47">
        <f t="shared" si="44"/>
        <v>48400.000000000007</v>
      </c>
      <c r="AD36" s="47">
        <f t="shared" si="44"/>
        <v>48400.000000000007</v>
      </c>
      <c r="AE36" s="47">
        <f t="shared" si="44"/>
        <v>52800.000000000007</v>
      </c>
      <c r="AF36" s="47">
        <f t="shared" si="44"/>
        <v>52800.000000000007</v>
      </c>
      <c r="AG36" s="47">
        <f t="shared" si="44"/>
        <v>52800.000000000007</v>
      </c>
      <c r="AH36" s="47">
        <f t="shared" si="44"/>
        <v>52800.000000000007</v>
      </c>
      <c r="AI36" s="47">
        <f t="shared" si="44"/>
        <v>52800.000000000007</v>
      </c>
      <c r="AJ36" s="47">
        <f t="shared" si="44"/>
        <v>52800.000000000007</v>
      </c>
      <c r="AK36" s="47">
        <f t="shared" si="44"/>
        <v>52800.000000000007</v>
      </c>
      <c r="AL36" s="47">
        <f t="shared" si="44"/>
        <v>52800.000000000007</v>
      </c>
    </row>
    <row r="37" spans="1:39" ht="18.75" x14ac:dyDescent="0.35">
      <c r="A37" s="56"/>
      <c r="B37" s="51" t="s">
        <v>94</v>
      </c>
      <c r="C37" s="47">
        <f>C13*C32</f>
        <v>37500</v>
      </c>
      <c r="D37" s="47">
        <f t="shared" ref="D37:AL37" si="45">D13*D32</f>
        <v>38250</v>
      </c>
      <c r="E37" s="47">
        <f t="shared" si="45"/>
        <v>39015</v>
      </c>
      <c r="F37" s="47">
        <f t="shared" si="45"/>
        <v>39795.300000000003</v>
      </c>
      <c r="G37" s="47">
        <f t="shared" si="45"/>
        <v>40591.205999999998</v>
      </c>
      <c r="H37" s="47">
        <f t="shared" si="45"/>
        <v>41403.030119999996</v>
      </c>
      <c r="I37" s="47">
        <f t="shared" si="45"/>
        <v>42231.090722399997</v>
      </c>
      <c r="J37" s="47">
        <f t="shared" si="45"/>
        <v>43075.712536847997</v>
      </c>
      <c r="K37" s="47">
        <f t="shared" si="45"/>
        <v>43937.226787584957</v>
      </c>
      <c r="L37" s="47">
        <f t="shared" si="45"/>
        <v>44815.971323336656</v>
      </c>
      <c r="M37" s="47">
        <f t="shared" si="45"/>
        <v>45712.290749803389</v>
      </c>
      <c r="N37" s="47">
        <f t="shared" si="45"/>
        <v>46626.536564799462</v>
      </c>
      <c r="O37" s="47">
        <f t="shared" si="45"/>
        <v>49937.02066090022</v>
      </c>
      <c r="P37" s="47">
        <f t="shared" si="45"/>
        <v>50935.761074118229</v>
      </c>
      <c r="Q37" s="47">
        <f t="shared" si="45"/>
        <v>51954.476295600594</v>
      </c>
      <c r="R37" s="47">
        <f t="shared" si="45"/>
        <v>52993.565821512602</v>
      </c>
      <c r="S37" s="47">
        <f t="shared" si="45"/>
        <v>54053.437137942848</v>
      </c>
      <c r="T37" s="47">
        <f t="shared" si="45"/>
        <v>55134.505880701705</v>
      </c>
      <c r="U37" s="47">
        <f t="shared" si="45"/>
        <v>56237.195998315743</v>
      </c>
      <c r="V37" s="47">
        <f t="shared" si="45"/>
        <v>57361.939918282056</v>
      </c>
      <c r="W37" s="47">
        <f t="shared" si="45"/>
        <v>58509.178716647693</v>
      </c>
      <c r="X37" s="47">
        <f t="shared" si="45"/>
        <v>59679.362290980651</v>
      </c>
      <c r="Y37" s="47">
        <f t="shared" si="45"/>
        <v>60872.949536800261</v>
      </c>
      <c r="Z37" s="47">
        <f t="shared" si="45"/>
        <v>62090.408527536267</v>
      </c>
      <c r="AA37" s="47">
        <f t="shared" si="45"/>
        <v>67554.364477959462</v>
      </c>
      <c r="AB37" s="47">
        <f t="shared" si="45"/>
        <v>68905.451767518636</v>
      </c>
      <c r="AC37" s="47">
        <f t="shared" si="45"/>
        <v>70283.560802869019</v>
      </c>
      <c r="AD37" s="47">
        <f t="shared" si="45"/>
        <v>71689.232018926399</v>
      </c>
      <c r="AE37" s="47">
        <f t="shared" si="45"/>
        <v>73123.016659304922</v>
      </c>
      <c r="AF37" s="47">
        <f t="shared" si="45"/>
        <v>74585.476992491036</v>
      </c>
      <c r="AG37" s="47">
        <f t="shared" si="45"/>
        <v>76077.186532340842</v>
      </c>
      <c r="AH37" s="47">
        <f t="shared" si="45"/>
        <v>77598.730262987665</v>
      </c>
      <c r="AI37" s="47">
        <f t="shared" si="45"/>
        <v>79150.704868247427</v>
      </c>
      <c r="AJ37" s="47">
        <f t="shared" si="45"/>
        <v>80733.718965612366</v>
      </c>
      <c r="AK37" s="47">
        <f t="shared" si="45"/>
        <v>82348.393344924611</v>
      </c>
      <c r="AL37" s="47">
        <f t="shared" si="45"/>
        <v>83995.36121182311</v>
      </c>
    </row>
    <row r="38" spans="1:39" ht="18.75" x14ac:dyDescent="0.35">
      <c r="A38" s="56"/>
      <c r="B38" s="51" t="s">
        <v>121</v>
      </c>
      <c r="C38" s="47">
        <f>C12*C27</f>
        <v>18203.43</v>
      </c>
      <c r="D38" s="47">
        <f t="shared" ref="D38:AL38" si="46">D12*D27</f>
        <v>17077.401000000002</v>
      </c>
      <c r="E38" s="47">
        <f t="shared" si="46"/>
        <v>15412.5936</v>
      </c>
      <c r="F38" s="47">
        <f t="shared" si="46"/>
        <v>14094.044549999999</v>
      </c>
      <c r="G38" s="47">
        <f t="shared" si="46"/>
        <v>12996.621665999999</v>
      </c>
      <c r="H38" s="47">
        <f t="shared" si="46"/>
        <v>12036.066693299997</v>
      </c>
      <c r="I38" s="47">
        <f t="shared" si="46"/>
        <v>11155.638044231999</v>
      </c>
      <c r="J38" s="47">
        <f t="shared" si="46"/>
        <v>10317.086664417717</v>
      </c>
      <c r="K38" s="47">
        <f t="shared" si="46"/>
        <v>9494.5672389532992</v>
      </c>
      <c r="L38" s="47">
        <f t="shared" si="46"/>
        <v>9633.928488823085</v>
      </c>
      <c r="M38" s="47">
        <f t="shared" si="46"/>
        <v>9791.2359921630505</v>
      </c>
      <c r="N38" s="47">
        <f t="shared" si="46"/>
        <v>9962.3009655007645</v>
      </c>
      <c r="O38" s="47">
        <f t="shared" si="46"/>
        <v>10144.215162256896</v>
      </c>
      <c r="P38" s="47">
        <f t="shared" si="46"/>
        <v>10334.967189714316</v>
      </c>
      <c r="Q38" s="47">
        <f t="shared" si="46"/>
        <v>10533.1739404572</v>
      </c>
      <c r="R38" s="47">
        <f t="shared" si="46"/>
        <v>10737.892604130362</v>
      </c>
      <c r="S38" s="47">
        <f t="shared" si="46"/>
        <v>10948.489085617783</v>
      </c>
      <c r="T38" s="47">
        <f t="shared" si="46"/>
        <v>11164.545907913505</v>
      </c>
      <c r="U38" s="47">
        <f t="shared" si="46"/>
        <v>11385.797754480134</v>
      </c>
      <c r="V38" s="47">
        <f t="shared" si="46"/>
        <v>11612.086359455585</v>
      </c>
      <c r="W38" s="47">
        <f t="shared" si="46"/>
        <v>11843.328941564792</v>
      </c>
      <c r="X38" s="47">
        <f t="shared" si="46"/>
        <v>12079.496118840158</v>
      </c>
      <c r="Y38" s="47">
        <f t="shared" si="46"/>
        <v>12320.596460127806</v>
      </c>
      <c r="Z38" s="47">
        <f t="shared" si="46"/>
        <v>12566.665682567957</v>
      </c>
      <c r="AA38" s="47">
        <f t="shared" si="46"/>
        <v>12817.759101485632</v>
      </c>
      <c r="AB38" s="47">
        <f t="shared" si="46"/>
        <v>13073.946357201765</v>
      </c>
      <c r="AC38" s="47">
        <f t="shared" si="46"/>
        <v>13335.307735926293</v>
      </c>
      <c r="AD38" s="47">
        <f t="shared" si="46"/>
        <v>13601.931606751165</v>
      </c>
      <c r="AE38" s="47">
        <f t="shared" si="46"/>
        <v>13873.91264016063</v>
      </c>
      <c r="AF38" s="47">
        <f t="shared" si="46"/>
        <v>14151.350573855954</v>
      </c>
      <c r="AG38" s="47">
        <f t="shared" si="46"/>
        <v>14434.349361957549</v>
      </c>
      <c r="AH38" s="47">
        <f t="shared" si="46"/>
        <v>14723.016592833834</v>
      </c>
      <c r="AI38" s="47">
        <f t="shared" si="46"/>
        <v>15017.463095236501</v>
      </c>
      <c r="AJ38" s="47">
        <f t="shared" si="46"/>
        <v>15317.802676523428</v>
      </c>
      <c r="AK38" s="47">
        <f t="shared" si="46"/>
        <v>15624.151953621435</v>
      </c>
      <c r="AL38" s="47">
        <f t="shared" si="46"/>
        <v>15936.630249191139</v>
      </c>
    </row>
    <row r="39" spans="1:39" ht="18.75" x14ac:dyDescent="0.35">
      <c r="A39" s="79">
        <v>2.25</v>
      </c>
      <c r="B39" s="51" t="s">
        <v>120</v>
      </c>
      <c r="C39" s="47">
        <f ca="1">C20*$A$39 + C28*C30</f>
        <v>94754.146000000008</v>
      </c>
      <c r="D39" s="47">
        <f t="shared" ref="D39:AL39" ca="1" si="47">D20*$A$39 + D28*D30</f>
        <v>88026.652200000011</v>
      </c>
      <c r="E39" s="47">
        <f t="shared" ca="1" si="47"/>
        <v>84783.746540000007</v>
      </c>
      <c r="F39" s="47">
        <f t="shared" ca="1" si="47"/>
        <v>82789.142378000004</v>
      </c>
      <c r="G39" s="47">
        <f t="shared" ca="1" si="47"/>
        <v>81620.627460600022</v>
      </c>
      <c r="H39" s="47">
        <f t="shared" ca="1" si="47"/>
        <v>80972.931414340012</v>
      </c>
      <c r="I39" s="47">
        <f t="shared" ca="1" si="47"/>
        <v>82197.11161279642</v>
      </c>
      <c r="J39" s="47">
        <f t="shared" ca="1" si="47"/>
        <v>82838.019666221066</v>
      </c>
      <c r="K39" s="47">
        <f t="shared" ca="1" si="47"/>
        <v>83731.196656998582</v>
      </c>
      <c r="L39" s="47">
        <f t="shared" ca="1" si="47"/>
        <v>84809.852730990722</v>
      </c>
      <c r="M39" s="47">
        <f t="shared" ca="1" si="47"/>
        <v>86027.412806842054</v>
      </c>
      <c r="N39" s="47">
        <f t="shared" ca="1" si="47"/>
        <v>87351.455700475955</v>
      </c>
      <c r="O39" s="47">
        <f t="shared" ca="1" si="47"/>
        <v>88759.471583368417</v>
      </c>
      <c r="P39" s="47">
        <f t="shared" ca="1" si="47"/>
        <v>90235.892275888851</v>
      </c>
      <c r="Q39" s="47">
        <f t="shared" ca="1" si="47"/>
        <v>91770.012526638777</v>
      </c>
      <c r="R39" s="47">
        <f t="shared" ca="1" si="47"/>
        <v>94930.419018469052</v>
      </c>
      <c r="S39" s="47">
        <f t="shared" ca="1" si="47"/>
        <v>96560.435785181689</v>
      </c>
      <c r="T39" s="47">
        <f t="shared" ca="1" si="47"/>
        <v>98232.715589750573</v>
      </c>
      <c r="U39" s="47">
        <f t="shared" ca="1" si="47"/>
        <v>100181.58748742628</v>
      </c>
      <c r="V39" s="47">
        <f t="shared" ca="1" si="47"/>
        <v>102174.17154729129</v>
      </c>
      <c r="W39" s="47">
        <f t="shared" ca="1" si="47"/>
        <v>104209.92159531865</v>
      </c>
      <c r="X39" s="47">
        <f t="shared" ca="1" si="47"/>
        <v>106288.70665918212</v>
      </c>
      <c r="Y39" s="47">
        <f t="shared" ca="1" si="47"/>
        <v>108410.69143473572</v>
      </c>
      <c r="Z39" s="47">
        <f t="shared" ca="1" si="47"/>
        <v>110576.2527130894</v>
      </c>
      <c r="AA39" s="47">
        <f t="shared" ca="1" si="47"/>
        <v>112785.92098211247</v>
      </c>
      <c r="AB39" s="47">
        <f t="shared" ca="1" si="47"/>
        <v>115040.33965208763</v>
      </c>
      <c r="AC39" s="47">
        <f t="shared" ca="1" si="47"/>
        <v>117340.23662036238</v>
      </c>
      <c r="AD39" s="47">
        <f t="shared" ca="1" si="47"/>
        <v>119686.40447543275</v>
      </c>
      <c r="AE39" s="47">
        <f t="shared" ca="1" si="47"/>
        <v>122079.68675080559</v>
      </c>
      <c r="AF39" s="47">
        <f t="shared" ca="1" si="47"/>
        <v>124520.96841592663</v>
      </c>
      <c r="AG39" s="47">
        <f t="shared" ca="1" si="47"/>
        <v>127011.1693353186</v>
      </c>
      <c r="AH39" s="47">
        <f t="shared" ca="1" si="47"/>
        <v>129551.23980777639</v>
      </c>
      <c r="AI39" s="47">
        <f t="shared" ca="1" si="47"/>
        <v>132142.15756395791</v>
      </c>
      <c r="AJ39" s="47">
        <f t="shared" ca="1" si="47"/>
        <v>134784.92578725526</v>
      </c>
      <c r="AK39" s="47">
        <f t="shared" ca="1" si="47"/>
        <v>137480.5718534131</v>
      </c>
      <c r="AL39" s="47">
        <f t="shared" ca="1" si="47"/>
        <v>140230.14657577031</v>
      </c>
    </row>
    <row r="40" spans="1:39" ht="18.75" x14ac:dyDescent="0.35">
      <c r="A40" s="56"/>
      <c r="B40" s="51" t="s">
        <v>96</v>
      </c>
      <c r="C40" s="47">
        <f>SUM(C35:C36)*10%</f>
        <v>3730</v>
      </c>
      <c r="D40" s="47">
        <f t="shared" ref="D40:AL40" si="48">SUM(D35:D36)*10%</f>
        <v>3730</v>
      </c>
      <c r="E40" s="47">
        <f t="shared" si="48"/>
        <v>3730</v>
      </c>
      <c r="F40" s="47">
        <f t="shared" si="48"/>
        <v>3730</v>
      </c>
      <c r="G40" s="47">
        <f t="shared" si="48"/>
        <v>3730</v>
      </c>
      <c r="H40" s="47">
        <f t="shared" si="48"/>
        <v>3730</v>
      </c>
      <c r="I40" s="47">
        <f t="shared" si="48"/>
        <v>3730</v>
      </c>
      <c r="J40" s="47">
        <f t="shared" si="48"/>
        <v>3730</v>
      </c>
      <c r="K40" s="47">
        <f t="shared" si="48"/>
        <v>3730</v>
      </c>
      <c r="L40" s="47">
        <f t="shared" si="48"/>
        <v>4130</v>
      </c>
      <c r="M40" s="47">
        <f t="shared" si="48"/>
        <v>4130</v>
      </c>
      <c r="N40" s="47">
        <f t="shared" si="48"/>
        <v>4130</v>
      </c>
      <c r="O40" s="47">
        <f t="shared" si="48"/>
        <v>4363</v>
      </c>
      <c r="P40" s="47">
        <f t="shared" si="48"/>
        <v>4363</v>
      </c>
      <c r="Q40" s="47">
        <f t="shared" si="48"/>
        <v>4783</v>
      </c>
      <c r="R40" s="47">
        <f t="shared" si="48"/>
        <v>4783</v>
      </c>
      <c r="S40" s="47">
        <f t="shared" si="48"/>
        <v>4783</v>
      </c>
      <c r="T40" s="47">
        <f t="shared" si="48"/>
        <v>4783</v>
      </c>
      <c r="U40" s="47">
        <f t="shared" si="48"/>
        <v>4783</v>
      </c>
      <c r="V40" s="47">
        <f t="shared" si="48"/>
        <v>4783</v>
      </c>
      <c r="W40" s="47">
        <f t="shared" si="48"/>
        <v>4783</v>
      </c>
      <c r="X40" s="47">
        <f t="shared" si="48"/>
        <v>5203</v>
      </c>
      <c r="Y40" s="47">
        <f t="shared" si="48"/>
        <v>5203</v>
      </c>
      <c r="Z40" s="47">
        <f t="shared" si="48"/>
        <v>5203</v>
      </c>
      <c r="AA40" s="47">
        <f t="shared" si="48"/>
        <v>5449.5000000000009</v>
      </c>
      <c r="AB40" s="47">
        <f t="shared" si="48"/>
        <v>5449.5000000000009</v>
      </c>
      <c r="AC40" s="47">
        <f t="shared" si="48"/>
        <v>5449.5000000000009</v>
      </c>
      <c r="AD40" s="47">
        <f t="shared" si="48"/>
        <v>5449.5000000000009</v>
      </c>
      <c r="AE40" s="47">
        <f t="shared" si="48"/>
        <v>5889.5000000000009</v>
      </c>
      <c r="AF40" s="47">
        <f t="shared" si="48"/>
        <v>5889.5000000000009</v>
      </c>
      <c r="AG40" s="47">
        <f t="shared" si="48"/>
        <v>5889.5000000000009</v>
      </c>
      <c r="AH40" s="47">
        <f t="shared" si="48"/>
        <v>5889.5000000000009</v>
      </c>
      <c r="AI40" s="47">
        <f t="shared" si="48"/>
        <v>5889.5000000000009</v>
      </c>
      <c r="AJ40" s="47">
        <f t="shared" si="48"/>
        <v>5889.5000000000009</v>
      </c>
      <c r="AK40" s="47">
        <f t="shared" si="48"/>
        <v>5889.5000000000009</v>
      </c>
      <c r="AL40" s="47">
        <f t="shared" si="48"/>
        <v>5889.5000000000009</v>
      </c>
    </row>
    <row r="41" spans="1:39" ht="26.45" customHeight="1" x14ac:dyDescent="0.35">
      <c r="A41" s="57"/>
      <c r="B41" s="51" t="s">
        <v>92</v>
      </c>
      <c r="C41" s="44">
        <v>1</v>
      </c>
      <c r="D41" s="44">
        <f ca="1">(D34/C34)-100%</f>
        <v>-3.7096520559641855E-2</v>
      </c>
      <c r="E41" s="44">
        <f t="shared" ref="E41:AL41" ca="1" si="49">(E34/D34)-100%</f>
        <v>-2.2467848971225668E-2</v>
      </c>
      <c r="F41" s="44">
        <f t="shared" ca="1" si="49"/>
        <v>-1.4052565355054614E-2</v>
      </c>
      <c r="G41" s="44">
        <f t="shared" ca="1" si="49"/>
        <v>-8.2721530457663395E-3</v>
      </c>
      <c r="H41" s="44">
        <f t="shared" ca="1" si="49"/>
        <v>-4.5190301877526817E-3</v>
      </c>
      <c r="I41" s="44">
        <f t="shared" ca="1" si="49"/>
        <v>6.6791986140739557E-3</v>
      </c>
      <c r="J41" s="44">
        <f t="shared" ca="1" si="49"/>
        <v>3.6632377545748884E-3</v>
      </c>
      <c r="K41" s="44">
        <f t="shared" ca="1" si="49"/>
        <v>5.258758376530448E-3</v>
      </c>
      <c r="L41" s="44">
        <f t="shared" ca="1" si="49"/>
        <v>3.6459132509603531E-2</v>
      </c>
      <c r="M41" s="44">
        <f t="shared" ca="1" si="49"/>
        <v>1.2297309268024526E-2</v>
      </c>
      <c r="N41" s="44">
        <f t="shared" ca="1" si="49"/>
        <v>1.2886936104312241E-2</v>
      </c>
      <c r="O41" s="44">
        <f t="shared" ca="1" si="49"/>
        <v>3.9411747473264258E-2</v>
      </c>
      <c r="P41" s="44">
        <f t="shared" ca="1" si="49"/>
        <v>1.3543986791296314E-2</v>
      </c>
      <c r="Q41" s="44">
        <f t="shared" ca="1" si="49"/>
        <v>3.6947650341558225E-2</v>
      </c>
      <c r="R41" s="44">
        <f t="shared" ca="1" si="49"/>
        <v>2.1289701606784117E-2</v>
      </c>
      <c r="S41" s="44">
        <f t="shared" ca="1" si="49"/>
        <v>1.3728487739379069E-2</v>
      </c>
      <c r="T41" s="44">
        <f t="shared" ca="1" si="49"/>
        <v>1.3864364891337466E-2</v>
      </c>
      <c r="U41" s="44">
        <f t="shared" ca="1" si="49"/>
        <v>1.5072036509881093E-2</v>
      </c>
      <c r="V41" s="44">
        <f t="shared" ca="1" si="49"/>
        <v>1.5169464096254304E-2</v>
      </c>
      <c r="W41" s="44">
        <f t="shared" ca="1" si="49"/>
        <v>1.5258371253321634E-2</v>
      </c>
      <c r="X41" s="44">
        <f t="shared" ca="1" si="49"/>
        <v>3.5677871687550766E-2</v>
      </c>
      <c r="Y41" s="44">
        <f t="shared" ca="1" si="49"/>
        <v>1.5116728241526323E-2</v>
      </c>
      <c r="Z41" s="44">
        <f t="shared" ca="1" si="49"/>
        <v>1.5194822761120719E-2</v>
      </c>
      <c r="AA41" s="44">
        <f t="shared" ca="1" si="49"/>
        <v>4.386678254804921E-2</v>
      </c>
      <c r="AB41" s="44">
        <f t="shared" ca="1" si="49"/>
        <v>1.5257425491079113E-2</v>
      </c>
      <c r="AC41" s="44">
        <f t="shared" ca="1" si="49"/>
        <v>1.5330411019183643E-2</v>
      </c>
      <c r="AD41" s="44">
        <f t="shared" ca="1" si="49"/>
        <v>1.5402098179138957E-2</v>
      </c>
      <c r="AE41" s="44">
        <f t="shared" ca="1" si="49"/>
        <v>3.3742179401034633E-2</v>
      </c>
      <c r="AF41" s="44">
        <f t="shared" ca="1" si="49"/>
        <v>1.5267519508811889E-2</v>
      </c>
      <c r="AG41" s="44">
        <f t="shared" ca="1" si="49"/>
        <v>1.5339066426121262E-2</v>
      </c>
      <c r="AH41" s="44">
        <f t="shared" ca="1" si="49"/>
        <v>1.540974283827623E-2</v>
      </c>
      <c r="AI41" s="44">
        <f t="shared" ca="1" si="49"/>
        <v>1.5479584766789456E-2</v>
      </c>
      <c r="AJ41" s="44">
        <f t="shared" ca="1" si="49"/>
        <v>1.5548616825284522E-2</v>
      </c>
      <c r="AK41" s="44">
        <f t="shared" ca="1" si="49"/>
        <v>1.5616855851092071E-2</v>
      </c>
      <c r="AL41" s="44">
        <f t="shared" ca="1" si="49"/>
        <v>1.5684313409808581E-2</v>
      </c>
    </row>
    <row r="42" spans="1:39" ht="18" x14ac:dyDescent="0.35">
      <c r="A42" s="57"/>
      <c r="B42" s="5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9" ht="27.95" customHeight="1" x14ac:dyDescent="0.35">
      <c r="A43" s="57"/>
      <c r="B43" s="49" t="s">
        <v>97</v>
      </c>
      <c r="C43" s="39">
        <f ca="1">C8-C34</f>
        <v>2614.9556160000211</v>
      </c>
      <c r="D43" s="39">
        <f t="shared" ref="D43:AL43" ca="1" si="50">D8-D34</f>
        <v>-2288.329068800027</v>
      </c>
      <c r="E43" s="39">
        <f t="shared" ca="1" si="50"/>
        <v>-5625.9022081599687</v>
      </c>
      <c r="F43" s="39">
        <f t="shared" ca="1" si="50"/>
        <v>-7386.2807149119908</v>
      </c>
      <c r="G43" s="39">
        <f t="shared" ca="1" si="50"/>
        <v>-7959.6831234224082</v>
      </c>
      <c r="H43" s="39">
        <f t="shared" ca="1" si="50"/>
        <v>-7612.5956183193775</v>
      </c>
      <c r="I43" s="39">
        <f t="shared" ca="1" si="50"/>
        <v>-8098.259501665656</v>
      </c>
      <c r="J43" s="39">
        <f t="shared" ca="1" si="50"/>
        <v>-7244.2346407898585</v>
      </c>
      <c r="K43" s="39">
        <f t="shared" ca="1" si="50"/>
        <v>-6084.59056034073</v>
      </c>
      <c r="L43" s="39">
        <f t="shared" ca="1" si="50"/>
        <v>-10055.145469114737</v>
      </c>
      <c r="M43" s="39">
        <f t="shared" ca="1" si="50"/>
        <v>-9474.8130694290739</v>
      </c>
      <c r="N43" s="39">
        <f t="shared" ca="1" si="50"/>
        <v>-8783.2651371051033</v>
      </c>
      <c r="O43" s="39">
        <f t="shared" ca="1" si="50"/>
        <v>-12111.606987892272</v>
      </c>
      <c r="P43" s="39">
        <f t="shared" ca="1" si="50"/>
        <v>-11304.002001899469</v>
      </c>
      <c r="Q43" s="39">
        <f t="shared" ca="1" si="50"/>
        <v>-15065.778576547047</v>
      </c>
      <c r="R43" s="39">
        <f t="shared" ca="1" si="50"/>
        <v>-15742.14827993972</v>
      </c>
      <c r="S43" s="39">
        <f t="shared" ca="1" si="50"/>
        <v>-14807.755155276653</v>
      </c>
      <c r="T43" s="39">
        <f t="shared" ca="1" si="50"/>
        <v>-13842.852213623933</v>
      </c>
      <c r="U43" s="39">
        <f t="shared" ca="1" si="50"/>
        <v>17882.611441945366</v>
      </c>
      <c r="V43" s="39">
        <f t="shared" ca="1" si="50"/>
        <v>19275.124843832833</v>
      </c>
      <c r="W43" s="39">
        <f t="shared" ca="1" si="50"/>
        <v>20700.708161843446</v>
      </c>
      <c r="X43" s="39">
        <f t="shared" ca="1" si="50"/>
        <v>17538.456899874174</v>
      </c>
      <c r="Y43" s="39">
        <f t="shared" ca="1" si="50"/>
        <v>19027.9182402273</v>
      </c>
      <c r="Z43" s="39">
        <f t="shared" ca="1" si="50"/>
        <v>20548.959146680805</v>
      </c>
      <c r="AA43" s="39">
        <f t="shared" ca="1" si="50"/>
        <v>16226.260520314943</v>
      </c>
      <c r="AB43" s="39">
        <f t="shared" ca="1" si="50"/>
        <v>17747.614912132733</v>
      </c>
      <c r="AC43" s="39">
        <f t="shared" ca="1" si="50"/>
        <v>19300.014637363434</v>
      </c>
      <c r="AD43" s="39">
        <f t="shared" ca="1" si="50"/>
        <v>20883.895129002398</v>
      </c>
      <c r="AE43" s="39">
        <f t="shared" ca="1" si="50"/>
        <v>17659.756170806591</v>
      </c>
      <c r="AF43" s="39">
        <f t="shared" ca="1" si="50"/>
        <v>19308.146491679654</v>
      </c>
      <c r="AG43" s="39">
        <f t="shared" ca="1" si="50"/>
        <v>20989.653059733042</v>
      </c>
      <c r="AH43" s="39">
        <f t="shared" ca="1" si="50"/>
        <v>22704.893667681608</v>
      </c>
      <c r="AI43" s="39">
        <f t="shared" ca="1" si="50"/>
        <v>24454.511823762907</v>
      </c>
      <c r="AJ43" s="39">
        <f t="shared" ca="1" si="50"/>
        <v>26239.17325814761</v>
      </c>
      <c r="AK43" s="39">
        <f t="shared" ca="1" si="50"/>
        <v>28059.563561847142</v>
      </c>
      <c r="AL43" s="39">
        <f t="shared" ca="1" si="50"/>
        <v>29916.386620059668</v>
      </c>
    </row>
    <row r="44" spans="1:39" ht="24" customHeight="1" x14ac:dyDescent="0.35">
      <c r="A44" s="57"/>
      <c r="B44" s="51" t="s">
        <v>98</v>
      </c>
      <c r="C44" s="47">
        <f ca="1">C43</f>
        <v>2614.9556160000211</v>
      </c>
      <c r="D44" s="47">
        <f ca="1">D43+C44</f>
        <v>326.62654719999409</v>
      </c>
      <c r="E44" s="47">
        <f t="shared" ref="E44:AL44" ca="1" si="51">E43+D44</f>
        <v>-5299.2756609599746</v>
      </c>
      <c r="F44" s="47">
        <f t="shared" ca="1" si="51"/>
        <v>-12685.556375871965</v>
      </c>
      <c r="G44" s="47">
        <f t="shared" ca="1" si="51"/>
        <v>-20645.239499294374</v>
      </c>
      <c r="H44" s="47">
        <f t="shared" ca="1" si="51"/>
        <v>-28257.835117613751</v>
      </c>
      <c r="I44" s="47">
        <f t="shared" ca="1" si="51"/>
        <v>-36356.094619279407</v>
      </c>
      <c r="J44" s="47">
        <f t="shared" ca="1" si="51"/>
        <v>-43600.329260069266</v>
      </c>
      <c r="K44" s="47">
        <f t="shared" ca="1" si="51"/>
        <v>-49684.919820409996</v>
      </c>
      <c r="L44" s="47">
        <f t="shared" ca="1" si="51"/>
        <v>-59740.065289524733</v>
      </c>
      <c r="M44" s="47">
        <f t="shared" ca="1" si="51"/>
        <v>-69214.878358953807</v>
      </c>
      <c r="N44" s="47">
        <f t="shared" ca="1" si="51"/>
        <v>-77998.14349605891</v>
      </c>
      <c r="O44" s="47">
        <f t="shared" ca="1" si="51"/>
        <v>-90109.750483951182</v>
      </c>
      <c r="P44" s="47">
        <f t="shared" ca="1" si="51"/>
        <v>-101413.75248585065</v>
      </c>
      <c r="Q44" s="47">
        <f t="shared" ca="1" si="51"/>
        <v>-116479.5310623977</v>
      </c>
      <c r="R44" s="47">
        <f t="shared" ca="1" si="51"/>
        <v>-132221.67934233742</v>
      </c>
      <c r="S44" s="47">
        <f t="shared" ca="1" si="51"/>
        <v>-147029.43449761407</v>
      </c>
      <c r="T44" s="47">
        <f t="shared" ca="1" si="51"/>
        <v>-160872.286711238</v>
      </c>
      <c r="U44" s="47">
        <f t="shared" ca="1" si="51"/>
        <v>-142989.67526929264</v>
      </c>
      <c r="V44" s="47">
        <f t="shared" ca="1" si="51"/>
        <v>-123714.55042545981</v>
      </c>
      <c r="W44" s="47">
        <f t="shared" ca="1" si="51"/>
        <v>-103013.84226361636</v>
      </c>
      <c r="X44" s="47">
        <f t="shared" ca="1" si="51"/>
        <v>-85475.385363742185</v>
      </c>
      <c r="Y44" s="47">
        <f t="shared" ca="1" si="51"/>
        <v>-66447.467123514885</v>
      </c>
      <c r="Z44" s="47">
        <f t="shared" ca="1" si="51"/>
        <v>-45898.50797683408</v>
      </c>
      <c r="AA44" s="47">
        <f t="shared" ca="1" si="51"/>
        <v>-29672.247456519137</v>
      </c>
      <c r="AB44" s="47">
        <f t="shared" ca="1" si="51"/>
        <v>-11924.632544386404</v>
      </c>
      <c r="AC44" s="47">
        <f t="shared" ca="1" si="51"/>
        <v>7375.38209297703</v>
      </c>
      <c r="AD44" s="47">
        <f t="shared" ca="1" si="51"/>
        <v>28259.277221979428</v>
      </c>
      <c r="AE44" s="47">
        <f t="shared" ca="1" si="51"/>
        <v>45919.033392786019</v>
      </c>
      <c r="AF44" s="47">
        <f t="shared" ca="1" si="51"/>
        <v>65227.179884465673</v>
      </c>
      <c r="AG44" s="47">
        <f t="shared" ca="1" si="51"/>
        <v>86216.832944198715</v>
      </c>
      <c r="AH44" s="47">
        <f t="shared" ca="1" si="51"/>
        <v>108921.72661188032</v>
      </c>
      <c r="AI44" s="47">
        <f t="shared" ca="1" si="51"/>
        <v>133376.23843564323</v>
      </c>
      <c r="AJ44" s="47">
        <f t="shared" ca="1" si="51"/>
        <v>159615.41169379084</v>
      </c>
      <c r="AK44" s="47">
        <f t="shared" ca="1" si="51"/>
        <v>187674.97525563798</v>
      </c>
      <c r="AL44" s="47">
        <f t="shared" ca="1" si="51"/>
        <v>217591.36187569765</v>
      </c>
    </row>
    <row r="45" spans="1:39" ht="26.45" customHeight="1" x14ac:dyDescent="0.35">
      <c r="A45" s="57"/>
      <c r="B45" s="51" t="s">
        <v>99</v>
      </c>
      <c r="C45" s="44">
        <f ca="1">C43/C8</f>
        <v>1.3472032508948835E-2</v>
      </c>
      <c r="D45" s="44">
        <f t="shared" ref="D45:AL45" ca="1" si="52">D43/D8</f>
        <v>-1.2566627139203364E-2</v>
      </c>
      <c r="E45" s="44">
        <f t="shared" ca="1" si="52"/>
        <v>-3.2218813380956626E-2</v>
      </c>
      <c r="F45" s="44">
        <f t="shared" ca="1" si="52"/>
        <v>-4.3366516199720345E-2</v>
      </c>
      <c r="G45" s="44">
        <f t="shared" ca="1" si="52"/>
        <v>-4.730057765855402E-2</v>
      </c>
      <c r="H45" s="44">
        <f t="shared" ca="1" si="52"/>
        <v>-4.5359121460180646E-2</v>
      </c>
      <c r="I45" s="44">
        <f t="shared" ca="1" si="52"/>
        <v>-4.8056443561381681E-2</v>
      </c>
      <c r="J45" s="44">
        <f t="shared" ca="1" si="52"/>
        <v>-4.2608988256878116E-2</v>
      </c>
      <c r="K45" s="44">
        <f t="shared" ca="1" si="52"/>
        <v>-3.535324572179712E-2</v>
      </c>
      <c r="L45" s="44">
        <f t="shared" ca="1" si="52"/>
        <v>-5.7578195053010858E-2</v>
      </c>
      <c r="M45" s="44">
        <f t="shared" ca="1" si="52"/>
        <v>-5.3383401043066152E-2</v>
      </c>
      <c r="N45" s="44">
        <f t="shared" ca="1" si="52"/>
        <v>-4.8637298203662756E-2</v>
      </c>
      <c r="O45" s="44">
        <f t="shared" ca="1" si="52"/>
        <v>-6.5566637454012797E-2</v>
      </c>
      <c r="P45" s="44">
        <f t="shared" ca="1" si="52"/>
        <v>-6.0065170962668765E-2</v>
      </c>
      <c r="Q45" s="44">
        <f t="shared" ca="1" si="52"/>
        <v>-7.8547418854701762E-2</v>
      </c>
      <c r="R45" s="44">
        <f t="shared" ca="1" si="52"/>
        <v>-8.0509019370984022E-2</v>
      </c>
      <c r="S45" s="44">
        <f t="shared" ca="1" si="52"/>
        <v>-7.4273626438021545E-2</v>
      </c>
      <c r="T45" s="44">
        <f t="shared" ca="1" si="52"/>
        <v>-6.8090122035528486E-2</v>
      </c>
      <c r="U45" s="44">
        <f t="shared" ca="1" si="52"/>
        <v>7.5042370888034782E-2</v>
      </c>
      <c r="V45" s="44">
        <f t="shared" ca="1" si="52"/>
        <v>7.9309646525944549E-2</v>
      </c>
      <c r="W45" s="44">
        <f t="shared" ca="1" si="52"/>
        <v>8.3512307306751979E-2</v>
      </c>
      <c r="X45" s="44">
        <f t="shared" ca="1" si="52"/>
        <v>6.9371587482975158E-2</v>
      </c>
      <c r="Y45" s="44">
        <f t="shared" ca="1" si="52"/>
        <v>7.3790187707402075E-2</v>
      </c>
      <c r="Z45" s="44">
        <f t="shared" ca="1" si="52"/>
        <v>7.8128383538976623E-2</v>
      </c>
      <c r="AA45" s="44">
        <f t="shared" ca="1" si="52"/>
        <v>6.0247029705502046E-2</v>
      </c>
      <c r="AB45" s="44">
        <f t="shared" ca="1" si="52"/>
        <v>6.4604474610087365E-2</v>
      </c>
      <c r="AC45" s="44">
        <f t="shared" ca="1" si="52"/>
        <v>6.8878534300801542E-2</v>
      </c>
      <c r="AD45" s="44">
        <f t="shared" ca="1" si="52"/>
        <v>7.3070186825276343E-2</v>
      </c>
      <c r="AE45" s="44">
        <f t="shared" ca="1" si="52"/>
        <v>6.0578016374121371E-2</v>
      </c>
      <c r="AF45" s="44">
        <f t="shared" ca="1" si="52"/>
        <v>6.4933975988184275E-2</v>
      </c>
      <c r="AG45" s="44">
        <f t="shared" ca="1" si="52"/>
        <v>6.9204980157455423E-2</v>
      </c>
      <c r="AH45" s="44">
        <f t="shared" ca="1" si="52"/>
        <v>7.3392549033816465E-2</v>
      </c>
      <c r="AI45" s="44">
        <f t="shared" ca="1" si="52"/>
        <v>7.7498219546394298E-2</v>
      </c>
      <c r="AJ45" s="44">
        <f t="shared" ca="1" si="52"/>
        <v>8.1523530166138725E-2</v>
      </c>
      <c r="AK45" s="44">
        <f t="shared" ca="1" si="52"/>
        <v>8.5470010740994209E-2</v>
      </c>
      <c r="AL45" s="44">
        <f t="shared" ca="1" si="52"/>
        <v>8.9339175774085289E-2</v>
      </c>
    </row>
    <row r="46" spans="1:39" ht="18" x14ac:dyDescent="0.35">
      <c r="A46" s="57"/>
      <c r="B46" s="5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9" ht="24.6" customHeight="1" x14ac:dyDescent="0.35">
      <c r="A47" s="57"/>
      <c r="B47" s="49" t="s">
        <v>100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</row>
    <row r="48" spans="1:39" ht="18.75" x14ac:dyDescent="0.35">
      <c r="A48" s="38">
        <v>0.21</v>
      </c>
      <c r="B48" s="54" t="s">
        <v>101</v>
      </c>
      <c r="C48" s="47">
        <f ca="1">IF(C43&gt;0, C43*$A$48, 0)</f>
        <v>549.14067936000447</v>
      </c>
      <c r="D48" s="47">
        <f t="shared" ref="D48:AL48" ca="1" si="53">IF(D43&gt;0, D43*$A$48, 0)</f>
        <v>0</v>
      </c>
      <c r="E48" s="47">
        <f t="shared" ca="1" si="53"/>
        <v>0</v>
      </c>
      <c r="F48" s="47">
        <f t="shared" ca="1" si="53"/>
        <v>0</v>
      </c>
      <c r="G48" s="47">
        <f t="shared" ca="1" si="53"/>
        <v>0</v>
      </c>
      <c r="H48" s="47">
        <f t="shared" ca="1" si="53"/>
        <v>0</v>
      </c>
      <c r="I48" s="47">
        <f t="shared" ca="1" si="53"/>
        <v>0</v>
      </c>
      <c r="J48" s="47">
        <f t="shared" ca="1" si="53"/>
        <v>0</v>
      </c>
      <c r="K48" s="47">
        <f t="shared" ca="1" si="53"/>
        <v>0</v>
      </c>
      <c r="L48" s="47">
        <f t="shared" ca="1" si="53"/>
        <v>0</v>
      </c>
      <c r="M48" s="47">
        <f t="shared" ca="1" si="53"/>
        <v>0</v>
      </c>
      <c r="N48" s="47">
        <f t="shared" ca="1" si="53"/>
        <v>0</v>
      </c>
      <c r="O48" s="47">
        <f t="shared" ca="1" si="53"/>
        <v>0</v>
      </c>
      <c r="P48" s="47">
        <f t="shared" ca="1" si="53"/>
        <v>0</v>
      </c>
      <c r="Q48" s="47">
        <f t="shared" ca="1" si="53"/>
        <v>0</v>
      </c>
      <c r="R48" s="47">
        <f t="shared" ca="1" si="53"/>
        <v>0</v>
      </c>
      <c r="S48" s="47">
        <f t="shared" ca="1" si="53"/>
        <v>0</v>
      </c>
      <c r="T48" s="47">
        <f t="shared" ca="1" si="53"/>
        <v>0</v>
      </c>
      <c r="U48" s="47">
        <f t="shared" ca="1" si="53"/>
        <v>3755.3484028085268</v>
      </c>
      <c r="V48" s="47">
        <f t="shared" ca="1" si="53"/>
        <v>4047.7762172048947</v>
      </c>
      <c r="W48" s="47">
        <f t="shared" ca="1" si="53"/>
        <v>4347.1487139871233</v>
      </c>
      <c r="X48" s="47">
        <f t="shared" ca="1" si="53"/>
        <v>3683.0759489735765</v>
      </c>
      <c r="Y48" s="47">
        <f t="shared" ca="1" si="53"/>
        <v>3995.8628304477329</v>
      </c>
      <c r="Z48" s="47">
        <f t="shared" ca="1" si="53"/>
        <v>4315.2814208029686</v>
      </c>
      <c r="AA48" s="47">
        <f t="shared" ca="1" si="53"/>
        <v>3407.5147092661377</v>
      </c>
      <c r="AB48" s="47">
        <f t="shared" ca="1" si="53"/>
        <v>3726.9991315478737</v>
      </c>
      <c r="AC48" s="47">
        <f t="shared" ca="1" si="53"/>
        <v>4053.0030738463211</v>
      </c>
      <c r="AD48" s="47">
        <f t="shared" ca="1" si="53"/>
        <v>4385.6179770905037</v>
      </c>
      <c r="AE48" s="47">
        <f t="shared" ca="1" si="53"/>
        <v>3708.5487958693839</v>
      </c>
      <c r="AF48" s="47">
        <f t="shared" ca="1" si="53"/>
        <v>4054.7107632527272</v>
      </c>
      <c r="AG48" s="47">
        <f t="shared" ca="1" si="53"/>
        <v>4407.8271425439389</v>
      </c>
      <c r="AH48" s="47">
        <f t="shared" ca="1" si="53"/>
        <v>4768.0276702131378</v>
      </c>
      <c r="AI48" s="47">
        <f t="shared" ca="1" si="53"/>
        <v>5135.4474829902101</v>
      </c>
      <c r="AJ48" s="47">
        <f t="shared" ca="1" si="53"/>
        <v>5510.2263842109978</v>
      </c>
      <c r="AK48" s="47">
        <f t="shared" ca="1" si="53"/>
        <v>5892.5083479878995</v>
      </c>
      <c r="AL48" s="47">
        <f t="shared" ca="1" si="53"/>
        <v>6282.4411902125303</v>
      </c>
    </row>
    <row r="49" spans="1:38" ht="18.75" x14ac:dyDescent="0.35">
      <c r="A49" s="57"/>
      <c r="B49" s="51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21" customHeight="1" x14ac:dyDescent="0.35">
      <c r="A50" s="57"/>
      <c r="B50" s="49" t="s">
        <v>102</v>
      </c>
      <c r="C50" s="39">
        <f ca="1">C43-C48</f>
        <v>2065.8149366400166</v>
      </c>
      <c r="D50" s="39">
        <f t="shared" ref="D50:AL50" ca="1" si="54">D43-D48</f>
        <v>-2288.329068800027</v>
      </c>
      <c r="E50" s="39">
        <f t="shared" ca="1" si="54"/>
        <v>-5625.9022081599687</v>
      </c>
      <c r="F50" s="39">
        <f t="shared" ca="1" si="54"/>
        <v>-7386.2807149119908</v>
      </c>
      <c r="G50" s="39">
        <f t="shared" ca="1" si="54"/>
        <v>-7959.6831234224082</v>
      </c>
      <c r="H50" s="39">
        <f t="shared" ca="1" si="54"/>
        <v>-7612.5956183193775</v>
      </c>
      <c r="I50" s="39">
        <f t="shared" ca="1" si="54"/>
        <v>-8098.259501665656</v>
      </c>
      <c r="J50" s="39">
        <f t="shared" ca="1" si="54"/>
        <v>-7244.2346407898585</v>
      </c>
      <c r="K50" s="39">
        <f t="shared" ca="1" si="54"/>
        <v>-6084.59056034073</v>
      </c>
      <c r="L50" s="39">
        <f t="shared" ca="1" si="54"/>
        <v>-10055.145469114737</v>
      </c>
      <c r="M50" s="39">
        <f t="shared" ca="1" si="54"/>
        <v>-9474.8130694290739</v>
      </c>
      <c r="N50" s="39">
        <f t="shared" ca="1" si="54"/>
        <v>-8783.2651371051033</v>
      </c>
      <c r="O50" s="39">
        <f t="shared" ca="1" si="54"/>
        <v>-12111.606987892272</v>
      </c>
      <c r="P50" s="39">
        <f t="shared" ca="1" si="54"/>
        <v>-11304.002001899469</v>
      </c>
      <c r="Q50" s="39">
        <f t="shared" ca="1" si="54"/>
        <v>-15065.778576547047</v>
      </c>
      <c r="R50" s="39">
        <f t="shared" ca="1" si="54"/>
        <v>-15742.14827993972</v>
      </c>
      <c r="S50" s="39">
        <f t="shared" ca="1" si="54"/>
        <v>-14807.755155276653</v>
      </c>
      <c r="T50" s="39">
        <f t="shared" ca="1" si="54"/>
        <v>-13842.852213623933</v>
      </c>
      <c r="U50" s="39">
        <f t="shared" ca="1" si="54"/>
        <v>14127.26303913684</v>
      </c>
      <c r="V50" s="39">
        <f t="shared" ca="1" si="54"/>
        <v>15227.348626627938</v>
      </c>
      <c r="W50" s="39">
        <f t="shared" ca="1" si="54"/>
        <v>16353.559447856322</v>
      </c>
      <c r="X50" s="39">
        <f t="shared" ca="1" si="54"/>
        <v>13855.380950900599</v>
      </c>
      <c r="Y50" s="39">
        <f t="shared" ca="1" si="54"/>
        <v>15032.055409779567</v>
      </c>
      <c r="Z50" s="39">
        <f t="shared" ca="1" si="54"/>
        <v>16233.677725877837</v>
      </c>
      <c r="AA50" s="39">
        <f t="shared" ca="1" si="54"/>
        <v>12818.745811048806</v>
      </c>
      <c r="AB50" s="39">
        <f t="shared" ca="1" si="54"/>
        <v>14020.61578058486</v>
      </c>
      <c r="AC50" s="39">
        <f t="shared" ca="1" si="54"/>
        <v>15247.011563517113</v>
      </c>
      <c r="AD50" s="39">
        <f t="shared" ca="1" si="54"/>
        <v>16498.277151911894</v>
      </c>
      <c r="AE50" s="39">
        <f t="shared" ca="1" si="54"/>
        <v>13951.207374937207</v>
      </c>
      <c r="AF50" s="39">
        <f t="shared" ca="1" si="54"/>
        <v>15253.435728426926</v>
      </c>
      <c r="AG50" s="39">
        <f t="shared" ca="1" si="54"/>
        <v>16581.825917189104</v>
      </c>
      <c r="AH50" s="39">
        <f t="shared" ca="1" si="54"/>
        <v>17936.865997468471</v>
      </c>
      <c r="AI50" s="39">
        <f t="shared" ca="1" si="54"/>
        <v>19319.064340772697</v>
      </c>
      <c r="AJ50" s="39">
        <f t="shared" ca="1" si="54"/>
        <v>20728.946873936613</v>
      </c>
      <c r="AK50" s="39">
        <f t="shared" ca="1" si="54"/>
        <v>22167.055213859243</v>
      </c>
      <c r="AL50" s="39">
        <f t="shared" ca="1" si="54"/>
        <v>23633.945429847139</v>
      </c>
    </row>
    <row r="51" spans="1:38" ht="24" customHeight="1" x14ac:dyDescent="0.35">
      <c r="A51" s="57"/>
      <c r="B51" s="51" t="s">
        <v>103</v>
      </c>
      <c r="C51" s="47">
        <f ca="1">C50</f>
        <v>2065.8149366400166</v>
      </c>
      <c r="D51" s="47">
        <f ca="1">C51+D50</f>
        <v>-222.51413216001038</v>
      </c>
      <c r="E51" s="47">
        <f t="shared" ref="E51:AL51" ca="1" si="55">D51+E50</f>
        <v>-5848.4163403199791</v>
      </c>
      <c r="F51" s="47">
        <f t="shared" ca="1" si="55"/>
        <v>-13234.697055231969</v>
      </c>
      <c r="G51" s="47">
        <f t="shared" ca="1" si="55"/>
        <v>-21194.380178654377</v>
      </c>
      <c r="H51" s="47">
        <f t="shared" ca="1" si="55"/>
        <v>-28806.975796973755</v>
      </c>
      <c r="I51" s="47">
        <f t="shared" ca="1" si="55"/>
        <v>-36905.235298639411</v>
      </c>
      <c r="J51" s="47">
        <f t="shared" ca="1" si="55"/>
        <v>-44149.469939429269</v>
      </c>
      <c r="K51" s="47">
        <f t="shared" ca="1" si="55"/>
        <v>-50234.060499769999</v>
      </c>
      <c r="L51" s="47">
        <f t="shared" ca="1" si="55"/>
        <v>-60289.205968884737</v>
      </c>
      <c r="M51" s="47">
        <f t="shared" ca="1" si="55"/>
        <v>-69764.019038313811</v>
      </c>
      <c r="N51" s="47">
        <f t="shared" ca="1" si="55"/>
        <v>-78547.284175418914</v>
      </c>
      <c r="O51" s="47">
        <f t="shared" ca="1" si="55"/>
        <v>-90658.891163311186</v>
      </c>
      <c r="P51" s="47">
        <f t="shared" ca="1" si="55"/>
        <v>-101962.89316521065</v>
      </c>
      <c r="Q51" s="47">
        <f t="shared" ca="1" si="55"/>
        <v>-117028.6717417577</v>
      </c>
      <c r="R51" s="47">
        <f t="shared" ca="1" si="55"/>
        <v>-132770.82002169744</v>
      </c>
      <c r="S51" s="47">
        <f t="shared" ca="1" si="55"/>
        <v>-147578.57517697409</v>
      </c>
      <c r="T51" s="47">
        <f t="shared" ca="1" si="55"/>
        <v>-161421.42739059802</v>
      </c>
      <c r="U51" s="47">
        <f t="shared" ca="1" si="55"/>
        <v>-147294.16435146119</v>
      </c>
      <c r="V51" s="47">
        <f t="shared" ca="1" si="55"/>
        <v>-132066.81572483326</v>
      </c>
      <c r="W51" s="47">
        <f t="shared" ca="1" si="55"/>
        <v>-115713.25627697693</v>
      </c>
      <c r="X51" s="47">
        <f t="shared" ca="1" si="55"/>
        <v>-101857.87532607633</v>
      </c>
      <c r="Y51" s="47">
        <f t="shared" ca="1" si="55"/>
        <v>-86825.819916296765</v>
      </c>
      <c r="Z51" s="47">
        <f t="shared" ca="1" si="55"/>
        <v>-70592.142190418934</v>
      </c>
      <c r="AA51" s="47">
        <f t="shared" ca="1" si="55"/>
        <v>-57773.396379370126</v>
      </c>
      <c r="AB51" s="47">
        <f t="shared" ca="1" si="55"/>
        <v>-43752.780598785263</v>
      </c>
      <c r="AC51" s="47">
        <f t="shared" ca="1" si="55"/>
        <v>-28505.769035268149</v>
      </c>
      <c r="AD51" s="47">
        <f t="shared" ca="1" si="55"/>
        <v>-12007.491883356255</v>
      </c>
      <c r="AE51" s="47">
        <f t="shared" ca="1" si="55"/>
        <v>1943.7154915809515</v>
      </c>
      <c r="AF51" s="47">
        <f t="shared" ca="1" si="55"/>
        <v>17197.15122000788</v>
      </c>
      <c r="AG51" s="47">
        <f t="shared" ca="1" si="55"/>
        <v>33778.977137196984</v>
      </c>
      <c r="AH51" s="47">
        <f t="shared" ca="1" si="55"/>
        <v>51715.843134665454</v>
      </c>
      <c r="AI51" s="47">
        <f t="shared" ca="1" si="55"/>
        <v>71034.907475438144</v>
      </c>
      <c r="AJ51" s="47">
        <f t="shared" ca="1" si="55"/>
        <v>91763.854349374757</v>
      </c>
      <c r="AK51" s="47">
        <f t="shared" ca="1" si="55"/>
        <v>113930.909563234</v>
      </c>
      <c r="AL51" s="47">
        <f t="shared" ca="1" si="55"/>
        <v>137564.85499308113</v>
      </c>
    </row>
    <row r="52" spans="1:38" ht="20.45" customHeight="1" x14ac:dyDescent="0.35">
      <c r="A52" s="57"/>
      <c r="B52" s="51" t="s">
        <v>104</v>
      </c>
      <c r="C52" s="44">
        <f ca="1">C50/C8</f>
        <v>1.0642905682069579E-2</v>
      </c>
      <c r="D52" s="44">
        <f t="shared" ref="D52:AL52" ca="1" si="56">D50/D8</f>
        <v>-1.2566627139203364E-2</v>
      </c>
      <c r="E52" s="44">
        <f t="shared" ca="1" si="56"/>
        <v>-3.2218813380956626E-2</v>
      </c>
      <c r="F52" s="44">
        <f t="shared" ca="1" si="56"/>
        <v>-4.3366516199720345E-2</v>
      </c>
      <c r="G52" s="44">
        <f t="shared" ca="1" si="56"/>
        <v>-4.730057765855402E-2</v>
      </c>
      <c r="H52" s="44">
        <f t="shared" ca="1" si="56"/>
        <v>-4.5359121460180646E-2</v>
      </c>
      <c r="I52" s="44">
        <f t="shared" ca="1" si="56"/>
        <v>-4.8056443561381681E-2</v>
      </c>
      <c r="J52" s="44">
        <f t="shared" ca="1" si="56"/>
        <v>-4.2608988256878116E-2</v>
      </c>
      <c r="K52" s="44">
        <f t="shared" ca="1" si="56"/>
        <v>-3.535324572179712E-2</v>
      </c>
      <c r="L52" s="44">
        <f t="shared" ca="1" si="56"/>
        <v>-5.7578195053010858E-2</v>
      </c>
      <c r="M52" s="44">
        <f t="shared" ca="1" si="56"/>
        <v>-5.3383401043066152E-2</v>
      </c>
      <c r="N52" s="44">
        <f t="shared" ca="1" si="56"/>
        <v>-4.8637298203662756E-2</v>
      </c>
      <c r="O52" s="44">
        <f t="shared" ca="1" si="56"/>
        <v>-6.5566637454012797E-2</v>
      </c>
      <c r="P52" s="44">
        <f t="shared" ca="1" si="56"/>
        <v>-6.0065170962668765E-2</v>
      </c>
      <c r="Q52" s="44">
        <f t="shared" ca="1" si="56"/>
        <v>-7.8547418854701762E-2</v>
      </c>
      <c r="R52" s="44">
        <f t="shared" ca="1" si="56"/>
        <v>-8.0509019370984022E-2</v>
      </c>
      <c r="S52" s="44">
        <f t="shared" ca="1" si="56"/>
        <v>-7.4273626438021545E-2</v>
      </c>
      <c r="T52" s="44">
        <f t="shared" ca="1" si="56"/>
        <v>-6.8090122035528486E-2</v>
      </c>
      <c r="U52" s="44">
        <f t="shared" ca="1" si="56"/>
        <v>5.9283473001547481E-2</v>
      </c>
      <c r="V52" s="44">
        <f t="shared" ca="1" si="56"/>
        <v>6.2654620755496201E-2</v>
      </c>
      <c r="W52" s="44">
        <f t="shared" ca="1" si="56"/>
        <v>6.5974722772334057E-2</v>
      </c>
      <c r="X52" s="44">
        <f t="shared" ca="1" si="56"/>
        <v>5.4803554111550377E-2</v>
      </c>
      <c r="Y52" s="44">
        <f t="shared" ca="1" si="56"/>
        <v>5.829424828884764E-2</v>
      </c>
      <c r="Z52" s="44">
        <f t="shared" ca="1" si="56"/>
        <v>6.1721422995791538E-2</v>
      </c>
      <c r="AA52" s="44">
        <f t="shared" ca="1" si="56"/>
        <v>4.7595153467346621E-2</v>
      </c>
      <c r="AB52" s="44">
        <f t="shared" ca="1" si="56"/>
        <v>5.1037534941969019E-2</v>
      </c>
      <c r="AC52" s="44">
        <f t="shared" ca="1" si="56"/>
        <v>5.4414042097633217E-2</v>
      </c>
      <c r="AD52" s="44">
        <f t="shared" ca="1" si="56"/>
        <v>5.7725447591968307E-2</v>
      </c>
      <c r="AE52" s="44">
        <f t="shared" ca="1" si="56"/>
        <v>4.7856632935555886E-2</v>
      </c>
      <c r="AF52" s="44">
        <f t="shared" ca="1" si="56"/>
        <v>5.1297841030665578E-2</v>
      </c>
      <c r="AG52" s="44">
        <f t="shared" ca="1" si="56"/>
        <v>5.4671934324389791E-2</v>
      </c>
      <c r="AH52" s="44">
        <f t="shared" ca="1" si="56"/>
        <v>5.7980113736715008E-2</v>
      </c>
      <c r="AI52" s="44">
        <f t="shared" ca="1" si="56"/>
        <v>6.12235934416515E-2</v>
      </c>
      <c r="AJ52" s="44">
        <f t="shared" ca="1" si="56"/>
        <v>6.4403588831249595E-2</v>
      </c>
      <c r="AK52" s="44">
        <f t="shared" ca="1" si="56"/>
        <v>6.7521308485385428E-2</v>
      </c>
      <c r="AL52" s="44">
        <f t="shared" ca="1" si="56"/>
        <v>7.0577948861527393E-2</v>
      </c>
    </row>
    <row r="55" spans="1:38" ht="18.75" x14ac:dyDescent="0.35">
      <c r="C55" s="47"/>
      <c r="D55" s="47"/>
      <c r="E55" s="47"/>
      <c r="F55" s="47"/>
    </row>
    <row r="56" spans="1:38" ht="18.75" x14ac:dyDescent="0.35">
      <c r="B56" s="85"/>
      <c r="C56" s="86" t="s">
        <v>123</v>
      </c>
      <c r="D56" s="86" t="s">
        <v>124</v>
      </c>
      <c r="E56" s="86" t="s">
        <v>125</v>
      </c>
      <c r="F56" s="86" t="s">
        <v>126</v>
      </c>
    </row>
    <row r="57" spans="1:38" ht="18.75" x14ac:dyDescent="0.35">
      <c r="B57" s="81" t="s">
        <v>127</v>
      </c>
      <c r="C57" s="74">
        <v>-1477422</v>
      </c>
      <c r="D57" s="74">
        <f ca="1">SUM(C50:N50)</f>
        <v>-78547.284175418914</v>
      </c>
      <c r="E57" s="74">
        <f ca="1">SUM(O50:Z50)</f>
        <v>7955.1419850000093</v>
      </c>
      <c r="F57" s="74">
        <f ca="1">SUM(AA50:AL50)</f>
        <v>208156.99718350006</v>
      </c>
    </row>
    <row r="58" spans="1:38" ht="18.75" x14ac:dyDescent="0.35">
      <c r="B58" s="81" t="s">
        <v>128</v>
      </c>
      <c r="C58" s="47"/>
      <c r="D58" s="47"/>
      <c r="E58" s="47"/>
      <c r="F58" s="84">
        <f ca="1">C57 + NPV(0.15, D57:F57)</f>
        <v>-1402842.1514626392</v>
      </c>
    </row>
    <row r="59" spans="1:38" ht="18.75" x14ac:dyDescent="0.35">
      <c r="B59" s="81" t="s">
        <v>129</v>
      </c>
      <c r="C59" s="52"/>
      <c r="D59" s="47"/>
      <c r="E59" s="47"/>
      <c r="F59" s="84">
        <f ca="1">IRR(C57:F57)</f>
        <v>-0.49344923870937507</v>
      </c>
    </row>
    <row r="60" spans="1:38" ht="18.75" x14ac:dyDescent="0.35">
      <c r="C60" s="47"/>
      <c r="D60" s="47"/>
      <c r="E60" s="47"/>
      <c r="F60" s="47"/>
    </row>
    <row r="61" spans="1:38" ht="18.75" x14ac:dyDescent="0.35">
      <c r="C61" s="47"/>
      <c r="D61" s="47"/>
      <c r="E61" s="47"/>
      <c r="F61" s="47"/>
    </row>
  </sheetData>
  <mergeCells count="3">
    <mergeCell ref="C1:N1"/>
    <mergeCell ref="O1:Z1"/>
    <mergeCell ref="AA1:AL1"/>
  </mergeCells>
  <conditionalFormatting sqref="C10:AL1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0:AL5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C8:AL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0849-6277-4292-9D6E-6315073F9080}">
  <dimension ref="A1:AM74"/>
  <sheetViews>
    <sheetView topLeftCell="A18" zoomScale="70" zoomScaleNormal="70" workbookViewId="0">
      <selection activeCell="M71" sqref="M71"/>
    </sheetView>
  </sheetViews>
  <sheetFormatPr defaultRowHeight="15" x14ac:dyDescent="0.25"/>
  <cols>
    <col min="1" max="1" width="15.140625" customWidth="1"/>
    <col min="2" max="2" width="64.5703125" customWidth="1"/>
    <col min="3" max="3" width="17" customWidth="1"/>
    <col min="4" max="4" width="14.140625" bestFit="1" customWidth="1"/>
    <col min="5" max="5" width="13.85546875" bestFit="1" customWidth="1"/>
    <col min="6" max="6" width="14.42578125" bestFit="1" customWidth="1"/>
    <col min="7" max="8" width="13.85546875" bestFit="1" customWidth="1"/>
    <col min="9" max="10" width="13.28515625" bestFit="1" customWidth="1"/>
    <col min="11" max="11" width="15" bestFit="1" customWidth="1"/>
    <col min="12" max="15" width="13.85546875" bestFit="1" customWidth="1"/>
    <col min="16" max="16" width="14.140625" bestFit="1" customWidth="1"/>
    <col min="17" max="19" width="13.85546875" bestFit="1" customWidth="1"/>
    <col min="20" max="22" width="14.42578125" bestFit="1" customWidth="1"/>
    <col min="23" max="23" width="15" bestFit="1" customWidth="1"/>
    <col min="24" max="24" width="13.85546875" bestFit="1" customWidth="1"/>
    <col min="25" max="25" width="14.42578125" bestFit="1" customWidth="1"/>
    <col min="26" max="26" width="13.85546875" bestFit="1" customWidth="1"/>
    <col min="27" max="27" width="14.42578125" bestFit="1" customWidth="1"/>
    <col min="28" max="28" width="14.140625" bestFit="1" customWidth="1"/>
    <col min="29" max="30" width="14.42578125" bestFit="1" customWidth="1"/>
    <col min="31" max="31" width="13.85546875" bestFit="1" customWidth="1"/>
    <col min="32" max="34" width="14.42578125" bestFit="1" customWidth="1"/>
    <col min="35" max="35" width="15" bestFit="1" customWidth="1"/>
    <col min="36" max="36" width="13.85546875" bestFit="1" customWidth="1"/>
    <col min="37" max="38" width="14.42578125" bestFit="1" customWidth="1"/>
  </cols>
  <sheetData>
    <row r="1" spans="1:38" ht="95.45" customHeight="1" x14ac:dyDescent="0.6">
      <c r="A1" s="34"/>
      <c r="B1" s="82" t="s">
        <v>122</v>
      </c>
      <c r="C1" s="87">
        <v>2026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8">
        <v>2027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>
        <v>2028</v>
      </c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</row>
    <row r="2" spans="1:38" ht="18.75" x14ac:dyDescent="0.35">
      <c r="A2" s="34"/>
      <c r="B2" s="35" t="s">
        <v>77</v>
      </c>
      <c r="C2" s="36" t="s">
        <v>78</v>
      </c>
      <c r="D2" s="36" t="s">
        <v>79</v>
      </c>
      <c r="E2" s="36" t="s">
        <v>80</v>
      </c>
      <c r="F2" s="36" t="s">
        <v>81</v>
      </c>
      <c r="G2" s="36" t="s">
        <v>82</v>
      </c>
      <c r="H2" s="36" t="s">
        <v>83</v>
      </c>
      <c r="I2" s="36" t="s">
        <v>84</v>
      </c>
      <c r="J2" s="36" t="s">
        <v>85</v>
      </c>
      <c r="K2" s="36" t="s">
        <v>86</v>
      </c>
      <c r="L2" s="36" t="s">
        <v>87</v>
      </c>
      <c r="M2" s="36" t="s">
        <v>88</v>
      </c>
      <c r="N2" s="36" t="s">
        <v>89</v>
      </c>
      <c r="O2" s="36" t="s">
        <v>78</v>
      </c>
      <c r="P2" s="36" t="s">
        <v>79</v>
      </c>
      <c r="Q2" s="36" t="s">
        <v>80</v>
      </c>
      <c r="R2" s="36" t="s">
        <v>81</v>
      </c>
      <c r="S2" s="36" t="s">
        <v>82</v>
      </c>
      <c r="T2" s="36" t="s">
        <v>83</v>
      </c>
      <c r="U2" s="36" t="s">
        <v>84</v>
      </c>
      <c r="V2" s="36" t="s">
        <v>85</v>
      </c>
      <c r="W2" s="36" t="s">
        <v>86</v>
      </c>
      <c r="X2" s="36" t="s">
        <v>87</v>
      </c>
      <c r="Y2" s="36" t="s">
        <v>88</v>
      </c>
      <c r="Z2" s="36" t="s">
        <v>89</v>
      </c>
      <c r="AA2" s="36" t="s">
        <v>78</v>
      </c>
      <c r="AB2" s="36" t="s">
        <v>79</v>
      </c>
      <c r="AC2" s="36" t="s">
        <v>80</v>
      </c>
      <c r="AD2" s="36" t="s">
        <v>81</v>
      </c>
      <c r="AE2" s="36" t="s">
        <v>82</v>
      </c>
      <c r="AF2" s="36" t="s">
        <v>83</v>
      </c>
      <c r="AG2" s="36" t="s">
        <v>84</v>
      </c>
      <c r="AH2" s="36" t="s">
        <v>85</v>
      </c>
      <c r="AI2" s="36" t="s">
        <v>86</v>
      </c>
      <c r="AJ2" s="36" t="s">
        <v>87</v>
      </c>
      <c r="AK2" s="36" t="s">
        <v>88</v>
      </c>
      <c r="AL2" s="36" t="s">
        <v>89</v>
      </c>
    </row>
    <row r="3" spans="1:38" ht="18" x14ac:dyDescent="0.35">
      <c r="A3" s="34"/>
      <c r="B3" s="50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</row>
    <row r="4" spans="1:38" ht="32.1" customHeight="1" x14ac:dyDescent="0.35">
      <c r="A4" s="38">
        <v>1.03</v>
      </c>
      <c r="B4" s="49" t="s">
        <v>114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1:38" ht="27.6" customHeight="1" x14ac:dyDescent="0.35">
      <c r="A5" s="40">
        <v>3900</v>
      </c>
      <c r="B5" s="51" t="s">
        <v>115</v>
      </c>
      <c r="C5" s="74">
        <f ca="1">C20*C23*C24</f>
        <v>30057.503616000002</v>
      </c>
      <c r="D5" s="74">
        <f t="shared" ref="D5:AL5" ca="1" si="0">D20*D23*D24</f>
        <v>28198.204531200001</v>
      </c>
      <c r="E5" s="74">
        <f t="shared" ca="1" si="0"/>
        <v>27039.85421184</v>
      </c>
      <c r="F5" s="74">
        <f t="shared" ca="1" si="0"/>
        <v>26375.031209088</v>
      </c>
      <c r="G5" s="74">
        <f t="shared" ca="1" si="0"/>
        <v>26058.597772377605</v>
      </c>
      <c r="H5" s="74">
        <f t="shared" ca="1" si="0"/>
        <v>25989.015885200643</v>
      </c>
      <c r="I5" s="74">
        <f t="shared" ca="1" si="0"/>
        <v>26095.268513067502</v>
      </c>
      <c r="J5" s="74">
        <f t="shared" ca="1" si="0"/>
        <v>26327.704500442836</v>
      </c>
      <c r="K5" s="74">
        <f t="shared" ca="1" si="0"/>
        <v>26651.630022431484</v>
      </c>
      <c r="L5" s="74">
        <f t="shared" ca="1" si="0"/>
        <v>27042.822625265966</v>
      </c>
      <c r="M5" s="74">
        <f t="shared" ca="1" si="0"/>
        <v>27484.391079441382</v>
      </c>
      <c r="N5" s="74">
        <f t="shared" ca="1" si="0"/>
        <v>27964.577302199279</v>
      </c>
      <c r="O5" s="74">
        <f t="shared" ca="1" si="0"/>
        <v>29312.724132857536</v>
      </c>
      <c r="P5" s="74">
        <f t="shared" ca="1" si="0"/>
        <v>29863.921191398505</v>
      </c>
      <c r="Q5" s="74">
        <f t="shared" ca="1" si="0"/>
        <v>30436.659418345138</v>
      </c>
      <c r="R5" s="74">
        <f t="shared" ca="1" si="0"/>
        <v>31028.214468895105</v>
      </c>
      <c r="S5" s="74">
        <f t="shared" ca="1" si="0"/>
        <v>31636.754061801159</v>
      </c>
      <c r="T5" s="74">
        <f t="shared" ca="1" si="0"/>
        <v>32261.071855506878</v>
      </c>
      <c r="U5" s="74">
        <f t="shared" ca="1" si="0"/>
        <v>32900.401191345809</v>
      </c>
      <c r="V5" s="74">
        <f t="shared" ca="1" si="0"/>
        <v>33554.284744282879</v>
      </c>
      <c r="W5" s="74">
        <f t="shared" ca="1" si="0"/>
        <v>34222.483309545642</v>
      </c>
      <c r="X5" s="74">
        <f t="shared" ca="1" si="0"/>
        <v>34904.911985000537</v>
      </c>
      <c r="Y5" s="74">
        <f t="shared" ca="1" si="0"/>
        <v>35601.595531185325</v>
      </c>
      <c r="Z5" s="74">
        <f t="shared" ca="1" si="0"/>
        <v>36312.637156348384</v>
      </c>
      <c r="AA5" s="74">
        <f t="shared" ca="1" si="0"/>
        <v>38096.430891071555</v>
      </c>
      <c r="AB5" s="74">
        <f t="shared" ca="1" si="0"/>
        <v>38857.860405020816</v>
      </c>
      <c r="AC5" s="74">
        <f t="shared" ca="1" si="0"/>
        <v>39634.668240410712</v>
      </c>
      <c r="AD5" s="74">
        <f t="shared" ca="1" si="0"/>
        <v>40427.117044321567</v>
      </c>
      <c r="AE5" s="74">
        <f t="shared" ca="1" si="0"/>
        <v>41235.48819257984</v>
      </c>
      <c r="AF5" s="74">
        <f t="shared" ca="1" si="0"/>
        <v>42060.078121591738</v>
      </c>
      <c r="AG5" s="74">
        <f t="shared" ca="1" si="0"/>
        <v>42901.195799635767</v>
      </c>
      <c r="AH5" s="74">
        <f t="shared" ca="1" si="0"/>
        <v>43759.160996557024</v>
      </c>
      <c r="AI5" s="74">
        <f t="shared" ca="1" si="0"/>
        <v>44634.30311313815</v>
      </c>
      <c r="AJ5" s="74">
        <f t="shared" ca="1" si="0"/>
        <v>45526.960403055891</v>
      </c>
      <c r="AK5" s="74">
        <f t="shared" ca="1" si="0"/>
        <v>46437.479470475504</v>
      </c>
      <c r="AL5" s="74">
        <f t="shared" ca="1" si="0"/>
        <v>47366.214961435966</v>
      </c>
    </row>
    <row r="6" spans="1:38" ht="25.5" customHeight="1" x14ac:dyDescent="0.35">
      <c r="A6" s="56"/>
      <c r="B6" s="51" t="s">
        <v>116</v>
      </c>
      <c r="C6" s="75">
        <f>C12*C25</f>
        <v>53539.500000000007</v>
      </c>
      <c r="D6" s="75">
        <f t="shared" ref="D6:AL6" si="1">D12*D25</f>
        <v>50227.65</v>
      </c>
      <c r="E6" s="75">
        <f t="shared" si="1"/>
        <v>48164.355000000003</v>
      </c>
      <c r="F6" s="75">
        <f t="shared" si="1"/>
        <v>46980.148500000003</v>
      </c>
      <c r="G6" s="75">
        <f t="shared" si="1"/>
        <v>46416.505950000006</v>
      </c>
      <c r="H6" s="75">
        <f t="shared" si="1"/>
        <v>46292.56420500001</v>
      </c>
      <c r="I6" s="75">
        <f t="shared" si="1"/>
        <v>46481.825184300018</v>
      </c>
      <c r="J6" s="75">
        <f t="shared" si="1"/>
        <v>46895.848474626007</v>
      </c>
      <c r="K6" s="75">
        <f t="shared" si="1"/>
        <v>47472.836194766525</v>
      </c>
      <c r="L6" s="75">
        <f t="shared" si="1"/>
        <v>48169.642444115452</v>
      </c>
      <c r="M6" s="75">
        <f t="shared" si="1"/>
        <v>48956.17996081528</v>
      </c>
      <c r="N6" s="75">
        <f t="shared" si="1"/>
        <v>49811.50482750385</v>
      </c>
      <c r="O6" s="75">
        <f t="shared" si="1"/>
        <v>60865.290973541414</v>
      </c>
      <c r="P6" s="75">
        <f t="shared" si="1"/>
        <v>62009.803138285934</v>
      </c>
      <c r="Q6" s="75">
        <f t="shared" si="1"/>
        <v>63199.043642743229</v>
      </c>
      <c r="R6" s="75">
        <f t="shared" si="1"/>
        <v>64427.355624782205</v>
      </c>
      <c r="S6" s="75">
        <f t="shared" si="1"/>
        <v>65690.934513706728</v>
      </c>
      <c r="T6" s="75">
        <f t="shared" si="1"/>
        <v>66987.275447481064</v>
      </c>
      <c r="U6" s="75">
        <f t="shared" si="1"/>
        <v>68314.786526880838</v>
      </c>
      <c r="V6" s="75">
        <f t="shared" si="1"/>
        <v>69672.518156733553</v>
      </c>
      <c r="W6" s="75">
        <f t="shared" si="1"/>
        <v>71059.97364938879</v>
      </c>
      <c r="X6" s="75">
        <f t="shared" si="1"/>
        <v>72476.976713040989</v>
      </c>
      <c r="Y6" s="75">
        <f t="shared" si="1"/>
        <v>73923.57876076689</v>
      </c>
      <c r="Z6" s="75">
        <f t="shared" si="1"/>
        <v>75399.994095407776</v>
      </c>
      <c r="AA6" s="75">
        <f t="shared" si="1"/>
        <v>89724.313710399467</v>
      </c>
      <c r="AB6" s="75">
        <f t="shared" si="1"/>
        <v>91517.624500412407</v>
      </c>
      <c r="AC6" s="75">
        <f t="shared" si="1"/>
        <v>93347.154151484108</v>
      </c>
      <c r="AD6" s="75">
        <f t="shared" si="1"/>
        <v>95213.521247258206</v>
      </c>
      <c r="AE6" s="75">
        <f t="shared" si="1"/>
        <v>97117.388481124464</v>
      </c>
      <c r="AF6" s="75">
        <f t="shared" si="1"/>
        <v>99059.454016991731</v>
      </c>
      <c r="AG6" s="75">
        <f t="shared" si="1"/>
        <v>101040.44553370289</v>
      </c>
      <c r="AH6" s="75">
        <f t="shared" si="1"/>
        <v>103061.11614983689</v>
      </c>
      <c r="AI6" s="75">
        <f t="shared" si="1"/>
        <v>105122.24166665557</v>
      </c>
      <c r="AJ6" s="75">
        <f t="shared" si="1"/>
        <v>107224.61873566406</v>
      </c>
      <c r="AK6" s="75">
        <f t="shared" si="1"/>
        <v>109369.0636753501</v>
      </c>
      <c r="AL6" s="75">
        <f t="shared" si="1"/>
        <v>111556.41174433804</v>
      </c>
    </row>
    <row r="7" spans="1:38" ht="36.950000000000003" customHeight="1" x14ac:dyDescent="0.35">
      <c r="A7" s="56"/>
      <c r="B7" s="51" t="s">
        <v>117</v>
      </c>
      <c r="C7" s="75">
        <f ca="1">C20*C26</f>
        <v>110505.52800000002</v>
      </c>
      <c r="D7" s="75">
        <f t="shared" ref="D7:AL7" ca="1" si="2">D20*D26</f>
        <v>103669.86960000001</v>
      </c>
      <c r="E7" s="75">
        <f t="shared" ca="1" si="2"/>
        <v>99411.228720000014</v>
      </c>
      <c r="F7" s="75">
        <f t="shared" ca="1" si="2"/>
        <v>96967.026504000009</v>
      </c>
      <c r="G7" s="75">
        <f t="shared" ca="1" si="2"/>
        <v>95803.668280800019</v>
      </c>
      <c r="H7" s="75">
        <f t="shared" ca="1" si="2"/>
        <v>95547.852519120002</v>
      </c>
      <c r="I7" s="75">
        <f t="shared" ca="1" si="2"/>
        <v>95938.487180395226</v>
      </c>
      <c r="J7" s="75">
        <f t="shared" ca="1" si="2"/>
        <v>96793.031251628083</v>
      </c>
      <c r="K7" s="75">
        <f t="shared" ca="1" si="2"/>
        <v>97983.933905998099</v>
      </c>
      <c r="L7" s="75">
        <f t="shared" ca="1" si="2"/>
        <v>99422.142004654292</v>
      </c>
      <c r="M7" s="75">
        <f t="shared" ca="1" si="2"/>
        <v>101045.55543912275</v>
      </c>
      <c r="N7" s="75">
        <f t="shared" ca="1" si="2"/>
        <v>102810.94596396794</v>
      </c>
      <c r="O7" s="75">
        <f t="shared" ca="1" si="2"/>
        <v>122136.35055357308</v>
      </c>
      <c r="P7" s="75">
        <f t="shared" ca="1" si="2"/>
        <v>124433.00496416044</v>
      </c>
      <c r="Q7" s="75">
        <f t="shared" ca="1" si="2"/>
        <v>126819.41424310475</v>
      </c>
      <c r="R7" s="75">
        <f t="shared" ca="1" si="2"/>
        <v>129284.22695372961</v>
      </c>
      <c r="S7" s="75">
        <f t="shared" ca="1" si="2"/>
        <v>131819.80859083816</v>
      </c>
      <c r="T7" s="75">
        <f t="shared" ca="1" si="2"/>
        <v>134421.13273127866</v>
      </c>
      <c r="U7" s="75">
        <f t="shared" ca="1" si="2"/>
        <v>137085.00496394088</v>
      </c>
      <c r="V7" s="75">
        <f t="shared" ca="1" si="2"/>
        <v>139809.51976784534</v>
      </c>
      <c r="W7" s="75">
        <f t="shared" ca="1" si="2"/>
        <v>142593.68045644017</v>
      </c>
      <c r="X7" s="75">
        <f t="shared" ca="1" si="2"/>
        <v>145437.13327083556</v>
      </c>
      <c r="Y7" s="75">
        <f t="shared" ca="1" si="2"/>
        <v>148339.98137993886</v>
      </c>
      <c r="Z7" s="75">
        <f t="shared" ca="1" si="2"/>
        <v>151302.65481811829</v>
      </c>
      <c r="AA7" s="75">
        <f t="shared" ca="1" si="2"/>
        <v>176372.36523644239</v>
      </c>
      <c r="AB7" s="75">
        <f t="shared" ca="1" si="2"/>
        <v>179897.50187509638</v>
      </c>
      <c r="AC7" s="75">
        <f t="shared" ca="1" si="2"/>
        <v>183493.83444634589</v>
      </c>
      <c r="AD7" s="75">
        <f t="shared" ca="1" si="2"/>
        <v>187162.57890889613</v>
      </c>
      <c r="AE7" s="75">
        <f t="shared" ca="1" si="2"/>
        <v>190905.03792861037</v>
      </c>
      <c r="AF7" s="75">
        <f t="shared" ca="1" si="2"/>
        <v>194722.58389625803</v>
      </c>
      <c r="AG7" s="75">
        <f t="shared" ca="1" si="2"/>
        <v>198616.64722053596</v>
      </c>
      <c r="AH7" s="75">
        <f t="shared" ca="1" si="2"/>
        <v>202588.70831739364</v>
      </c>
      <c r="AI7" s="75">
        <f t="shared" ca="1" si="2"/>
        <v>206640.29219045438</v>
      </c>
      <c r="AJ7" s="75">
        <f t="shared" ca="1" si="2"/>
        <v>210772.96482896249</v>
      </c>
      <c r="AK7" s="75">
        <f t="shared" ca="1" si="2"/>
        <v>214988.33088183106</v>
      </c>
      <c r="AL7" s="75">
        <f t="shared" ca="1" si="2"/>
        <v>219288.0322288702</v>
      </c>
    </row>
    <row r="8" spans="1:38" ht="26.45" customHeight="1" x14ac:dyDescent="0.35">
      <c r="A8" s="56"/>
      <c r="B8" s="81" t="s">
        <v>118</v>
      </c>
      <c r="C8" s="75">
        <f ca="1">SUM(C5:C7)</f>
        <v>194102.53161600002</v>
      </c>
      <c r="D8" s="75">
        <f t="shared" ref="D8:AL8" ca="1" si="3">SUM(D5:D7)</f>
        <v>182095.7241312</v>
      </c>
      <c r="E8" s="75">
        <f t="shared" ca="1" si="3"/>
        <v>174615.43793184002</v>
      </c>
      <c r="F8" s="75">
        <f t="shared" ca="1" si="3"/>
        <v>170322.20621308801</v>
      </c>
      <c r="G8" s="75">
        <f t="shared" ca="1" si="3"/>
        <v>168278.77200317761</v>
      </c>
      <c r="H8" s="75">
        <f t="shared" ca="1" si="3"/>
        <v>167829.43260932065</v>
      </c>
      <c r="I8" s="75">
        <f t="shared" ca="1" si="3"/>
        <v>168515.58087776275</v>
      </c>
      <c r="J8" s="75">
        <f t="shared" ca="1" si="3"/>
        <v>170016.58422669693</v>
      </c>
      <c r="K8" s="75">
        <f t="shared" ca="1" si="3"/>
        <v>172108.4001231961</v>
      </c>
      <c r="L8" s="75">
        <f t="shared" ca="1" si="3"/>
        <v>174634.60707403571</v>
      </c>
      <c r="M8" s="75">
        <f t="shared" ca="1" si="3"/>
        <v>177486.12647937943</v>
      </c>
      <c r="N8" s="75">
        <f t="shared" ca="1" si="3"/>
        <v>180587.02809367108</v>
      </c>
      <c r="O8" s="75">
        <f t="shared" ca="1" si="3"/>
        <v>212314.36565997201</v>
      </c>
      <c r="P8" s="75">
        <f t="shared" ca="1" si="3"/>
        <v>216306.7292938449</v>
      </c>
      <c r="Q8" s="75">
        <f t="shared" ca="1" si="3"/>
        <v>220455.11730419312</v>
      </c>
      <c r="R8" s="75">
        <f t="shared" ca="1" si="3"/>
        <v>224739.7970474069</v>
      </c>
      <c r="S8" s="75">
        <f t="shared" ca="1" si="3"/>
        <v>229147.49716634606</v>
      </c>
      <c r="T8" s="75">
        <f t="shared" ca="1" si="3"/>
        <v>233669.4800342666</v>
      </c>
      <c r="U8" s="75">
        <f t="shared" ca="1" si="3"/>
        <v>238300.19268216752</v>
      </c>
      <c r="V8" s="75">
        <f t="shared" ca="1" si="3"/>
        <v>243036.32266886177</v>
      </c>
      <c r="W8" s="75">
        <f t="shared" ca="1" si="3"/>
        <v>247876.1374153746</v>
      </c>
      <c r="X8" s="75">
        <f t="shared" ca="1" si="3"/>
        <v>252819.02196887709</v>
      </c>
      <c r="Y8" s="75">
        <f t="shared" ca="1" si="3"/>
        <v>257865.15567189109</v>
      </c>
      <c r="Z8" s="75">
        <f t="shared" ca="1" si="3"/>
        <v>263015.28606987442</v>
      </c>
      <c r="AA8" s="75">
        <f t="shared" ca="1" si="3"/>
        <v>304193.10983791342</v>
      </c>
      <c r="AB8" s="75">
        <f t="shared" ca="1" si="3"/>
        <v>310272.98678052961</v>
      </c>
      <c r="AC8" s="75">
        <f t="shared" ca="1" si="3"/>
        <v>316475.65683824068</v>
      </c>
      <c r="AD8" s="75">
        <f t="shared" ca="1" si="3"/>
        <v>322803.21720047592</v>
      </c>
      <c r="AE8" s="75">
        <f t="shared" ca="1" si="3"/>
        <v>329257.9146023147</v>
      </c>
      <c r="AF8" s="75">
        <f t="shared" ca="1" si="3"/>
        <v>335842.11603484151</v>
      </c>
      <c r="AG8" s="75">
        <f t="shared" ca="1" si="3"/>
        <v>342558.28855387459</v>
      </c>
      <c r="AH8" s="75">
        <f t="shared" ca="1" si="3"/>
        <v>349408.98546378757</v>
      </c>
      <c r="AI8" s="75">
        <f t="shared" ca="1" si="3"/>
        <v>356396.83697024808</v>
      </c>
      <c r="AJ8" s="75">
        <f t="shared" ca="1" si="3"/>
        <v>363524.5439676824</v>
      </c>
      <c r="AK8" s="75">
        <f t="shared" ca="1" si="3"/>
        <v>370794.87402765668</v>
      </c>
      <c r="AL8" s="75">
        <f t="shared" ca="1" si="3"/>
        <v>378210.65893464419</v>
      </c>
    </row>
    <row r="9" spans="1:38" ht="18.75" x14ac:dyDescent="0.35">
      <c r="A9" s="57"/>
      <c r="B9" s="51" t="s">
        <v>90</v>
      </c>
      <c r="C9" s="44">
        <v>1</v>
      </c>
      <c r="D9" s="44">
        <f ca="1">(D8/C8*100%)-100%</f>
        <v>-6.1858067408175343E-2</v>
      </c>
      <c r="E9" s="44">
        <f ca="1">(E8/D8*100%)-100%</f>
        <v>-4.1078867914385642E-2</v>
      </c>
      <c r="F9" s="44">
        <f t="shared" ref="F9:AL9" ca="1" si="4">(F8/E8*100%)-100%</f>
        <v>-2.4586782071513325E-2</v>
      </c>
      <c r="G9" s="44">
        <f t="shared" ca="1" si="4"/>
        <v>-1.1997462076987708E-2</v>
      </c>
      <c r="H9" s="44">
        <f t="shared" ca="1" si="4"/>
        <v>-2.670208419684017E-3</v>
      </c>
      <c r="I9" s="44">
        <f t="shared" ca="1" si="4"/>
        <v>4.0883667290907422E-3</v>
      </c>
      <c r="J9" s="44">
        <f t="shared" ca="1" si="4"/>
        <v>8.9072081116521318E-3</v>
      </c>
      <c r="K9" s="44">
        <f t="shared" ca="1" si="4"/>
        <v>1.2303599122483133E-2</v>
      </c>
      <c r="L9" s="44">
        <f t="shared" ca="1" si="4"/>
        <v>1.4677999150717325E-2</v>
      </c>
      <c r="M9" s="44">
        <f t="shared" ca="1" si="4"/>
        <v>1.6328489828678849E-2</v>
      </c>
      <c r="N9" s="44">
        <f t="shared" ca="1" si="4"/>
        <v>1.7471233813037834E-2</v>
      </c>
      <c r="O9" s="44">
        <f t="shared" ca="1" si="4"/>
        <v>0.17569001440039123</v>
      </c>
      <c r="P9" s="44">
        <f t="shared" ca="1" si="4"/>
        <v>1.8804020262419563E-2</v>
      </c>
      <c r="Q9" s="44">
        <f t="shared" ca="1" si="4"/>
        <v>1.91782660848836E-2</v>
      </c>
      <c r="R9" s="44">
        <f t="shared" ca="1" si="4"/>
        <v>1.9435610275726045E-2</v>
      </c>
      <c r="S9" s="44">
        <f t="shared" ca="1" si="4"/>
        <v>1.9612459283343542E-2</v>
      </c>
      <c r="T9" s="44">
        <f t="shared" ca="1" si="4"/>
        <v>1.9733939597157635E-2</v>
      </c>
      <c r="U9" s="44">
        <f t="shared" ca="1" si="4"/>
        <v>1.9817361887491058E-2</v>
      </c>
      <c r="V9" s="44">
        <f t="shared" ca="1" si="4"/>
        <v>1.9874637671867257E-2</v>
      </c>
      <c r="W9" s="44">
        <f t="shared" ca="1" si="4"/>
        <v>1.9913956454595816E-2</v>
      </c>
      <c r="X9" s="44">
        <f t="shared" ca="1" si="4"/>
        <v>1.9940945526432552E-2</v>
      </c>
      <c r="Y9" s="44">
        <f t="shared" ca="1" si="4"/>
        <v>1.9959470073557917E-2</v>
      </c>
      <c r="Z9" s="44">
        <f t="shared" ca="1" si="4"/>
        <v>1.9972184239333224E-2</v>
      </c>
      <c r="AA9" s="44">
        <f t="shared" ca="1" si="4"/>
        <v>0.15656057251782474</v>
      </c>
      <c r="AB9" s="44">
        <f t="shared" ca="1" si="4"/>
        <v>1.9986898933561648E-2</v>
      </c>
      <c r="AC9" s="44">
        <f t="shared" ca="1" si="4"/>
        <v>1.9991008956569356E-2</v>
      </c>
      <c r="AD9" s="44">
        <f t="shared" ca="1" si="4"/>
        <v>1.9993829621686832E-2</v>
      </c>
      <c r="AE9" s="44">
        <f t="shared" ca="1" si="4"/>
        <v>1.9995765401030985E-2</v>
      </c>
      <c r="AF9" s="44">
        <f t="shared" ca="1" si="4"/>
        <v>1.9997093890603557E-2</v>
      </c>
      <c r="AG9" s="44">
        <f t="shared" ca="1" si="4"/>
        <v>1.999800560551579E-2</v>
      </c>
      <c r="AH9" s="44">
        <f t="shared" ca="1" si="4"/>
        <v>1.9998631295227165E-2</v>
      </c>
      <c r="AI9" s="44">
        <f t="shared" ca="1" si="4"/>
        <v>1.9999060691542336E-2</v>
      </c>
      <c r="AJ9" s="44">
        <f t="shared" ca="1" si="4"/>
        <v>1.9999355375954986E-2</v>
      </c>
      <c r="AK9" s="44">
        <f t="shared" ca="1" si="4"/>
        <v>1.9999557610670182E-2</v>
      </c>
      <c r="AL9" s="44">
        <f t="shared" ca="1" si="4"/>
        <v>1.9999696399347622E-2</v>
      </c>
    </row>
    <row r="10" spans="1:38" ht="23.1" customHeight="1" x14ac:dyDescent="0.35">
      <c r="A10" s="57"/>
      <c r="B10" s="52"/>
      <c r="C10" s="41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 spans="1:38" ht="22.5" customHeight="1" x14ac:dyDescent="0.35">
      <c r="A11" s="58"/>
      <c r="B11" s="49" t="s">
        <v>93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pans="1:38" ht="29.45" customHeight="1" x14ac:dyDescent="0.35">
      <c r="A12" s="38">
        <v>0.02</v>
      </c>
      <c r="B12" s="51" t="s">
        <v>106</v>
      </c>
      <c r="C12" s="72">
        <f>30594-30594*C14</f>
        <v>21415.800000000003</v>
      </c>
      <c r="D12" s="69">
        <f>C12+D13-(C12*D14)</f>
        <v>20091.060000000001</v>
      </c>
      <c r="E12" s="69">
        <f t="shared" ref="E12:AL12" si="5">D12+E13-(D12*E14)</f>
        <v>19265.742000000002</v>
      </c>
      <c r="F12" s="69">
        <f t="shared" si="5"/>
        <v>18792.059400000002</v>
      </c>
      <c r="G12" s="69">
        <f t="shared" si="5"/>
        <v>18566.602380000004</v>
      </c>
      <c r="H12" s="69">
        <f t="shared" si="5"/>
        <v>18517.025682000003</v>
      </c>
      <c r="I12" s="69">
        <f t="shared" si="5"/>
        <v>18592.730073720006</v>
      </c>
      <c r="J12" s="69">
        <f t="shared" si="5"/>
        <v>18758.339389850404</v>
      </c>
      <c r="K12" s="69">
        <f t="shared" si="5"/>
        <v>18989.134477906609</v>
      </c>
      <c r="L12" s="69">
        <f t="shared" si="5"/>
        <v>19267.856977646181</v>
      </c>
      <c r="M12" s="69">
        <f t="shared" si="5"/>
        <v>19582.471984326112</v>
      </c>
      <c r="N12" s="69">
        <f t="shared" si="5"/>
        <v>19924.60193100154</v>
      </c>
      <c r="O12" s="69">
        <f t="shared" si="5"/>
        <v>20288.430324513803</v>
      </c>
      <c r="P12" s="69">
        <f t="shared" si="5"/>
        <v>20669.934379428643</v>
      </c>
      <c r="Q12" s="69">
        <f t="shared" si="5"/>
        <v>21066.347880914411</v>
      </c>
      <c r="R12" s="69">
        <f t="shared" si="5"/>
        <v>21475.785208260735</v>
      </c>
      <c r="S12" s="69">
        <f t="shared" si="5"/>
        <v>21896.978171235576</v>
      </c>
      <c r="T12" s="69">
        <f t="shared" si="5"/>
        <v>22329.091815827021</v>
      </c>
      <c r="U12" s="69">
        <f t="shared" si="5"/>
        <v>22771.595508960279</v>
      </c>
      <c r="V12" s="69">
        <f t="shared" si="5"/>
        <v>23224.172718911184</v>
      </c>
      <c r="W12" s="69">
        <f t="shared" si="5"/>
        <v>23686.657883129599</v>
      </c>
      <c r="X12" s="69">
        <f t="shared" si="5"/>
        <v>24158.99223768033</v>
      </c>
      <c r="Y12" s="69">
        <f t="shared" si="5"/>
        <v>24641.192920255628</v>
      </c>
      <c r="Z12" s="69">
        <f t="shared" si="5"/>
        <v>25133.331365135928</v>
      </c>
      <c r="AA12" s="69">
        <f t="shared" si="5"/>
        <v>25635.518202971278</v>
      </c>
      <c r="AB12" s="69">
        <f t="shared" si="5"/>
        <v>26147.892714403544</v>
      </c>
      <c r="AC12" s="69">
        <f t="shared" si="5"/>
        <v>26670.615471852601</v>
      </c>
      <c r="AD12" s="69">
        <f t="shared" si="5"/>
        <v>27203.863213502344</v>
      </c>
      <c r="AE12" s="69">
        <f t="shared" si="5"/>
        <v>27747.825280321274</v>
      </c>
      <c r="AF12" s="69">
        <f t="shared" si="5"/>
        <v>28302.701147711923</v>
      </c>
      <c r="AG12" s="69">
        <f t="shared" si="5"/>
        <v>28868.698723915113</v>
      </c>
      <c r="AH12" s="69">
        <f t="shared" si="5"/>
        <v>29446.033185667682</v>
      </c>
      <c r="AI12" s="69">
        <f t="shared" si="5"/>
        <v>30034.926190473019</v>
      </c>
      <c r="AJ12" s="69">
        <f t="shared" si="5"/>
        <v>30635.605353046874</v>
      </c>
      <c r="AK12" s="69">
        <f t="shared" si="5"/>
        <v>31248.303907242887</v>
      </c>
      <c r="AL12" s="69">
        <f t="shared" si="5"/>
        <v>31873.260498382297</v>
      </c>
    </row>
    <row r="13" spans="1:38" ht="24.6" customHeight="1" x14ac:dyDescent="0.35">
      <c r="A13" s="71">
        <v>5000</v>
      </c>
      <c r="B13" s="51" t="s">
        <v>105</v>
      </c>
      <c r="C13" s="70">
        <f>$A$13</f>
        <v>5000</v>
      </c>
      <c r="D13" s="69">
        <f>C13+C13*$A$12</f>
        <v>5100</v>
      </c>
      <c r="E13" s="69">
        <f t="shared" ref="E13:AL13" si="6">D13+D13*$A$12</f>
        <v>5202</v>
      </c>
      <c r="F13" s="69">
        <f t="shared" si="6"/>
        <v>5306.04</v>
      </c>
      <c r="G13" s="69">
        <f t="shared" si="6"/>
        <v>5412.1607999999997</v>
      </c>
      <c r="H13" s="69">
        <f t="shared" si="6"/>
        <v>5520.4040159999995</v>
      </c>
      <c r="I13" s="69">
        <f t="shared" si="6"/>
        <v>5630.8120963199999</v>
      </c>
      <c r="J13" s="69">
        <f t="shared" si="6"/>
        <v>5743.4283382464</v>
      </c>
      <c r="K13" s="69">
        <f t="shared" si="6"/>
        <v>5858.2969050113279</v>
      </c>
      <c r="L13" s="69">
        <f t="shared" si="6"/>
        <v>5975.4628431115543</v>
      </c>
      <c r="M13" s="69">
        <f t="shared" si="6"/>
        <v>6094.9720999737856</v>
      </c>
      <c r="N13" s="69">
        <f t="shared" si="6"/>
        <v>6216.8715419732616</v>
      </c>
      <c r="O13" s="69">
        <f t="shared" si="6"/>
        <v>6341.2089728127266</v>
      </c>
      <c r="P13" s="69">
        <f t="shared" si="6"/>
        <v>6468.0331522689812</v>
      </c>
      <c r="Q13" s="69">
        <f t="shared" si="6"/>
        <v>6597.3938153143608</v>
      </c>
      <c r="R13" s="69">
        <f t="shared" si="6"/>
        <v>6729.3416916206479</v>
      </c>
      <c r="S13" s="69">
        <f t="shared" si="6"/>
        <v>6863.9285254530605</v>
      </c>
      <c r="T13" s="69">
        <f t="shared" si="6"/>
        <v>7001.2070959621215</v>
      </c>
      <c r="U13" s="69">
        <f t="shared" si="6"/>
        <v>7141.231237881364</v>
      </c>
      <c r="V13" s="69">
        <f t="shared" si="6"/>
        <v>7284.0558626389911</v>
      </c>
      <c r="W13" s="69">
        <f t="shared" si="6"/>
        <v>7429.7369798917707</v>
      </c>
      <c r="X13" s="69">
        <f t="shared" si="6"/>
        <v>7578.3317194896063</v>
      </c>
      <c r="Y13" s="69">
        <f t="shared" si="6"/>
        <v>7729.8983538793982</v>
      </c>
      <c r="Z13" s="69">
        <f t="shared" si="6"/>
        <v>7884.496320956986</v>
      </c>
      <c r="AA13" s="69">
        <f t="shared" si="6"/>
        <v>8042.1862473761257</v>
      </c>
      <c r="AB13" s="69">
        <f t="shared" si="6"/>
        <v>8203.0299723236476</v>
      </c>
      <c r="AC13" s="69">
        <f t="shared" si="6"/>
        <v>8367.0905717701207</v>
      </c>
      <c r="AD13" s="69">
        <f t="shared" si="6"/>
        <v>8534.4323832055234</v>
      </c>
      <c r="AE13" s="69">
        <f t="shared" si="6"/>
        <v>8705.1210308696336</v>
      </c>
      <c r="AF13" s="69">
        <f t="shared" si="6"/>
        <v>8879.223451487027</v>
      </c>
      <c r="AG13" s="69">
        <f t="shared" si="6"/>
        <v>9056.8079205167669</v>
      </c>
      <c r="AH13" s="69">
        <f t="shared" si="6"/>
        <v>9237.944078927103</v>
      </c>
      <c r="AI13" s="69">
        <f t="shared" si="6"/>
        <v>9422.702960505645</v>
      </c>
      <c r="AJ13" s="69">
        <f t="shared" si="6"/>
        <v>9611.157019715758</v>
      </c>
      <c r="AK13" s="69">
        <f t="shared" si="6"/>
        <v>9803.3801601100731</v>
      </c>
      <c r="AL13" s="69">
        <f t="shared" si="6"/>
        <v>9999.4477633122751</v>
      </c>
    </row>
    <row r="14" spans="1:38" ht="22.5" customHeight="1" x14ac:dyDescent="0.35">
      <c r="A14" s="38">
        <v>0.3</v>
      </c>
      <c r="B14" s="51" t="s">
        <v>27</v>
      </c>
      <c r="C14" s="63">
        <f>$A$14</f>
        <v>0.3</v>
      </c>
      <c r="D14" s="63">
        <f t="shared" ref="D14:AL14" si="7">$A$14</f>
        <v>0.3</v>
      </c>
      <c r="E14" s="63">
        <f t="shared" si="7"/>
        <v>0.3</v>
      </c>
      <c r="F14" s="63">
        <f t="shared" si="7"/>
        <v>0.3</v>
      </c>
      <c r="G14" s="63">
        <f t="shared" si="7"/>
        <v>0.3</v>
      </c>
      <c r="H14" s="63">
        <f t="shared" si="7"/>
        <v>0.3</v>
      </c>
      <c r="I14" s="63">
        <f t="shared" si="7"/>
        <v>0.3</v>
      </c>
      <c r="J14" s="63">
        <f t="shared" si="7"/>
        <v>0.3</v>
      </c>
      <c r="K14" s="63">
        <f t="shared" si="7"/>
        <v>0.3</v>
      </c>
      <c r="L14" s="63">
        <f t="shared" si="7"/>
        <v>0.3</v>
      </c>
      <c r="M14" s="63">
        <f t="shared" si="7"/>
        <v>0.3</v>
      </c>
      <c r="N14" s="63">
        <f t="shared" si="7"/>
        <v>0.3</v>
      </c>
      <c r="O14" s="63">
        <f t="shared" si="7"/>
        <v>0.3</v>
      </c>
      <c r="P14" s="63">
        <f t="shared" si="7"/>
        <v>0.3</v>
      </c>
      <c r="Q14" s="63">
        <f t="shared" si="7"/>
        <v>0.3</v>
      </c>
      <c r="R14" s="63">
        <f t="shared" si="7"/>
        <v>0.3</v>
      </c>
      <c r="S14" s="63">
        <f t="shared" si="7"/>
        <v>0.3</v>
      </c>
      <c r="T14" s="63">
        <f t="shared" si="7"/>
        <v>0.3</v>
      </c>
      <c r="U14" s="63">
        <f t="shared" si="7"/>
        <v>0.3</v>
      </c>
      <c r="V14" s="63">
        <f t="shared" si="7"/>
        <v>0.3</v>
      </c>
      <c r="W14" s="63">
        <f t="shared" si="7"/>
        <v>0.3</v>
      </c>
      <c r="X14" s="63">
        <f t="shared" si="7"/>
        <v>0.3</v>
      </c>
      <c r="Y14" s="63">
        <f t="shared" si="7"/>
        <v>0.3</v>
      </c>
      <c r="Z14" s="63">
        <f t="shared" si="7"/>
        <v>0.3</v>
      </c>
      <c r="AA14" s="63">
        <f t="shared" si="7"/>
        <v>0.3</v>
      </c>
      <c r="AB14" s="63">
        <f t="shared" si="7"/>
        <v>0.3</v>
      </c>
      <c r="AC14" s="63">
        <f t="shared" si="7"/>
        <v>0.3</v>
      </c>
      <c r="AD14" s="63">
        <f t="shared" si="7"/>
        <v>0.3</v>
      </c>
      <c r="AE14" s="63">
        <f t="shared" si="7"/>
        <v>0.3</v>
      </c>
      <c r="AF14" s="63">
        <f t="shared" si="7"/>
        <v>0.3</v>
      </c>
      <c r="AG14" s="63">
        <f t="shared" si="7"/>
        <v>0.3</v>
      </c>
      <c r="AH14" s="63">
        <f t="shared" si="7"/>
        <v>0.3</v>
      </c>
      <c r="AI14" s="63">
        <f t="shared" si="7"/>
        <v>0.3</v>
      </c>
      <c r="AJ14" s="63">
        <f t="shared" si="7"/>
        <v>0.3</v>
      </c>
      <c r="AK14" s="63">
        <f t="shared" si="7"/>
        <v>0.3</v>
      </c>
      <c r="AL14" s="63">
        <f t="shared" si="7"/>
        <v>0.3</v>
      </c>
    </row>
    <row r="15" spans="1:38" ht="24" customHeight="1" x14ac:dyDescent="0.35">
      <c r="A15" s="71">
        <v>495</v>
      </c>
      <c r="B15" s="51" t="s">
        <v>107</v>
      </c>
      <c r="C15" s="64">
        <f>$A$15</f>
        <v>495</v>
      </c>
      <c r="D15" s="64">
        <f>C15+(D13/18)-(C15*15%)</f>
        <v>704.08333333333326</v>
      </c>
      <c r="E15" s="64">
        <f t="shared" ref="E15:AL15" si="8">D15+(E13/18)-(D15*15%)</f>
        <v>887.4708333333333</v>
      </c>
      <c r="F15" s="64">
        <f t="shared" si="8"/>
        <v>1049.1302083333333</v>
      </c>
      <c r="G15" s="64">
        <f t="shared" si="8"/>
        <v>1192.4362770833334</v>
      </c>
      <c r="H15" s="64">
        <f t="shared" si="8"/>
        <v>1320.2599475208335</v>
      </c>
      <c r="I15" s="64">
        <f t="shared" si="8"/>
        <v>1435.0438496327085</v>
      </c>
      <c r="J15" s="64">
        <f t="shared" si="8"/>
        <v>1538.8666243126022</v>
      </c>
      <c r="K15" s="64">
        <f t="shared" si="8"/>
        <v>1633.4975698330077</v>
      </c>
      <c r="L15" s="64">
        <f t="shared" si="8"/>
        <v>1720.4430923086984</v>
      </c>
      <c r="M15" s="64">
        <f t="shared" si="8"/>
        <v>1800.9861895720485</v>
      </c>
      <c r="N15" s="64">
        <f t="shared" si="8"/>
        <v>1876.2200134680891</v>
      </c>
      <c r="O15" s="64">
        <f t="shared" si="8"/>
        <v>1947.0763988263607</v>
      </c>
      <c r="P15" s="64">
        <f t="shared" si="8"/>
        <v>2014.350114128461</v>
      </c>
      <c r="Q15" s="64">
        <f t="shared" si="8"/>
        <v>2078.7194756377671</v>
      </c>
      <c r="R15" s="64">
        <f t="shared" si="8"/>
        <v>2140.7638704932492</v>
      </c>
      <c r="S15" s="64">
        <f t="shared" si="8"/>
        <v>2200.9786524444316</v>
      </c>
      <c r="T15" s="64">
        <f t="shared" si="8"/>
        <v>2259.7878043534406</v>
      </c>
      <c r="U15" s="64">
        <f t="shared" si="8"/>
        <v>2317.5547024716116</v>
      </c>
      <c r="V15" s="64">
        <f t="shared" si="8"/>
        <v>2374.5912672474806</v>
      </c>
      <c r="W15" s="64">
        <f t="shared" si="8"/>
        <v>2431.1657427099012</v>
      </c>
      <c r="X15" s="64">
        <f t="shared" si="8"/>
        <v>2487.50931016395</v>
      </c>
      <c r="Y15" s="64">
        <f t="shared" si="8"/>
        <v>2543.821711077102</v>
      </c>
      <c r="Z15" s="64">
        <f t="shared" si="8"/>
        <v>2600.276027802036</v>
      </c>
      <c r="AA15" s="64">
        <f t="shared" si="8"/>
        <v>2657.0227484859597</v>
      </c>
      <c r="AB15" s="64">
        <f t="shared" si="8"/>
        <v>2714.1932235643794</v>
      </c>
      <c r="AC15" s="64">
        <f t="shared" si="8"/>
        <v>2771.9026051280625</v>
      </c>
      <c r="AD15" s="64">
        <f t="shared" si="8"/>
        <v>2830.25234675916</v>
      </c>
      <c r="AE15" s="64">
        <f t="shared" si="8"/>
        <v>2889.332329793599</v>
      </c>
      <c r="AF15" s="64">
        <f t="shared" si="8"/>
        <v>2949.2226720738386</v>
      </c>
      <c r="AG15" s="64">
        <f t="shared" si="8"/>
        <v>3009.9952668470278</v>
      </c>
      <c r="AH15" s="64">
        <f t="shared" si="8"/>
        <v>3071.7150923159238</v>
      </c>
      <c r="AI15" s="64">
        <f t="shared" si="8"/>
        <v>3134.4413262744047</v>
      </c>
      <c r="AJ15" s="64">
        <f t="shared" si="8"/>
        <v>3198.2282950952304</v>
      </c>
      <c r="AK15" s="64">
        <f t="shared" si="8"/>
        <v>3263.1262819481722</v>
      </c>
      <c r="AL15" s="64">
        <f t="shared" si="8"/>
        <v>3329.1822153955172</v>
      </c>
    </row>
    <row r="16" spans="1:38" ht="18.75" x14ac:dyDescent="0.35">
      <c r="A16" s="59"/>
      <c r="B16" s="95" t="s">
        <v>108</v>
      </c>
      <c r="C16" s="64">
        <f>C12/C15</f>
        <v>43.264242424242433</v>
      </c>
      <c r="D16" s="64">
        <f>D12/D15</f>
        <v>28.535059770387033</v>
      </c>
      <c r="E16" s="64">
        <f t="shared" ref="E16:AL16" si="9">E12/E15</f>
        <v>21.708591737756642</v>
      </c>
      <c r="F16" s="64">
        <f t="shared" si="9"/>
        <v>17.912037276910937</v>
      </c>
      <c r="G16" s="64">
        <f t="shared" si="9"/>
        <v>15.570309908227053</v>
      </c>
      <c r="H16" s="64">
        <f t="shared" si="9"/>
        <v>14.025287760013493</v>
      </c>
      <c r="I16" s="64">
        <f t="shared" si="9"/>
        <v>12.956210417179037</v>
      </c>
      <c r="J16" s="64">
        <f t="shared" si="9"/>
        <v>12.189710981762039</v>
      </c>
      <c r="K16" s="64">
        <f t="shared" si="9"/>
        <v>11.624831789525016</v>
      </c>
      <c r="L16" s="64">
        <f t="shared" si="9"/>
        <v>11.199357342177615</v>
      </c>
      <c r="M16" s="64">
        <f t="shared" si="9"/>
        <v>10.873193863290707</v>
      </c>
      <c r="N16" s="64">
        <f t="shared" si="9"/>
        <v>10.619544503297357</v>
      </c>
      <c r="O16" s="64">
        <f t="shared" si="9"/>
        <v>10.419945687155913</v>
      </c>
      <c r="P16" s="64">
        <f t="shared" si="9"/>
        <v>10.261341479046607</v>
      </c>
      <c r="Q16" s="64">
        <f t="shared" si="9"/>
        <v>10.134290907363098</v>
      </c>
      <c r="R16" s="64">
        <f t="shared" si="9"/>
        <v>10.031832797753889</v>
      </c>
      <c r="S16" s="64">
        <f t="shared" si="9"/>
        <v>9.9487462756245026</v>
      </c>
      <c r="T16" s="64">
        <f t="shared" si="9"/>
        <v>9.8810568730437556</v>
      </c>
      <c r="U16" s="64">
        <f t="shared" si="9"/>
        <v>9.8256992530424281</v>
      </c>
      <c r="V16" s="64">
        <f t="shared" si="9"/>
        <v>9.7802822065591108</v>
      </c>
      <c r="W16" s="64">
        <f t="shared" si="9"/>
        <v>9.742921869541993</v>
      </c>
      <c r="X16" s="64">
        <f t="shared" si="9"/>
        <v>9.7121213331611731</v>
      </c>
      <c r="Y16" s="64">
        <f t="shared" si="9"/>
        <v>9.6866823696626447</v>
      </c>
      <c r="Z16" s="64">
        <f t="shared" si="9"/>
        <v>9.6656397614758838</v>
      </c>
      <c r="AA16" s="64">
        <f t="shared" si="9"/>
        <v>9.6482117880168925</v>
      </c>
      <c r="AB16" s="64">
        <f t="shared" si="9"/>
        <v>9.6337624334884904</v>
      </c>
      <c r="AC16" s="64">
        <f t="shared" si="9"/>
        <v>9.6217722161347048</v>
      </c>
      <c r="AD16" s="64">
        <f t="shared" si="9"/>
        <v>9.6118154427652716</v>
      </c>
      <c r="AE16" s="64">
        <f t="shared" si="9"/>
        <v>9.6035423112105125</v>
      </c>
      <c r="AF16" s="64">
        <f t="shared" si="9"/>
        <v>9.5966647129462039</v>
      </c>
      <c r="AG16" s="64">
        <f t="shared" si="9"/>
        <v>9.5909448901410048</v>
      </c>
      <c r="AH16" s="64">
        <f t="shared" si="9"/>
        <v>9.5861863163444649</v>
      </c>
      <c r="AI16" s="64">
        <f t="shared" si="9"/>
        <v>9.582226324897432</v>
      </c>
      <c r="AJ16" s="64">
        <f t="shared" si="9"/>
        <v>9.5789301220395426</v>
      </c>
      <c r="AK16" s="64">
        <f t="shared" si="9"/>
        <v>9.5761859049435341</v>
      </c>
      <c r="AL16" s="64">
        <f t="shared" si="9"/>
        <v>9.5739008670018535</v>
      </c>
    </row>
    <row r="17" spans="1:39" ht="21.95" customHeight="1" x14ac:dyDescent="0.35">
      <c r="A17" s="38">
        <v>0.86</v>
      </c>
      <c r="B17" s="51" t="s">
        <v>34</v>
      </c>
      <c r="C17" s="63">
        <f>$A$17</f>
        <v>0.86</v>
      </c>
      <c r="D17" s="63">
        <f t="shared" ref="D17:AL17" si="10">$A$17</f>
        <v>0.86</v>
      </c>
      <c r="E17" s="63">
        <f t="shared" si="10"/>
        <v>0.86</v>
      </c>
      <c r="F17" s="63">
        <f t="shared" si="10"/>
        <v>0.86</v>
      </c>
      <c r="G17" s="63">
        <f t="shared" si="10"/>
        <v>0.86</v>
      </c>
      <c r="H17" s="63">
        <f t="shared" si="10"/>
        <v>0.86</v>
      </c>
      <c r="I17" s="63">
        <f t="shared" si="10"/>
        <v>0.86</v>
      </c>
      <c r="J17" s="63">
        <f t="shared" si="10"/>
        <v>0.86</v>
      </c>
      <c r="K17" s="63">
        <f t="shared" si="10"/>
        <v>0.86</v>
      </c>
      <c r="L17" s="63">
        <f t="shared" si="10"/>
        <v>0.86</v>
      </c>
      <c r="M17" s="63">
        <f t="shared" si="10"/>
        <v>0.86</v>
      </c>
      <c r="N17" s="63">
        <f t="shared" si="10"/>
        <v>0.86</v>
      </c>
      <c r="O17" s="63">
        <f t="shared" si="10"/>
        <v>0.86</v>
      </c>
      <c r="P17" s="63">
        <f t="shared" si="10"/>
        <v>0.86</v>
      </c>
      <c r="Q17" s="63">
        <f t="shared" si="10"/>
        <v>0.86</v>
      </c>
      <c r="R17" s="63">
        <f t="shared" si="10"/>
        <v>0.86</v>
      </c>
      <c r="S17" s="63">
        <f t="shared" si="10"/>
        <v>0.86</v>
      </c>
      <c r="T17" s="63">
        <f t="shared" si="10"/>
        <v>0.86</v>
      </c>
      <c r="U17" s="63">
        <f t="shared" si="10"/>
        <v>0.86</v>
      </c>
      <c r="V17" s="63">
        <f t="shared" si="10"/>
        <v>0.86</v>
      </c>
      <c r="W17" s="63">
        <f t="shared" si="10"/>
        <v>0.86</v>
      </c>
      <c r="X17" s="63">
        <f t="shared" si="10"/>
        <v>0.86</v>
      </c>
      <c r="Y17" s="63">
        <f t="shared" si="10"/>
        <v>0.86</v>
      </c>
      <c r="Z17" s="63">
        <f t="shared" si="10"/>
        <v>0.86</v>
      </c>
      <c r="AA17" s="63">
        <f t="shared" si="10"/>
        <v>0.86</v>
      </c>
      <c r="AB17" s="63">
        <f t="shared" si="10"/>
        <v>0.86</v>
      </c>
      <c r="AC17" s="63">
        <f t="shared" si="10"/>
        <v>0.86</v>
      </c>
      <c r="AD17" s="63">
        <f t="shared" si="10"/>
        <v>0.86</v>
      </c>
      <c r="AE17" s="63">
        <f t="shared" si="10"/>
        <v>0.86</v>
      </c>
      <c r="AF17" s="63">
        <f t="shared" si="10"/>
        <v>0.86</v>
      </c>
      <c r="AG17" s="63">
        <f t="shared" si="10"/>
        <v>0.86</v>
      </c>
      <c r="AH17" s="63">
        <f t="shared" si="10"/>
        <v>0.86</v>
      </c>
      <c r="AI17" s="63">
        <f t="shared" si="10"/>
        <v>0.86</v>
      </c>
      <c r="AJ17" s="63">
        <f t="shared" si="10"/>
        <v>0.86</v>
      </c>
      <c r="AK17" s="63">
        <f t="shared" si="10"/>
        <v>0.86</v>
      </c>
      <c r="AL17" s="63">
        <f t="shared" si="10"/>
        <v>0.86</v>
      </c>
    </row>
    <row r="18" spans="1:39" ht="26.45" customHeight="1" x14ac:dyDescent="0.35">
      <c r="A18" s="71">
        <v>2</v>
      </c>
      <c r="B18" s="51" t="s">
        <v>109</v>
      </c>
      <c r="C18" s="67">
        <f ca="1">$A$18+RANDBETWEEN(-0.4, 0.1)</f>
        <v>2</v>
      </c>
      <c r="D18" s="67">
        <f t="shared" ref="D18:AL18" ca="1" si="11">$A$18+RANDBETWEEN(-0.4, 0.1)</f>
        <v>2</v>
      </c>
      <c r="E18" s="67">
        <f t="shared" ca="1" si="11"/>
        <v>2</v>
      </c>
      <c r="F18" s="67">
        <f t="shared" ca="1" si="11"/>
        <v>2</v>
      </c>
      <c r="G18" s="67">
        <f t="shared" ca="1" si="11"/>
        <v>2</v>
      </c>
      <c r="H18" s="67">
        <f t="shared" ca="1" si="11"/>
        <v>2</v>
      </c>
      <c r="I18" s="67">
        <f t="shared" ca="1" si="11"/>
        <v>2</v>
      </c>
      <c r="J18" s="67">
        <f t="shared" ca="1" si="11"/>
        <v>2</v>
      </c>
      <c r="K18" s="67">
        <f t="shared" ca="1" si="11"/>
        <v>2</v>
      </c>
      <c r="L18" s="67">
        <f t="shared" ca="1" si="11"/>
        <v>2</v>
      </c>
      <c r="M18" s="67">
        <f t="shared" ca="1" si="11"/>
        <v>2</v>
      </c>
      <c r="N18" s="67">
        <f t="shared" ca="1" si="11"/>
        <v>2</v>
      </c>
      <c r="O18" s="67">
        <f t="shared" ca="1" si="11"/>
        <v>2</v>
      </c>
      <c r="P18" s="67">
        <f t="shared" ca="1" si="11"/>
        <v>2</v>
      </c>
      <c r="Q18" s="67">
        <f t="shared" ca="1" si="11"/>
        <v>2</v>
      </c>
      <c r="R18" s="67">
        <f t="shared" ca="1" si="11"/>
        <v>2</v>
      </c>
      <c r="S18" s="67">
        <f t="shared" ca="1" si="11"/>
        <v>2</v>
      </c>
      <c r="T18" s="67">
        <f t="shared" ca="1" si="11"/>
        <v>2</v>
      </c>
      <c r="U18" s="67">
        <f t="shared" ca="1" si="11"/>
        <v>2</v>
      </c>
      <c r="V18" s="67">
        <f t="shared" ca="1" si="11"/>
        <v>2</v>
      </c>
      <c r="W18" s="67">
        <f t="shared" ca="1" si="11"/>
        <v>2</v>
      </c>
      <c r="X18" s="67">
        <f t="shared" ca="1" si="11"/>
        <v>2</v>
      </c>
      <c r="Y18" s="67">
        <f t="shared" ca="1" si="11"/>
        <v>2</v>
      </c>
      <c r="Z18" s="67">
        <f t="shared" ca="1" si="11"/>
        <v>2</v>
      </c>
      <c r="AA18" s="67">
        <f t="shared" ca="1" si="11"/>
        <v>2</v>
      </c>
      <c r="AB18" s="67">
        <f t="shared" ca="1" si="11"/>
        <v>2</v>
      </c>
      <c r="AC18" s="67">
        <f t="shared" ca="1" si="11"/>
        <v>2</v>
      </c>
      <c r="AD18" s="67">
        <f t="shared" ca="1" si="11"/>
        <v>2</v>
      </c>
      <c r="AE18" s="67">
        <f t="shared" ca="1" si="11"/>
        <v>2</v>
      </c>
      <c r="AF18" s="67">
        <f t="shared" ca="1" si="11"/>
        <v>2</v>
      </c>
      <c r="AG18" s="67">
        <f t="shared" ca="1" si="11"/>
        <v>2</v>
      </c>
      <c r="AH18" s="67">
        <f t="shared" ca="1" si="11"/>
        <v>2</v>
      </c>
      <c r="AI18" s="67">
        <f t="shared" ca="1" si="11"/>
        <v>2</v>
      </c>
      <c r="AJ18" s="67">
        <f t="shared" ca="1" si="11"/>
        <v>2</v>
      </c>
      <c r="AK18" s="67">
        <f t="shared" ca="1" si="11"/>
        <v>2</v>
      </c>
      <c r="AL18" s="67">
        <f t="shared" ca="1" si="11"/>
        <v>2</v>
      </c>
    </row>
    <row r="19" spans="1:39" ht="18.75" x14ac:dyDescent="0.35">
      <c r="A19" s="60"/>
      <c r="B19" s="48" t="s">
        <v>110</v>
      </c>
      <c r="C19" s="64">
        <f ca="1">C12*C18</f>
        <v>42831.600000000006</v>
      </c>
      <c r="D19" s="64">
        <f t="shared" ref="D19:AL19" ca="1" si="12">D12*D18</f>
        <v>40182.120000000003</v>
      </c>
      <c r="E19" s="64">
        <f t="shared" ca="1" si="12"/>
        <v>38531.484000000004</v>
      </c>
      <c r="F19" s="64">
        <f t="shared" ca="1" si="12"/>
        <v>37584.118800000004</v>
      </c>
      <c r="G19" s="64">
        <f t="shared" ca="1" si="12"/>
        <v>37133.204760000008</v>
      </c>
      <c r="H19" s="64">
        <f t="shared" ca="1" si="12"/>
        <v>37034.051364000006</v>
      </c>
      <c r="I19" s="64">
        <f t="shared" ca="1" si="12"/>
        <v>37185.460147440011</v>
      </c>
      <c r="J19" s="64">
        <f t="shared" ca="1" si="12"/>
        <v>37516.678779700807</v>
      </c>
      <c r="K19" s="64">
        <f t="shared" ca="1" si="12"/>
        <v>37978.268955813219</v>
      </c>
      <c r="L19" s="64">
        <f t="shared" ca="1" si="12"/>
        <v>38535.713955292362</v>
      </c>
      <c r="M19" s="64">
        <f t="shared" ca="1" si="12"/>
        <v>39164.943968652224</v>
      </c>
      <c r="N19" s="64">
        <f t="shared" ca="1" si="12"/>
        <v>39849.20386200308</v>
      </c>
      <c r="O19" s="64">
        <f t="shared" ca="1" si="12"/>
        <v>40576.860649027607</v>
      </c>
      <c r="P19" s="64">
        <f t="shared" ca="1" si="12"/>
        <v>41339.868758857287</v>
      </c>
      <c r="Q19" s="64">
        <f t="shared" ca="1" si="12"/>
        <v>42132.695761828822</v>
      </c>
      <c r="R19" s="64">
        <f t="shared" ca="1" si="12"/>
        <v>42951.57041652147</v>
      </c>
      <c r="S19" s="64">
        <f t="shared" ca="1" si="12"/>
        <v>43793.956342471152</v>
      </c>
      <c r="T19" s="64">
        <f t="shared" ca="1" si="12"/>
        <v>44658.183631654043</v>
      </c>
      <c r="U19" s="64">
        <f t="shared" ca="1" si="12"/>
        <v>45543.191017920559</v>
      </c>
      <c r="V19" s="64">
        <f t="shared" ca="1" si="12"/>
        <v>46448.345437822369</v>
      </c>
      <c r="W19" s="64">
        <f t="shared" ca="1" si="12"/>
        <v>47373.315766259198</v>
      </c>
      <c r="X19" s="64">
        <f t="shared" ca="1" si="12"/>
        <v>48317.984475360659</v>
      </c>
      <c r="Y19" s="64">
        <f t="shared" ca="1" si="12"/>
        <v>49282.385840511255</v>
      </c>
      <c r="Z19" s="64">
        <f t="shared" ca="1" si="12"/>
        <v>50266.662730271855</v>
      </c>
      <c r="AA19" s="64">
        <f t="shared" ca="1" si="12"/>
        <v>51271.036405942556</v>
      </c>
      <c r="AB19" s="64">
        <f t="shared" ca="1" si="12"/>
        <v>52295.785428807088</v>
      </c>
      <c r="AC19" s="64">
        <f t="shared" ca="1" si="12"/>
        <v>53341.230943705203</v>
      </c>
      <c r="AD19" s="64">
        <f t="shared" ca="1" si="12"/>
        <v>54407.726427004687</v>
      </c>
      <c r="AE19" s="64">
        <f t="shared" ca="1" si="12"/>
        <v>55495.650560642549</v>
      </c>
      <c r="AF19" s="64">
        <f t="shared" ca="1" si="12"/>
        <v>56605.402295423846</v>
      </c>
      <c r="AG19" s="64">
        <f t="shared" ca="1" si="12"/>
        <v>57737.397447830226</v>
      </c>
      <c r="AH19" s="64">
        <f t="shared" ca="1" si="12"/>
        <v>58892.066371335364</v>
      </c>
      <c r="AI19" s="64">
        <f t="shared" ca="1" si="12"/>
        <v>60069.852380946038</v>
      </c>
      <c r="AJ19" s="64">
        <f t="shared" ca="1" si="12"/>
        <v>61271.210706093749</v>
      </c>
      <c r="AK19" s="64">
        <f t="shared" ca="1" si="12"/>
        <v>62496.607814485775</v>
      </c>
      <c r="AL19" s="64">
        <f t="shared" ca="1" si="12"/>
        <v>63746.520996764593</v>
      </c>
    </row>
    <row r="20" spans="1:39" ht="24" customHeight="1" x14ac:dyDescent="0.35">
      <c r="A20" s="61"/>
      <c r="B20" s="48" t="s">
        <v>111</v>
      </c>
      <c r="C20" s="64">
        <f ca="1">C19*C17</f>
        <v>36835.176000000007</v>
      </c>
      <c r="D20" s="64">
        <f ca="1">D19*D17</f>
        <v>34556.623200000002</v>
      </c>
      <c r="E20" s="64">
        <f t="shared" ref="E20:AL20" ca="1" si="13">E19*E17</f>
        <v>33137.076240000002</v>
      </c>
      <c r="F20" s="64">
        <f t="shared" ca="1" si="13"/>
        <v>32322.342168000003</v>
      </c>
      <c r="G20" s="64">
        <f t="shared" ca="1" si="13"/>
        <v>31934.556093600007</v>
      </c>
      <c r="H20" s="64">
        <f t="shared" ca="1" si="13"/>
        <v>31849.284173040003</v>
      </c>
      <c r="I20" s="64">
        <f t="shared" ca="1" si="13"/>
        <v>31979.49572679841</v>
      </c>
      <c r="J20" s="64">
        <f t="shared" ca="1" si="13"/>
        <v>32264.343750542695</v>
      </c>
      <c r="K20" s="64">
        <f t="shared" ca="1" si="13"/>
        <v>32661.311301999369</v>
      </c>
      <c r="L20" s="64">
        <f t="shared" ca="1" si="13"/>
        <v>33140.714001551431</v>
      </c>
      <c r="M20" s="64">
        <f t="shared" ca="1" si="13"/>
        <v>33681.851813040914</v>
      </c>
      <c r="N20" s="64">
        <f t="shared" ca="1" si="13"/>
        <v>34270.315321322647</v>
      </c>
      <c r="O20" s="64">
        <f t="shared" ca="1" si="13"/>
        <v>34896.100158163739</v>
      </c>
      <c r="P20" s="64">
        <f t="shared" ca="1" si="13"/>
        <v>35552.287132617268</v>
      </c>
      <c r="Q20" s="64">
        <f t="shared" ca="1" si="13"/>
        <v>36234.118355172788</v>
      </c>
      <c r="R20" s="64">
        <f t="shared" ca="1" si="13"/>
        <v>36938.350558208462</v>
      </c>
      <c r="S20" s="64">
        <f t="shared" ca="1" si="13"/>
        <v>37662.80245452519</v>
      </c>
      <c r="T20" s="64">
        <f t="shared" ca="1" si="13"/>
        <v>38406.037923222473</v>
      </c>
      <c r="U20" s="64">
        <f t="shared" ca="1" si="13"/>
        <v>39167.14427541168</v>
      </c>
      <c r="V20" s="64">
        <f t="shared" ca="1" si="13"/>
        <v>39945.577076527239</v>
      </c>
      <c r="W20" s="64">
        <f t="shared" ca="1" si="13"/>
        <v>40741.051558982908</v>
      </c>
      <c r="X20" s="64">
        <f t="shared" ca="1" si="13"/>
        <v>41553.466648810165</v>
      </c>
      <c r="Y20" s="64">
        <f t="shared" ca="1" si="13"/>
        <v>42382.851822839679</v>
      </c>
      <c r="Z20" s="64">
        <f t="shared" ca="1" si="13"/>
        <v>43229.329948033796</v>
      </c>
      <c r="AA20" s="64">
        <f t="shared" ca="1" si="13"/>
        <v>44093.091309110598</v>
      </c>
      <c r="AB20" s="64">
        <f t="shared" ca="1" si="13"/>
        <v>44974.375468774095</v>
      </c>
      <c r="AC20" s="64">
        <f t="shared" ca="1" si="13"/>
        <v>45873.458611586473</v>
      </c>
      <c r="AD20" s="64">
        <f t="shared" ca="1" si="13"/>
        <v>46790.644727224033</v>
      </c>
      <c r="AE20" s="64">
        <f t="shared" ca="1" si="13"/>
        <v>47726.259482152593</v>
      </c>
      <c r="AF20" s="64">
        <f t="shared" ca="1" si="13"/>
        <v>48680.645974064508</v>
      </c>
      <c r="AG20" s="64">
        <f t="shared" ca="1" si="13"/>
        <v>49654.16180513399</v>
      </c>
      <c r="AH20" s="64">
        <f t="shared" ca="1" si="13"/>
        <v>50647.17707934841</v>
      </c>
      <c r="AI20" s="64">
        <f t="shared" ca="1" si="13"/>
        <v>51660.073047613594</v>
      </c>
      <c r="AJ20" s="64">
        <f t="shared" ca="1" si="13"/>
        <v>52693.241207240622</v>
      </c>
      <c r="AK20" s="64">
        <f t="shared" ca="1" si="13"/>
        <v>53747.082720457765</v>
      </c>
      <c r="AL20" s="64">
        <f t="shared" ca="1" si="13"/>
        <v>54822.00805721755</v>
      </c>
    </row>
    <row r="21" spans="1:39" ht="21.95" customHeight="1" x14ac:dyDescent="0.35">
      <c r="A21" s="62"/>
      <c r="B21" s="51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</row>
    <row r="22" spans="1:39" ht="18.75" x14ac:dyDescent="0.35">
      <c r="A22" s="62"/>
      <c r="B22" s="55" t="s">
        <v>112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spans="1:39" ht="18.75" x14ac:dyDescent="0.35">
      <c r="A23" s="68">
        <v>6.8</v>
      </c>
      <c r="B23" s="51" t="s">
        <v>113</v>
      </c>
      <c r="C23" s="67">
        <f>$A$23</f>
        <v>6.8</v>
      </c>
      <c r="D23" s="67">
        <f t="shared" ref="D23:N23" si="14">$A$23</f>
        <v>6.8</v>
      </c>
      <c r="E23" s="67">
        <f t="shared" si="14"/>
        <v>6.8</v>
      </c>
      <c r="F23" s="67">
        <f t="shared" si="14"/>
        <v>6.8</v>
      </c>
      <c r="G23" s="67">
        <f t="shared" si="14"/>
        <v>6.8</v>
      </c>
      <c r="H23" s="67">
        <f t="shared" si="14"/>
        <v>6.8</v>
      </c>
      <c r="I23" s="67">
        <f t="shared" si="14"/>
        <v>6.8</v>
      </c>
      <c r="J23" s="67">
        <f t="shared" si="14"/>
        <v>6.8</v>
      </c>
      <c r="K23" s="67">
        <f t="shared" si="14"/>
        <v>6.8</v>
      </c>
      <c r="L23" s="67">
        <f t="shared" si="14"/>
        <v>6.8</v>
      </c>
      <c r="M23" s="67">
        <f t="shared" si="14"/>
        <v>6.8</v>
      </c>
      <c r="N23" s="67">
        <f t="shared" si="14"/>
        <v>6.8</v>
      </c>
      <c r="O23" s="67">
        <f>$A$23+0.2</f>
        <v>7</v>
      </c>
      <c r="P23" s="67">
        <f t="shared" ref="P23:Z23" si="15">$A$23+0.2</f>
        <v>7</v>
      </c>
      <c r="Q23" s="67">
        <f t="shared" si="15"/>
        <v>7</v>
      </c>
      <c r="R23" s="67">
        <f t="shared" si="15"/>
        <v>7</v>
      </c>
      <c r="S23" s="67">
        <f t="shared" si="15"/>
        <v>7</v>
      </c>
      <c r="T23" s="67">
        <f t="shared" si="15"/>
        <v>7</v>
      </c>
      <c r="U23" s="67">
        <f t="shared" si="15"/>
        <v>7</v>
      </c>
      <c r="V23" s="67">
        <f t="shared" si="15"/>
        <v>7</v>
      </c>
      <c r="W23" s="67">
        <f t="shared" si="15"/>
        <v>7</v>
      </c>
      <c r="X23" s="67">
        <f t="shared" si="15"/>
        <v>7</v>
      </c>
      <c r="Y23" s="67">
        <f t="shared" si="15"/>
        <v>7</v>
      </c>
      <c r="Z23" s="67">
        <f t="shared" si="15"/>
        <v>7</v>
      </c>
      <c r="AA23" s="67">
        <f>$A$23+0.4</f>
        <v>7.2</v>
      </c>
      <c r="AB23" s="67">
        <f t="shared" ref="AB23:AL23" si="16">$A$23+0.4</f>
        <v>7.2</v>
      </c>
      <c r="AC23" s="67">
        <f t="shared" si="16"/>
        <v>7.2</v>
      </c>
      <c r="AD23" s="67">
        <f t="shared" si="16"/>
        <v>7.2</v>
      </c>
      <c r="AE23" s="67">
        <f t="shared" si="16"/>
        <v>7.2</v>
      </c>
      <c r="AF23" s="67">
        <f t="shared" si="16"/>
        <v>7.2</v>
      </c>
      <c r="AG23" s="67">
        <f t="shared" si="16"/>
        <v>7.2</v>
      </c>
      <c r="AH23" s="67">
        <f t="shared" si="16"/>
        <v>7.2</v>
      </c>
      <c r="AI23" s="67">
        <f t="shared" si="16"/>
        <v>7.2</v>
      </c>
      <c r="AJ23" s="67">
        <f t="shared" si="16"/>
        <v>7.2</v>
      </c>
      <c r="AK23" s="67">
        <f t="shared" si="16"/>
        <v>7.2</v>
      </c>
      <c r="AL23" s="67">
        <f t="shared" si="16"/>
        <v>7.2</v>
      </c>
    </row>
    <row r="24" spans="1:39" ht="32.1" customHeight="1" x14ac:dyDescent="0.35">
      <c r="A24" s="38">
        <v>0.12</v>
      </c>
      <c r="B24" s="76" t="s">
        <v>37</v>
      </c>
      <c r="C24" s="63">
        <f>$A$24</f>
        <v>0.12</v>
      </c>
      <c r="D24" s="63">
        <f t="shared" ref="D24:AL24" si="17">$A$24</f>
        <v>0.12</v>
      </c>
      <c r="E24" s="63">
        <f t="shared" si="17"/>
        <v>0.12</v>
      </c>
      <c r="F24" s="63">
        <f t="shared" si="17"/>
        <v>0.12</v>
      </c>
      <c r="G24" s="63">
        <f t="shared" si="17"/>
        <v>0.12</v>
      </c>
      <c r="H24" s="63">
        <f t="shared" si="17"/>
        <v>0.12</v>
      </c>
      <c r="I24" s="63">
        <f t="shared" si="17"/>
        <v>0.12</v>
      </c>
      <c r="J24" s="63">
        <f t="shared" si="17"/>
        <v>0.12</v>
      </c>
      <c r="K24" s="63">
        <f t="shared" si="17"/>
        <v>0.12</v>
      </c>
      <c r="L24" s="63">
        <f t="shared" si="17"/>
        <v>0.12</v>
      </c>
      <c r="M24" s="63">
        <f t="shared" si="17"/>
        <v>0.12</v>
      </c>
      <c r="N24" s="63">
        <f t="shared" si="17"/>
        <v>0.12</v>
      </c>
      <c r="O24" s="63">
        <f t="shared" si="17"/>
        <v>0.12</v>
      </c>
      <c r="P24" s="63">
        <f t="shared" si="17"/>
        <v>0.12</v>
      </c>
      <c r="Q24" s="63">
        <f t="shared" si="17"/>
        <v>0.12</v>
      </c>
      <c r="R24" s="63">
        <f t="shared" si="17"/>
        <v>0.12</v>
      </c>
      <c r="S24" s="63">
        <f t="shared" si="17"/>
        <v>0.12</v>
      </c>
      <c r="T24" s="63">
        <f t="shared" si="17"/>
        <v>0.12</v>
      </c>
      <c r="U24" s="63">
        <f t="shared" si="17"/>
        <v>0.12</v>
      </c>
      <c r="V24" s="63">
        <f t="shared" si="17"/>
        <v>0.12</v>
      </c>
      <c r="W24" s="63">
        <f t="shared" si="17"/>
        <v>0.12</v>
      </c>
      <c r="X24" s="63">
        <f t="shared" si="17"/>
        <v>0.12</v>
      </c>
      <c r="Y24" s="63">
        <f t="shared" si="17"/>
        <v>0.12</v>
      </c>
      <c r="Z24" s="63">
        <f t="shared" si="17"/>
        <v>0.12</v>
      </c>
      <c r="AA24" s="63">
        <f t="shared" si="17"/>
        <v>0.12</v>
      </c>
      <c r="AB24" s="63">
        <f t="shared" si="17"/>
        <v>0.12</v>
      </c>
      <c r="AC24" s="63">
        <f t="shared" si="17"/>
        <v>0.12</v>
      </c>
      <c r="AD24" s="63">
        <f t="shared" si="17"/>
        <v>0.12</v>
      </c>
      <c r="AE24" s="63">
        <f t="shared" si="17"/>
        <v>0.12</v>
      </c>
      <c r="AF24" s="63">
        <f t="shared" si="17"/>
        <v>0.12</v>
      </c>
      <c r="AG24" s="63">
        <f t="shared" si="17"/>
        <v>0.12</v>
      </c>
      <c r="AH24" s="63">
        <f t="shared" si="17"/>
        <v>0.12</v>
      </c>
      <c r="AI24" s="63">
        <f t="shared" si="17"/>
        <v>0.12</v>
      </c>
      <c r="AJ24" s="63">
        <f t="shared" si="17"/>
        <v>0.12</v>
      </c>
      <c r="AK24" s="63">
        <f t="shared" si="17"/>
        <v>0.12</v>
      </c>
      <c r="AL24" s="63">
        <f t="shared" si="17"/>
        <v>0.12</v>
      </c>
    </row>
    <row r="25" spans="1:39" ht="24.95" customHeight="1" x14ac:dyDescent="0.35">
      <c r="A25" s="68">
        <v>2.5</v>
      </c>
      <c r="B25" s="51" t="s">
        <v>35</v>
      </c>
      <c r="C25" s="67">
        <f>$A$25</f>
        <v>2.5</v>
      </c>
      <c r="D25" s="67">
        <f t="shared" ref="D25:T25" si="18">$A$25</f>
        <v>2.5</v>
      </c>
      <c r="E25" s="67">
        <f t="shared" si="18"/>
        <v>2.5</v>
      </c>
      <c r="F25" s="67">
        <f t="shared" si="18"/>
        <v>2.5</v>
      </c>
      <c r="G25" s="67">
        <f t="shared" si="18"/>
        <v>2.5</v>
      </c>
      <c r="H25" s="67">
        <f t="shared" si="18"/>
        <v>2.5</v>
      </c>
      <c r="I25" s="67">
        <f t="shared" si="18"/>
        <v>2.5</v>
      </c>
      <c r="J25" s="67">
        <f t="shared" si="18"/>
        <v>2.5</v>
      </c>
      <c r="K25" s="67">
        <f t="shared" si="18"/>
        <v>2.5</v>
      </c>
      <c r="L25" s="67">
        <f t="shared" si="18"/>
        <v>2.5</v>
      </c>
      <c r="M25" s="67">
        <f t="shared" si="18"/>
        <v>2.5</v>
      </c>
      <c r="N25" s="67">
        <f t="shared" si="18"/>
        <v>2.5</v>
      </c>
      <c r="O25" s="67">
        <f t="shared" ref="O25:T25" si="19">$A$25+0.5</f>
        <v>3</v>
      </c>
      <c r="P25" s="67">
        <f t="shared" si="19"/>
        <v>3</v>
      </c>
      <c r="Q25" s="67">
        <f t="shared" si="19"/>
        <v>3</v>
      </c>
      <c r="R25" s="67">
        <f t="shared" si="19"/>
        <v>3</v>
      </c>
      <c r="S25" s="67">
        <f t="shared" si="19"/>
        <v>3</v>
      </c>
      <c r="T25" s="67">
        <f t="shared" si="19"/>
        <v>3</v>
      </c>
      <c r="U25" s="67">
        <f>$A$25+0.5</f>
        <v>3</v>
      </c>
      <c r="V25" s="67">
        <f t="shared" ref="V25:AL25" si="20">$A$25+0.5</f>
        <v>3</v>
      </c>
      <c r="W25" s="67">
        <f t="shared" si="20"/>
        <v>3</v>
      </c>
      <c r="X25" s="67">
        <f t="shared" si="20"/>
        <v>3</v>
      </c>
      <c r="Y25" s="67">
        <f t="shared" si="20"/>
        <v>3</v>
      </c>
      <c r="Z25" s="67">
        <f t="shared" si="20"/>
        <v>3</v>
      </c>
      <c r="AA25" s="67">
        <f>$A$25+1</f>
        <v>3.5</v>
      </c>
      <c r="AB25" s="67">
        <f t="shared" ref="AB25:AL25" si="21">$A$25+1</f>
        <v>3.5</v>
      </c>
      <c r="AC25" s="67">
        <f t="shared" si="21"/>
        <v>3.5</v>
      </c>
      <c r="AD25" s="67">
        <f t="shared" si="21"/>
        <v>3.5</v>
      </c>
      <c r="AE25" s="67">
        <f t="shared" si="21"/>
        <v>3.5</v>
      </c>
      <c r="AF25" s="67">
        <f t="shared" si="21"/>
        <v>3.5</v>
      </c>
      <c r="AG25" s="67">
        <f t="shared" si="21"/>
        <v>3.5</v>
      </c>
      <c r="AH25" s="67">
        <f t="shared" si="21"/>
        <v>3.5</v>
      </c>
      <c r="AI25" s="67">
        <f t="shared" si="21"/>
        <v>3.5</v>
      </c>
      <c r="AJ25" s="67">
        <f t="shared" si="21"/>
        <v>3.5</v>
      </c>
      <c r="AK25" s="67">
        <f t="shared" si="21"/>
        <v>3.5</v>
      </c>
      <c r="AL25" s="67">
        <f t="shared" si="21"/>
        <v>3.5</v>
      </c>
    </row>
    <row r="26" spans="1:39" ht="23.45" customHeight="1" x14ac:dyDescent="0.35">
      <c r="A26" s="68">
        <v>3</v>
      </c>
      <c r="B26" s="51" t="s">
        <v>38</v>
      </c>
      <c r="C26" s="67">
        <f>$A$26</f>
        <v>3</v>
      </c>
      <c r="D26" s="67">
        <f t="shared" ref="D26:T26" si="22">$A$26</f>
        <v>3</v>
      </c>
      <c r="E26" s="67">
        <f t="shared" si="22"/>
        <v>3</v>
      </c>
      <c r="F26" s="67">
        <f t="shared" si="22"/>
        <v>3</v>
      </c>
      <c r="G26" s="67">
        <f t="shared" si="22"/>
        <v>3</v>
      </c>
      <c r="H26" s="67">
        <f t="shared" si="22"/>
        <v>3</v>
      </c>
      <c r="I26" s="67">
        <f t="shared" si="22"/>
        <v>3</v>
      </c>
      <c r="J26" s="67">
        <f t="shared" si="22"/>
        <v>3</v>
      </c>
      <c r="K26" s="67">
        <f t="shared" si="22"/>
        <v>3</v>
      </c>
      <c r="L26" s="67">
        <f t="shared" si="22"/>
        <v>3</v>
      </c>
      <c r="M26" s="67">
        <f t="shared" si="22"/>
        <v>3</v>
      </c>
      <c r="N26" s="67">
        <f t="shared" si="22"/>
        <v>3</v>
      </c>
      <c r="O26" s="67">
        <f t="shared" ref="O26:T26" si="23">$A$26+0.5</f>
        <v>3.5</v>
      </c>
      <c r="P26" s="67">
        <f t="shared" si="23"/>
        <v>3.5</v>
      </c>
      <c r="Q26" s="67">
        <f t="shared" si="23"/>
        <v>3.5</v>
      </c>
      <c r="R26" s="67">
        <f t="shared" si="23"/>
        <v>3.5</v>
      </c>
      <c r="S26" s="67">
        <f t="shared" si="23"/>
        <v>3.5</v>
      </c>
      <c r="T26" s="67">
        <f t="shared" si="23"/>
        <v>3.5</v>
      </c>
      <c r="U26" s="67">
        <f>$A$26+0.5</f>
        <v>3.5</v>
      </c>
      <c r="V26" s="67">
        <f t="shared" ref="V26:AL26" si="24">$A$26+0.5</f>
        <v>3.5</v>
      </c>
      <c r="W26" s="67">
        <f t="shared" si="24"/>
        <v>3.5</v>
      </c>
      <c r="X26" s="67">
        <f t="shared" si="24"/>
        <v>3.5</v>
      </c>
      <c r="Y26" s="67">
        <f t="shared" si="24"/>
        <v>3.5</v>
      </c>
      <c r="Z26" s="67">
        <f t="shared" si="24"/>
        <v>3.5</v>
      </c>
      <c r="AA26" s="67">
        <f>$A$26+1</f>
        <v>4</v>
      </c>
      <c r="AB26" s="67">
        <f t="shared" ref="AB26:AL26" si="25">$A$26+1</f>
        <v>4</v>
      </c>
      <c r="AC26" s="67">
        <f t="shared" si="25"/>
        <v>4</v>
      </c>
      <c r="AD26" s="67">
        <f t="shared" si="25"/>
        <v>4</v>
      </c>
      <c r="AE26" s="67">
        <f t="shared" si="25"/>
        <v>4</v>
      </c>
      <c r="AF26" s="67">
        <f t="shared" si="25"/>
        <v>4</v>
      </c>
      <c r="AG26" s="67">
        <f t="shared" si="25"/>
        <v>4</v>
      </c>
      <c r="AH26" s="67">
        <f t="shared" si="25"/>
        <v>4</v>
      </c>
      <c r="AI26" s="67">
        <f t="shared" si="25"/>
        <v>4</v>
      </c>
      <c r="AJ26" s="67">
        <f t="shared" si="25"/>
        <v>4</v>
      </c>
      <c r="AK26" s="67">
        <f t="shared" si="25"/>
        <v>4</v>
      </c>
      <c r="AL26" s="67">
        <f t="shared" si="25"/>
        <v>4</v>
      </c>
    </row>
    <row r="27" spans="1:39" ht="18.75" x14ac:dyDescent="0.35">
      <c r="A27" s="68">
        <v>0.85</v>
      </c>
      <c r="B27" s="51" t="s">
        <v>41</v>
      </c>
      <c r="C27" s="73">
        <f>$A$27</f>
        <v>0.85</v>
      </c>
      <c r="D27" s="73">
        <f>$A$27</f>
        <v>0.85</v>
      </c>
      <c r="E27" s="73">
        <f>D27-0.05</f>
        <v>0.79999999999999993</v>
      </c>
      <c r="F27" s="73">
        <f>E27-0.05</f>
        <v>0.74999999999999989</v>
      </c>
      <c r="G27" s="73">
        <f t="shared" ref="G27:K27" si="26">F27-0.05</f>
        <v>0.69999999999999984</v>
      </c>
      <c r="H27" s="73">
        <f t="shared" si="26"/>
        <v>0.6499999999999998</v>
      </c>
      <c r="I27" s="73">
        <f t="shared" si="26"/>
        <v>0.59999999999999976</v>
      </c>
      <c r="J27" s="73">
        <f t="shared" si="26"/>
        <v>0.54999999999999971</v>
      </c>
      <c r="K27" s="73">
        <f t="shared" si="26"/>
        <v>0.49999999999999972</v>
      </c>
      <c r="L27" s="73">
        <f>K27</f>
        <v>0.49999999999999972</v>
      </c>
      <c r="M27" s="73">
        <f t="shared" ref="M27:AL27" si="27">L27</f>
        <v>0.49999999999999972</v>
      </c>
      <c r="N27" s="73">
        <f t="shared" si="27"/>
        <v>0.49999999999999972</v>
      </c>
      <c r="O27" s="73">
        <f t="shared" si="27"/>
        <v>0.49999999999999972</v>
      </c>
      <c r="P27" s="73">
        <f t="shared" si="27"/>
        <v>0.49999999999999972</v>
      </c>
      <c r="Q27" s="73">
        <f t="shared" si="27"/>
        <v>0.49999999999999972</v>
      </c>
      <c r="R27" s="73">
        <f t="shared" si="27"/>
        <v>0.49999999999999972</v>
      </c>
      <c r="S27" s="73">
        <f t="shared" si="27"/>
        <v>0.49999999999999972</v>
      </c>
      <c r="T27" s="73">
        <f t="shared" si="27"/>
        <v>0.49999999999999972</v>
      </c>
      <c r="U27" s="73">
        <f t="shared" si="27"/>
        <v>0.49999999999999972</v>
      </c>
      <c r="V27" s="73">
        <f t="shared" si="27"/>
        <v>0.49999999999999972</v>
      </c>
      <c r="W27" s="73">
        <f t="shared" si="27"/>
        <v>0.49999999999999972</v>
      </c>
      <c r="X27" s="73">
        <f t="shared" si="27"/>
        <v>0.49999999999999972</v>
      </c>
      <c r="Y27" s="73">
        <f t="shared" si="27"/>
        <v>0.49999999999999972</v>
      </c>
      <c r="Z27" s="73">
        <f t="shared" si="27"/>
        <v>0.49999999999999972</v>
      </c>
      <c r="AA27" s="73">
        <f t="shared" si="27"/>
        <v>0.49999999999999972</v>
      </c>
      <c r="AB27" s="73">
        <f t="shared" si="27"/>
        <v>0.49999999999999972</v>
      </c>
      <c r="AC27" s="73">
        <f t="shared" si="27"/>
        <v>0.49999999999999972</v>
      </c>
      <c r="AD27" s="73">
        <f t="shared" si="27"/>
        <v>0.49999999999999972</v>
      </c>
      <c r="AE27" s="73">
        <f t="shared" si="27"/>
        <v>0.49999999999999972</v>
      </c>
      <c r="AF27" s="73">
        <f t="shared" si="27"/>
        <v>0.49999999999999972</v>
      </c>
      <c r="AG27" s="73">
        <f t="shared" si="27"/>
        <v>0.49999999999999972</v>
      </c>
      <c r="AH27" s="73">
        <f t="shared" si="27"/>
        <v>0.49999999999999972</v>
      </c>
      <c r="AI27" s="73">
        <f t="shared" si="27"/>
        <v>0.49999999999999972</v>
      </c>
      <c r="AJ27" s="73">
        <f t="shared" si="27"/>
        <v>0.49999999999999972</v>
      </c>
      <c r="AK27" s="73">
        <f t="shared" si="27"/>
        <v>0.49999999999999972</v>
      </c>
      <c r="AL27" s="73">
        <f t="shared" si="27"/>
        <v>0.49999999999999972</v>
      </c>
      <c r="AM27" s="45"/>
    </row>
    <row r="28" spans="1:39" ht="24" customHeight="1" x14ac:dyDescent="0.35">
      <c r="A28" s="78">
        <v>125</v>
      </c>
      <c r="B28" s="51" t="s">
        <v>42</v>
      </c>
      <c r="C28" s="64">
        <f ca="1">$A$28 - (ROUND($C$29,0)-ROUND(C29,0))*10</f>
        <v>125</v>
      </c>
      <c r="D28" s="64">
        <f t="shared" ref="D28:AL28" ca="1" si="28">$A$28 - (ROUND($C$29,0)-ROUND(D29,0))*10</f>
        <v>105</v>
      </c>
      <c r="E28" s="64">
        <f t="shared" ca="1" si="28"/>
        <v>95</v>
      </c>
      <c r="F28" s="64">
        <f t="shared" ca="1" si="28"/>
        <v>85</v>
      </c>
      <c r="G28" s="64">
        <f t="shared" ca="1" si="28"/>
        <v>75</v>
      </c>
      <c r="H28" s="64">
        <f t="shared" ca="1" si="28"/>
        <v>65</v>
      </c>
      <c r="I28" s="64">
        <f t="shared" ca="1" si="28"/>
        <v>65</v>
      </c>
      <c r="J28" s="64">
        <f t="shared" ca="1" si="28"/>
        <v>65</v>
      </c>
      <c r="K28" s="64">
        <f t="shared" ca="1" si="28"/>
        <v>65</v>
      </c>
      <c r="L28" s="64">
        <f t="shared" ca="1" si="28"/>
        <v>65</v>
      </c>
      <c r="M28" s="64">
        <f t="shared" ca="1" si="28"/>
        <v>65</v>
      </c>
      <c r="N28" s="64">
        <f t="shared" ca="1" si="28"/>
        <v>65</v>
      </c>
      <c r="O28" s="64">
        <f t="shared" ca="1" si="28"/>
        <v>65</v>
      </c>
      <c r="P28" s="64">
        <f t="shared" ca="1" si="28"/>
        <v>65</v>
      </c>
      <c r="Q28" s="64">
        <f t="shared" ca="1" si="28"/>
        <v>65</v>
      </c>
      <c r="R28" s="64">
        <f t="shared" ca="1" si="28"/>
        <v>75</v>
      </c>
      <c r="S28" s="64">
        <f t="shared" ca="1" si="28"/>
        <v>75</v>
      </c>
      <c r="T28" s="64">
        <f t="shared" ca="1" si="28"/>
        <v>75</v>
      </c>
      <c r="U28" s="64">
        <f t="shared" ca="1" si="28"/>
        <v>75</v>
      </c>
      <c r="V28" s="64">
        <f t="shared" ca="1" si="28"/>
        <v>75</v>
      </c>
      <c r="W28" s="64">
        <f t="shared" ca="1" si="28"/>
        <v>75</v>
      </c>
      <c r="X28" s="64">
        <f t="shared" ca="1" si="28"/>
        <v>75</v>
      </c>
      <c r="Y28" s="64">
        <f t="shared" ca="1" si="28"/>
        <v>75</v>
      </c>
      <c r="Z28" s="64">
        <f t="shared" ca="1" si="28"/>
        <v>75</v>
      </c>
      <c r="AA28" s="64">
        <f t="shared" ca="1" si="28"/>
        <v>75</v>
      </c>
      <c r="AB28" s="64">
        <f t="shared" ca="1" si="28"/>
        <v>75</v>
      </c>
      <c r="AC28" s="64">
        <f t="shared" ca="1" si="28"/>
        <v>75</v>
      </c>
      <c r="AD28" s="64">
        <f t="shared" ca="1" si="28"/>
        <v>75</v>
      </c>
      <c r="AE28" s="64">
        <f t="shared" ca="1" si="28"/>
        <v>75</v>
      </c>
      <c r="AF28" s="64">
        <f t="shared" ca="1" si="28"/>
        <v>75</v>
      </c>
      <c r="AG28" s="64">
        <f t="shared" ca="1" si="28"/>
        <v>75</v>
      </c>
      <c r="AH28" s="64">
        <f t="shared" ca="1" si="28"/>
        <v>75</v>
      </c>
      <c r="AI28" s="64">
        <f t="shared" ca="1" si="28"/>
        <v>75</v>
      </c>
      <c r="AJ28" s="64">
        <f t="shared" ca="1" si="28"/>
        <v>75</v>
      </c>
      <c r="AK28" s="64">
        <f t="shared" ca="1" si="28"/>
        <v>75</v>
      </c>
      <c r="AL28" s="64">
        <f t="shared" ca="1" si="28"/>
        <v>75</v>
      </c>
    </row>
    <row r="29" spans="1:39" ht="18.75" x14ac:dyDescent="0.35">
      <c r="A29" s="57"/>
      <c r="B29" s="95" t="s">
        <v>45</v>
      </c>
      <c r="C29" s="65">
        <f t="shared" ref="C29:AL29" ca="1" si="29">(C20/C30)/31</f>
        <v>12.507699830220714</v>
      </c>
      <c r="D29" s="65">
        <f t="shared" ca="1" si="29"/>
        <v>11.392230767962813</v>
      </c>
      <c r="E29" s="65">
        <f t="shared" ca="1" si="29"/>
        <v>9.9311371136322411</v>
      </c>
      <c r="F29" s="65">
        <f t="shared" ca="1" si="29"/>
        <v>8.806329463360953</v>
      </c>
      <c r="G29" s="65">
        <f t="shared" ca="1" si="29"/>
        <v>7.9097053268971091</v>
      </c>
      <c r="H29" s="65">
        <f t="shared" ca="1" si="29"/>
        <v>7.1714406955781884</v>
      </c>
      <c r="I29" s="65">
        <f t="shared" ca="1" si="29"/>
        <v>6.5461456137433061</v>
      </c>
      <c r="J29" s="65">
        <f t="shared" ca="1" si="29"/>
        <v>6.6044534950540967</v>
      </c>
      <c r="K29" s="65">
        <f t="shared" ca="1" si="29"/>
        <v>6.6857120432803256</v>
      </c>
      <c r="L29" s="65">
        <f t="shared" ca="1" si="29"/>
        <v>6.7838449189735348</v>
      </c>
      <c r="M29" s="65">
        <f t="shared" ca="1" si="29"/>
        <v>6.894614861732328</v>
      </c>
      <c r="N29" s="65">
        <f t="shared" ca="1" si="29"/>
        <v>7.0150722900324993</v>
      </c>
      <c r="O29" s="65">
        <f t="shared" ca="1" si="29"/>
        <v>7.1431693275790167</v>
      </c>
      <c r="P29" s="65">
        <f t="shared" ca="1" si="29"/>
        <v>7.277489628352706</v>
      </c>
      <c r="Q29" s="65">
        <f t="shared" ca="1" si="29"/>
        <v>7.4170592608752361</v>
      </c>
      <c r="R29" s="65">
        <f t="shared" ca="1" si="29"/>
        <v>7.5612143340615718</v>
      </c>
      <c r="S29" s="65">
        <f t="shared" ca="1" si="29"/>
        <v>7.7095083423209871</v>
      </c>
      <c r="T29" s="65">
        <f t="shared" ca="1" si="29"/>
        <v>7.8616473142721324</v>
      </c>
      <c r="U29" s="65">
        <f t="shared" ca="1" si="29"/>
        <v>7.8602396315008685</v>
      </c>
      <c r="V29" s="65">
        <f t="shared" ca="1" si="29"/>
        <v>7.8592735746970579</v>
      </c>
      <c r="W29" s="65">
        <f t="shared" ca="1" si="29"/>
        <v>7.8586105945375815</v>
      </c>
      <c r="X29" s="65">
        <f t="shared" ca="1" si="29"/>
        <v>7.858155608153627</v>
      </c>
      <c r="Y29" s="65">
        <f t="shared" ca="1" si="29"/>
        <v>7.8578433625960109</v>
      </c>
      <c r="Z29" s="65">
        <f t="shared" ca="1" si="29"/>
        <v>7.8576290764290206</v>
      </c>
      <c r="AA29" s="65">
        <f t="shared" ca="1" si="29"/>
        <v>7.857482017294811</v>
      </c>
      <c r="AB29" s="65">
        <f t="shared" ca="1" si="29"/>
        <v>7.8573810943595683</v>
      </c>
      <c r="AC29" s="65">
        <f t="shared" ca="1" si="29"/>
        <v>7.8573118335216563</v>
      </c>
      <c r="AD29" s="65">
        <f t="shared" ca="1" si="29"/>
        <v>7.8572643015740704</v>
      </c>
      <c r="AE29" s="65">
        <f t="shared" ca="1" si="29"/>
        <v>7.85723168161004</v>
      </c>
      <c r="AF29" s="65">
        <f t="shared" ca="1" si="29"/>
        <v>7.8572092953602164</v>
      </c>
      <c r="AG29" s="65">
        <f t="shared" ca="1" si="29"/>
        <v>7.8571939322475908</v>
      </c>
      <c r="AH29" s="65">
        <f t="shared" ca="1" si="29"/>
        <v>7.8571833889350051</v>
      </c>
      <c r="AI29" s="65">
        <f t="shared" ca="1" si="29"/>
        <v>7.8571761533283295</v>
      </c>
      <c r="AJ29" s="65">
        <f t="shared" ca="1" si="29"/>
        <v>7.8571711877159043</v>
      </c>
      <c r="AK29" s="65">
        <f t="shared" ca="1" si="29"/>
        <v>7.8571677799426718</v>
      </c>
      <c r="AL29" s="65">
        <f t="shared" ca="1" si="29"/>
        <v>7.8571654412747671</v>
      </c>
    </row>
    <row r="30" spans="1:39" ht="18.75" x14ac:dyDescent="0.35">
      <c r="A30" s="78">
        <v>95</v>
      </c>
      <c r="B30" s="76" t="s">
        <v>43</v>
      </c>
      <c r="C30" s="65">
        <f>A30</f>
        <v>95</v>
      </c>
      <c r="D30" s="65">
        <f>C30*103%</f>
        <v>97.850000000000009</v>
      </c>
      <c r="E30" s="65">
        <f>D30*110%</f>
        <v>107.63500000000002</v>
      </c>
      <c r="F30" s="65">
        <f>E30*110%</f>
        <v>118.39850000000003</v>
      </c>
      <c r="G30" s="65">
        <f t="shared" ref="G30:I30" si="30">F30*110%</f>
        <v>130.23835000000005</v>
      </c>
      <c r="H30" s="65">
        <f t="shared" si="30"/>
        <v>143.26218500000007</v>
      </c>
      <c r="I30" s="65">
        <f t="shared" si="30"/>
        <v>157.58840350000008</v>
      </c>
      <c r="J30" s="65">
        <f>I30</f>
        <v>157.58840350000008</v>
      </c>
      <c r="K30" s="65">
        <f t="shared" ref="K30:T30" si="31">J30</f>
        <v>157.58840350000008</v>
      </c>
      <c r="L30" s="65">
        <f t="shared" si="31"/>
        <v>157.58840350000008</v>
      </c>
      <c r="M30" s="65">
        <f t="shared" si="31"/>
        <v>157.58840350000008</v>
      </c>
      <c r="N30" s="65">
        <f t="shared" si="31"/>
        <v>157.58840350000008</v>
      </c>
      <c r="O30" s="65">
        <f t="shared" si="31"/>
        <v>157.58840350000008</v>
      </c>
      <c r="P30" s="65">
        <f t="shared" si="31"/>
        <v>157.58840350000008</v>
      </c>
      <c r="Q30" s="65">
        <f t="shared" si="31"/>
        <v>157.58840350000008</v>
      </c>
      <c r="R30" s="65">
        <f t="shared" si="31"/>
        <v>157.58840350000008</v>
      </c>
      <c r="S30" s="65">
        <f t="shared" si="31"/>
        <v>157.58840350000008</v>
      </c>
      <c r="T30" s="65">
        <f t="shared" si="31"/>
        <v>157.58840350000008</v>
      </c>
      <c r="U30" s="65">
        <f>T30*102%</f>
        <v>160.74017157000009</v>
      </c>
      <c r="V30" s="65">
        <f t="shared" ref="V30:AL30" si="32">U30*102%</f>
        <v>163.9549750014001</v>
      </c>
      <c r="W30" s="65">
        <f t="shared" si="32"/>
        <v>167.2340745014281</v>
      </c>
      <c r="X30" s="65">
        <f t="shared" si="32"/>
        <v>170.57875599145666</v>
      </c>
      <c r="Y30" s="65">
        <f t="shared" si="32"/>
        <v>173.9903311112858</v>
      </c>
      <c r="Z30" s="65">
        <f t="shared" si="32"/>
        <v>177.47013773351151</v>
      </c>
      <c r="AA30" s="65">
        <f t="shared" si="32"/>
        <v>181.01954048818175</v>
      </c>
      <c r="AB30" s="65">
        <f t="shared" si="32"/>
        <v>184.6399312979454</v>
      </c>
      <c r="AC30" s="65">
        <f t="shared" si="32"/>
        <v>188.33272992390431</v>
      </c>
      <c r="AD30" s="65">
        <f t="shared" si="32"/>
        <v>192.09938452238239</v>
      </c>
      <c r="AE30" s="65">
        <f t="shared" si="32"/>
        <v>195.94137221283003</v>
      </c>
      <c r="AF30" s="65">
        <f t="shared" si="32"/>
        <v>199.86019965708664</v>
      </c>
      <c r="AG30" s="65">
        <f t="shared" si="32"/>
        <v>203.85740365022838</v>
      </c>
      <c r="AH30" s="65">
        <f t="shared" si="32"/>
        <v>207.93455172323294</v>
      </c>
      <c r="AI30" s="65">
        <f t="shared" si="32"/>
        <v>212.0932427576976</v>
      </c>
      <c r="AJ30" s="65">
        <f t="shared" si="32"/>
        <v>216.33510761285154</v>
      </c>
      <c r="AK30" s="65">
        <f t="shared" si="32"/>
        <v>220.66180976510859</v>
      </c>
      <c r="AL30" s="65">
        <f t="shared" si="32"/>
        <v>225.07504596041076</v>
      </c>
    </row>
    <row r="31" spans="1:39" ht="18.75" x14ac:dyDescent="0.35">
      <c r="A31" s="78">
        <v>8</v>
      </c>
      <c r="B31" s="76" t="s">
        <v>46</v>
      </c>
      <c r="C31" s="65">
        <f>$A$31</f>
        <v>8</v>
      </c>
      <c r="D31" s="65">
        <f t="shared" ref="D31:K31" si="33">$A$31</f>
        <v>8</v>
      </c>
      <c r="E31" s="65">
        <f t="shared" si="33"/>
        <v>8</v>
      </c>
      <c r="F31" s="65">
        <f t="shared" si="33"/>
        <v>8</v>
      </c>
      <c r="G31" s="65">
        <f t="shared" si="33"/>
        <v>8</v>
      </c>
      <c r="H31" s="65">
        <f t="shared" si="33"/>
        <v>8</v>
      </c>
      <c r="I31" s="65">
        <f t="shared" si="33"/>
        <v>8</v>
      </c>
      <c r="J31" s="65">
        <f t="shared" si="33"/>
        <v>8</v>
      </c>
      <c r="K31" s="65">
        <f t="shared" si="33"/>
        <v>8</v>
      </c>
      <c r="L31" s="65">
        <f>$A$31+1</f>
        <v>9</v>
      </c>
      <c r="M31" s="65">
        <f t="shared" ref="M31:P31" si="34">$A$31+1</f>
        <v>9</v>
      </c>
      <c r="N31" s="65">
        <f t="shared" si="34"/>
        <v>9</v>
      </c>
      <c r="O31" s="65">
        <f t="shared" si="34"/>
        <v>9</v>
      </c>
      <c r="P31" s="65">
        <f t="shared" si="34"/>
        <v>9</v>
      </c>
      <c r="Q31" s="65">
        <f>$A$31+2</f>
        <v>10</v>
      </c>
      <c r="R31" s="65">
        <f t="shared" ref="R31:W31" si="35">$A$31+2</f>
        <v>10</v>
      </c>
      <c r="S31" s="65">
        <f t="shared" si="35"/>
        <v>10</v>
      </c>
      <c r="T31" s="65">
        <f t="shared" si="35"/>
        <v>10</v>
      </c>
      <c r="U31" s="65">
        <f t="shared" si="35"/>
        <v>10</v>
      </c>
      <c r="V31" s="65">
        <f t="shared" si="35"/>
        <v>10</v>
      </c>
      <c r="W31" s="65">
        <f t="shared" si="35"/>
        <v>10</v>
      </c>
      <c r="X31" s="65">
        <f>$A$31+3</f>
        <v>11</v>
      </c>
      <c r="Y31" s="65">
        <f t="shared" ref="Y31:AD31" si="36">$A$31+3</f>
        <v>11</v>
      </c>
      <c r="Z31" s="65">
        <f t="shared" si="36"/>
        <v>11</v>
      </c>
      <c r="AA31" s="65">
        <f t="shared" si="36"/>
        <v>11</v>
      </c>
      <c r="AB31" s="65">
        <f t="shared" si="36"/>
        <v>11</v>
      </c>
      <c r="AC31" s="65">
        <f t="shared" si="36"/>
        <v>11</v>
      </c>
      <c r="AD31" s="65">
        <f t="shared" si="36"/>
        <v>11</v>
      </c>
      <c r="AE31" s="65">
        <f>$A$31+4</f>
        <v>12</v>
      </c>
      <c r="AF31" s="65">
        <f t="shared" ref="AF31:AL31" si="37">$A$31+4</f>
        <v>12</v>
      </c>
      <c r="AG31" s="65">
        <f t="shared" si="37"/>
        <v>12</v>
      </c>
      <c r="AH31" s="65">
        <f t="shared" si="37"/>
        <v>12</v>
      </c>
      <c r="AI31" s="65">
        <f t="shared" si="37"/>
        <v>12</v>
      </c>
      <c r="AJ31" s="65">
        <f t="shared" si="37"/>
        <v>12</v>
      </c>
      <c r="AK31" s="65">
        <f t="shared" si="37"/>
        <v>12</v>
      </c>
      <c r="AL31" s="65">
        <f t="shared" si="37"/>
        <v>12</v>
      </c>
    </row>
    <row r="32" spans="1:39" ht="15.75" x14ac:dyDescent="0.3">
      <c r="A32" s="77">
        <v>7.5</v>
      </c>
      <c r="B32" s="66" t="s">
        <v>47</v>
      </c>
      <c r="C32" s="80">
        <f>$A$32</f>
        <v>7.5</v>
      </c>
      <c r="D32" s="80">
        <f t="shared" ref="D32:N32" si="38">$A$32</f>
        <v>7.5</v>
      </c>
      <c r="E32" s="80">
        <f t="shared" si="38"/>
        <v>7.5</v>
      </c>
      <c r="F32" s="80">
        <f t="shared" si="38"/>
        <v>7.5</v>
      </c>
      <c r="G32" s="80">
        <f t="shared" si="38"/>
        <v>7.5</v>
      </c>
      <c r="H32" s="80">
        <f t="shared" si="38"/>
        <v>7.5</v>
      </c>
      <c r="I32" s="80">
        <f t="shared" si="38"/>
        <v>7.5</v>
      </c>
      <c r="J32" s="80">
        <f t="shared" si="38"/>
        <v>7.5</v>
      </c>
      <c r="K32" s="80">
        <f t="shared" si="38"/>
        <v>7.5</v>
      </c>
      <c r="L32" s="80">
        <f t="shared" si="38"/>
        <v>7.5</v>
      </c>
      <c r="M32" s="80">
        <f t="shared" si="38"/>
        <v>7.5</v>
      </c>
      <c r="N32" s="80">
        <f t="shared" si="38"/>
        <v>7.5</v>
      </c>
      <c r="O32" s="80">
        <f>$A$32*105%</f>
        <v>7.875</v>
      </c>
      <c r="P32" s="80">
        <f t="shared" ref="P32:Z32" si="39">$A$32*105%</f>
        <v>7.875</v>
      </c>
      <c r="Q32" s="80">
        <f t="shared" si="39"/>
        <v>7.875</v>
      </c>
      <c r="R32" s="80">
        <f t="shared" si="39"/>
        <v>7.875</v>
      </c>
      <c r="S32" s="80">
        <f t="shared" si="39"/>
        <v>7.875</v>
      </c>
      <c r="T32" s="80">
        <f t="shared" si="39"/>
        <v>7.875</v>
      </c>
      <c r="U32" s="80">
        <f t="shared" si="39"/>
        <v>7.875</v>
      </c>
      <c r="V32" s="80">
        <f t="shared" si="39"/>
        <v>7.875</v>
      </c>
      <c r="W32" s="80">
        <f t="shared" si="39"/>
        <v>7.875</v>
      </c>
      <c r="X32" s="80">
        <f t="shared" si="39"/>
        <v>7.875</v>
      </c>
      <c r="Y32" s="80">
        <f t="shared" si="39"/>
        <v>7.875</v>
      </c>
      <c r="Z32" s="80">
        <f t="shared" si="39"/>
        <v>7.875</v>
      </c>
      <c r="AA32" s="80">
        <f>$A$32*112%</f>
        <v>8.4</v>
      </c>
      <c r="AB32" s="80">
        <f t="shared" ref="AB32:AL32" si="40">$A$32*112%</f>
        <v>8.4</v>
      </c>
      <c r="AC32" s="80">
        <f t="shared" si="40"/>
        <v>8.4</v>
      </c>
      <c r="AD32" s="80">
        <f t="shared" si="40"/>
        <v>8.4</v>
      </c>
      <c r="AE32" s="80">
        <f t="shared" si="40"/>
        <v>8.4</v>
      </c>
      <c r="AF32" s="80">
        <f t="shared" si="40"/>
        <v>8.4</v>
      </c>
      <c r="AG32" s="80">
        <f t="shared" si="40"/>
        <v>8.4</v>
      </c>
      <c r="AH32" s="80">
        <f t="shared" si="40"/>
        <v>8.4</v>
      </c>
      <c r="AI32" s="80">
        <f t="shared" si="40"/>
        <v>8.4</v>
      </c>
      <c r="AJ32" s="80">
        <f t="shared" si="40"/>
        <v>8.4</v>
      </c>
      <c r="AK32" s="80">
        <f t="shared" si="40"/>
        <v>8.4</v>
      </c>
      <c r="AL32" s="80">
        <f t="shared" si="40"/>
        <v>8.4</v>
      </c>
    </row>
    <row r="33" spans="1:39" ht="18" x14ac:dyDescent="0.35">
      <c r="A33" s="57"/>
      <c r="B33" s="57"/>
      <c r="C33" s="52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</row>
    <row r="34" spans="1:39" ht="26.45" customHeight="1" x14ac:dyDescent="0.35">
      <c r="A34" s="57"/>
      <c r="B34" s="49" t="s">
        <v>91</v>
      </c>
      <c r="C34" s="39">
        <f ca="1">SUM(C35:C40)</f>
        <v>191487.576</v>
      </c>
      <c r="D34" s="39">
        <f t="shared" ref="D34:AL34" ca="1" si="41">SUM(D35:D40)</f>
        <v>184384.05320000002</v>
      </c>
      <c r="E34" s="39">
        <f t="shared" ca="1" si="41"/>
        <v>180241.34013999999</v>
      </c>
      <c r="F34" s="39">
        <f t="shared" ca="1" si="41"/>
        <v>177708.486928</v>
      </c>
      <c r="G34" s="39">
        <f t="shared" ca="1" si="41"/>
        <v>176238.45512660002</v>
      </c>
      <c r="H34" s="39">
        <f t="shared" ca="1" si="41"/>
        <v>175442.02822764002</v>
      </c>
      <c r="I34" s="39">
        <f t="shared" ca="1" si="41"/>
        <v>176613.84037942841</v>
      </c>
      <c r="J34" s="39">
        <f t="shared" ca="1" si="41"/>
        <v>177260.81886748679</v>
      </c>
      <c r="K34" s="39">
        <f t="shared" ca="1" si="41"/>
        <v>178192.99068353683</v>
      </c>
      <c r="L34" s="39">
        <f t="shared" ca="1" si="41"/>
        <v>184689.75254315045</v>
      </c>
      <c r="M34" s="39">
        <f t="shared" ca="1" si="41"/>
        <v>186960.9395488085</v>
      </c>
      <c r="N34" s="39">
        <f t="shared" ca="1" si="41"/>
        <v>189370.29323077618</v>
      </c>
      <c r="O34" s="39">
        <f t="shared" ca="1" si="41"/>
        <v>196833.70740652553</v>
      </c>
      <c r="P34" s="39">
        <f t="shared" ca="1" si="41"/>
        <v>199499.62053972139</v>
      </c>
      <c r="Q34" s="39">
        <f t="shared" ca="1" si="41"/>
        <v>206870.66276269656</v>
      </c>
      <c r="R34" s="39">
        <f t="shared" ca="1" si="41"/>
        <v>211274.87744411203</v>
      </c>
      <c r="S34" s="39">
        <f t="shared" ca="1" si="41"/>
        <v>214175.36200874232</v>
      </c>
      <c r="T34" s="39">
        <f t="shared" ca="1" si="41"/>
        <v>217144.7673783658</v>
      </c>
      <c r="U34" s="39">
        <f t="shared" ca="1" si="41"/>
        <v>220417.58124022215</v>
      </c>
      <c r="V34" s="39">
        <f t="shared" ca="1" si="41"/>
        <v>223761.19782502894</v>
      </c>
      <c r="W34" s="39">
        <f t="shared" ca="1" si="41"/>
        <v>227175.42925353115</v>
      </c>
      <c r="X34" s="39">
        <f t="shared" ca="1" si="41"/>
        <v>235280.56506900291</v>
      </c>
      <c r="Y34" s="39">
        <f t="shared" ca="1" si="41"/>
        <v>238837.23743166379</v>
      </c>
      <c r="Z34" s="39">
        <f t="shared" ca="1" si="41"/>
        <v>242466.32692319361</v>
      </c>
      <c r="AA34" s="39">
        <f t="shared" ca="1" si="41"/>
        <v>253102.54456155756</v>
      </c>
      <c r="AB34" s="39">
        <f t="shared" ca="1" si="41"/>
        <v>256964.23777680803</v>
      </c>
      <c r="AC34" s="39">
        <f t="shared" ca="1" si="41"/>
        <v>260903.60515915771</v>
      </c>
      <c r="AD34" s="39">
        <f t="shared" ca="1" si="41"/>
        <v>264922.06810111034</v>
      </c>
      <c r="AE34" s="39">
        <f t="shared" ca="1" si="41"/>
        <v>273861.11605027114</v>
      </c>
      <c r="AF34" s="39">
        <f t="shared" ca="1" si="41"/>
        <v>278042.29598227364</v>
      </c>
      <c r="AG34" s="39">
        <f t="shared" ca="1" si="41"/>
        <v>282307.20522961701</v>
      </c>
      <c r="AH34" s="39">
        <f t="shared" ca="1" si="41"/>
        <v>286657.48666359787</v>
      </c>
      <c r="AI34" s="39">
        <f t="shared" ca="1" si="41"/>
        <v>291094.82552744186</v>
      </c>
      <c r="AJ34" s="39">
        <f t="shared" ca="1" si="41"/>
        <v>295620.94742939109</v>
      </c>
      <c r="AK34" s="39">
        <f t="shared" ca="1" si="41"/>
        <v>300237.61715195916</v>
      </c>
      <c r="AL34" s="39">
        <f t="shared" ca="1" si="41"/>
        <v>304946.6380367846</v>
      </c>
    </row>
    <row r="35" spans="1:39" ht="18.75" x14ac:dyDescent="0.35">
      <c r="A35" s="68">
        <v>5300</v>
      </c>
      <c r="B35" s="51" t="s">
        <v>95</v>
      </c>
      <c r="C35" s="47">
        <f>$A$35</f>
        <v>5300</v>
      </c>
      <c r="D35" s="47">
        <f t="shared" ref="D35:M35" si="42">$A$35</f>
        <v>5300</v>
      </c>
      <c r="E35" s="47">
        <f t="shared" si="42"/>
        <v>5300</v>
      </c>
      <c r="F35" s="47">
        <f t="shared" si="42"/>
        <v>5300</v>
      </c>
      <c r="G35" s="47">
        <f t="shared" si="42"/>
        <v>5300</v>
      </c>
      <c r="H35" s="47">
        <f t="shared" si="42"/>
        <v>5300</v>
      </c>
      <c r="I35" s="47">
        <f t="shared" si="42"/>
        <v>5300</v>
      </c>
      <c r="J35" s="47">
        <f t="shared" si="42"/>
        <v>5300</v>
      </c>
      <c r="K35" s="47">
        <f t="shared" si="42"/>
        <v>5300</v>
      </c>
      <c r="L35" s="47">
        <f t="shared" si="42"/>
        <v>5300</v>
      </c>
      <c r="M35" s="47">
        <f t="shared" si="42"/>
        <v>5300</v>
      </c>
      <c r="N35" s="47">
        <f>$A$35</f>
        <v>5300</v>
      </c>
      <c r="O35" s="47">
        <f>$A$35*110%</f>
        <v>5830.0000000000009</v>
      </c>
      <c r="P35" s="47">
        <f t="shared" ref="P35:Z35" si="43">$A$35*110%</f>
        <v>5830.0000000000009</v>
      </c>
      <c r="Q35" s="47">
        <f t="shared" si="43"/>
        <v>5830.0000000000009</v>
      </c>
      <c r="R35" s="47">
        <f t="shared" si="43"/>
        <v>5830.0000000000009</v>
      </c>
      <c r="S35" s="47">
        <f t="shared" si="43"/>
        <v>5830.0000000000009</v>
      </c>
      <c r="T35" s="47">
        <f t="shared" si="43"/>
        <v>5830.0000000000009</v>
      </c>
      <c r="U35" s="47">
        <f t="shared" si="43"/>
        <v>5830.0000000000009</v>
      </c>
      <c r="V35" s="47">
        <f t="shared" si="43"/>
        <v>5830.0000000000009</v>
      </c>
      <c r="W35" s="47">
        <f t="shared" si="43"/>
        <v>5830.0000000000009</v>
      </c>
      <c r="X35" s="47">
        <f t="shared" si="43"/>
        <v>5830.0000000000009</v>
      </c>
      <c r="Y35" s="47">
        <f t="shared" si="43"/>
        <v>5830.0000000000009</v>
      </c>
      <c r="Z35" s="47">
        <f t="shared" si="43"/>
        <v>5830.0000000000009</v>
      </c>
      <c r="AA35" s="47">
        <f>$A$35*115%</f>
        <v>6094.9999999999991</v>
      </c>
      <c r="AB35" s="47">
        <f t="shared" ref="AB35:AL35" si="44">$A$35*115%</f>
        <v>6094.9999999999991</v>
      </c>
      <c r="AC35" s="47">
        <f t="shared" si="44"/>
        <v>6094.9999999999991</v>
      </c>
      <c r="AD35" s="47">
        <f t="shared" si="44"/>
        <v>6094.9999999999991</v>
      </c>
      <c r="AE35" s="47">
        <f t="shared" si="44"/>
        <v>6094.9999999999991</v>
      </c>
      <c r="AF35" s="47">
        <f t="shared" si="44"/>
        <v>6094.9999999999991</v>
      </c>
      <c r="AG35" s="47">
        <f t="shared" si="44"/>
        <v>6094.9999999999991</v>
      </c>
      <c r="AH35" s="47">
        <f t="shared" si="44"/>
        <v>6094.9999999999991</v>
      </c>
      <c r="AI35" s="47">
        <f t="shared" si="44"/>
        <v>6094.9999999999991</v>
      </c>
      <c r="AJ35" s="47">
        <f t="shared" si="44"/>
        <v>6094.9999999999991</v>
      </c>
      <c r="AK35" s="47">
        <f t="shared" si="44"/>
        <v>6094.9999999999991</v>
      </c>
      <c r="AL35" s="47">
        <f t="shared" si="44"/>
        <v>6094.9999999999991</v>
      </c>
    </row>
    <row r="36" spans="1:39" ht="18.75" x14ac:dyDescent="0.35">
      <c r="A36" s="68">
        <v>4000</v>
      </c>
      <c r="B36" s="51" t="s">
        <v>119</v>
      </c>
      <c r="C36" s="47">
        <f>$A$36*C31</f>
        <v>32000</v>
      </c>
      <c r="D36" s="47">
        <f t="shared" ref="D36:N36" si="45">$A$36*D31</f>
        <v>32000</v>
      </c>
      <c r="E36" s="47">
        <f t="shared" si="45"/>
        <v>32000</v>
      </c>
      <c r="F36" s="47">
        <f t="shared" si="45"/>
        <v>32000</v>
      </c>
      <c r="G36" s="47">
        <f t="shared" si="45"/>
        <v>32000</v>
      </c>
      <c r="H36" s="47">
        <f t="shared" si="45"/>
        <v>32000</v>
      </c>
      <c r="I36" s="47">
        <f t="shared" si="45"/>
        <v>32000</v>
      </c>
      <c r="J36" s="47">
        <f t="shared" si="45"/>
        <v>32000</v>
      </c>
      <c r="K36" s="47">
        <f t="shared" si="45"/>
        <v>32000</v>
      </c>
      <c r="L36" s="47">
        <f t="shared" si="45"/>
        <v>36000</v>
      </c>
      <c r="M36" s="47">
        <f t="shared" si="45"/>
        <v>36000</v>
      </c>
      <c r="N36" s="47">
        <f t="shared" si="45"/>
        <v>36000</v>
      </c>
      <c r="O36" s="47">
        <f>$A$36*O31*105%</f>
        <v>37800</v>
      </c>
      <c r="P36" s="47">
        <f t="shared" ref="P36:Z36" si="46">$A$36*P31*105%</f>
        <v>37800</v>
      </c>
      <c r="Q36" s="47">
        <f t="shared" si="46"/>
        <v>42000</v>
      </c>
      <c r="R36" s="47">
        <f t="shared" si="46"/>
        <v>42000</v>
      </c>
      <c r="S36" s="47">
        <f t="shared" si="46"/>
        <v>42000</v>
      </c>
      <c r="T36" s="47">
        <f t="shared" si="46"/>
        <v>42000</v>
      </c>
      <c r="U36" s="47">
        <f t="shared" si="46"/>
        <v>42000</v>
      </c>
      <c r="V36" s="47">
        <f t="shared" si="46"/>
        <v>42000</v>
      </c>
      <c r="W36" s="47">
        <f t="shared" si="46"/>
        <v>42000</v>
      </c>
      <c r="X36" s="47">
        <f t="shared" si="46"/>
        <v>46200</v>
      </c>
      <c r="Y36" s="47">
        <f t="shared" si="46"/>
        <v>46200</v>
      </c>
      <c r="Z36" s="47">
        <f t="shared" si="46"/>
        <v>46200</v>
      </c>
      <c r="AA36" s="47">
        <f>$A$36*AA31*110%</f>
        <v>48400.000000000007</v>
      </c>
      <c r="AB36" s="47">
        <f t="shared" ref="AB36:AL36" si="47">$A$36*AB31*110%</f>
        <v>48400.000000000007</v>
      </c>
      <c r="AC36" s="47">
        <f t="shared" si="47"/>
        <v>48400.000000000007</v>
      </c>
      <c r="AD36" s="47">
        <f t="shared" si="47"/>
        <v>48400.000000000007</v>
      </c>
      <c r="AE36" s="47">
        <f t="shared" si="47"/>
        <v>52800.000000000007</v>
      </c>
      <c r="AF36" s="47">
        <f t="shared" si="47"/>
        <v>52800.000000000007</v>
      </c>
      <c r="AG36" s="47">
        <f t="shared" si="47"/>
        <v>52800.000000000007</v>
      </c>
      <c r="AH36" s="47">
        <f t="shared" si="47"/>
        <v>52800.000000000007</v>
      </c>
      <c r="AI36" s="47">
        <f t="shared" si="47"/>
        <v>52800.000000000007</v>
      </c>
      <c r="AJ36" s="47">
        <f t="shared" si="47"/>
        <v>52800.000000000007</v>
      </c>
      <c r="AK36" s="47">
        <f t="shared" si="47"/>
        <v>52800.000000000007</v>
      </c>
      <c r="AL36" s="47">
        <f t="shared" si="47"/>
        <v>52800.000000000007</v>
      </c>
    </row>
    <row r="37" spans="1:39" ht="18.75" x14ac:dyDescent="0.35">
      <c r="A37" s="56"/>
      <c r="B37" s="51" t="s">
        <v>94</v>
      </c>
      <c r="C37" s="47">
        <f>C13*C32</f>
        <v>37500</v>
      </c>
      <c r="D37" s="47">
        <f t="shared" ref="D37:AL37" si="48">D13*D32</f>
        <v>38250</v>
      </c>
      <c r="E37" s="47">
        <f t="shared" si="48"/>
        <v>39015</v>
      </c>
      <c r="F37" s="47">
        <f t="shared" si="48"/>
        <v>39795.300000000003</v>
      </c>
      <c r="G37" s="47">
        <f t="shared" si="48"/>
        <v>40591.205999999998</v>
      </c>
      <c r="H37" s="47">
        <f t="shared" si="48"/>
        <v>41403.030119999996</v>
      </c>
      <c r="I37" s="47">
        <f t="shared" si="48"/>
        <v>42231.090722399997</v>
      </c>
      <c r="J37" s="47">
        <f t="shared" si="48"/>
        <v>43075.712536847997</v>
      </c>
      <c r="K37" s="47">
        <f t="shared" si="48"/>
        <v>43937.226787584957</v>
      </c>
      <c r="L37" s="47">
        <f t="shared" si="48"/>
        <v>44815.971323336656</v>
      </c>
      <c r="M37" s="47">
        <f t="shared" si="48"/>
        <v>45712.290749803389</v>
      </c>
      <c r="N37" s="47">
        <f t="shared" si="48"/>
        <v>46626.536564799462</v>
      </c>
      <c r="O37" s="47">
        <f t="shared" si="48"/>
        <v>49937.02066090022</v>
      </c>
      <c r="P37" s="47">
        <f t="shared" si="48"/>
        <v>50935.761074118229</v>
      </c>
      <c r="Q37" s="47">
        <f t="shared" si="48"/>
        <v>51954.476295600594</v>
      </c>
      <c r="R37" s="47">
        <f t="shared" si="48"/>
        <v>52993.565821512602</v>
      </c>
      <c r="S37" s="47">
        <f t="shared" si="48"/>
        <v>54053.437137942848</v>
      </c>
      <c r="T37" s="47">
        <f t="shared" si="48"/>
        <v>55134.505880701705</v>
      </c>
      <c r="U37" s="47">
        <f t="shared" si="48"/>
        <v>56237.195998315743</v>
      </c>
      <c r="V37" s="47">
        <f t="shared" si="48"/>
        <v>57361.939918282056</v>
      </c>
      <c r="W37" s="47">
        <f t="shared" si="48"/>
        <v>58509.178716647693</v>
      </c>
      <c r="X37" s="47">
        <f t="shared" si="48"/>
        <v>59679.362290980651</v>
      </c>
      <c r="Y37" s="47">
        <f t="shared" si="48"/>
        <v>60872.949536800261</v>
      </c>
      <c r="Z37" s="47">
        <f t="shared" si="48"/>
        <v>62090.408527536267</v>
      </c>
      <c r="AA37" s="47">
        <f t="shared" si="48"/>
        <v>67554.364477959462</v>
      </c>
      <c r="AB37" s="47">
        <f t="shared" si="48"/>
        <v>68905.451767518636</v>
      </c>
      <c r="AC37" s="47">
        <f t="shared" si="48"/>
        <v>70283.560802869019</v>
      </c>
      <c r="AD37" s="47">
        <f t="shared" si="48"/>
        <v>71689.232018926399</v>
      </c>
      <c r="AE37" s="47">
        <f t="shared" si="48"/>
        <v>73123.016659304922</v>
      </c>
      <c r="AF37" s="47">
        <f t="shared" si="48"/>
        <v>74585.476992491036</v>
      </c>
      <c r="AG37" s="47">
        <f t="shared" si="48"/>
        <v>76077.186532340842</v>
      </c>
      <c r="AH37" s="47">
        <f t="shared" si="48"/>
        <v>77598.730262987665</v>
      </c>
      <c r="AI37" s="47">
        <f t="shared" si="48"/>
        <v>79150.704868247427</v>
      </c>
      <c r="AJ37" s="47">
        <f t="shared" si="48"/>
        <v>80733.718965612366</v>
      </c>
      <c r="AK37" s="47">
        <f t="shared" si="48"/>
        <v>82348.393344924611</v>
      </c>
      <c r="AL37" s="47">
        <f t="shared" si="48"/>
        <v>83995.36121182311</v>
      </c>
    </row>
    <row r="38" spans="1:39" ht="18.75" x14ac:dyDescent="0.35">
      <c r="A38" s="56"/>
      <c r="B38" s="51" t="s">
        <v>121</v>
      </c>
      <c r="C38" s="47">
        <f>C12*C27</f>
        <v>18203.43</v>
      </c>
      <c r="D38" s="47">
        <f t="shared" ref="D38:AL38" si="49">D12*D27</f>
        <v>17077.401000000002</v>
      </c>
      <c r="E38" s="47">
        <f t="shared" si="49"/>
        <v>15412.5936</v>
      </c>
      <c r="F38" s="47">
        <f t="shared" si="49"/>
        <v>14094.044549999999</v>
      </c>
      <c r="G38" s="47">
        <f t="shared" si="49"/>
        <v>12996.621665999999</v>
      </c>
      <c r="H38" s="47">
        <f t="shared" si="49"/>
        <v>12036.066693299997</v>
      </c>
      <c r="I38" s="47">
        <f t="shared" si="49"/>
        <v>11155.638044231999</v>
      </c>
      <c r="J38" s="47">
        <f t="shared" si="49"/>
        <v>10317.086664417717</v>
      </c>
      <c r="K38" s="47">
        <f t="shared" si="49"/>
        <v>9494.5672389532992</v>
      </c>
      <c r="L38" s="47">
        <f t="shared" si="49"/>
        <v>9633.928488823085</v>
      </c>
      <c r="M38" s="47">
        <f t="shared" si="49"/>
        <v>9791.2359921630505</v>
      </c>
      <c r="N38" s="47">
        <f t="shared" si="49"/>
        <v>9962.3009655007645</v>
      </c>
      <c r="O38" s="47">
        <f t="shared" si="49"/>
        <v>10144.215162256896</v>
      </c>
      <c r="P38" s="47">
        <f t="shared" si="49"/>
        <v>10334.967189714316</v>
      </c>
      <c r="Q38" s="47">
        <f t="shared" si="49"/>
        <v>10533.1739404572</v>
      </c>
      <c r="R38" s="47">
        <f t="shared" si="49"/>
        <v>10737.892604130362</v>
      </c>
      <c r="S38" s="47">
        <f t="shared" si="49"/>
        <v>10948.489085617783</v>
      </c>
      <c r="T38" s="47">
        <f t="shared" si="49"/>
        <v>11164.545907913505</v>
      </c>
      <c r="U38" s="47">
        <f t="shared" si="49"/>
        <v>11385.797754480134</v>
      </c>
      <c r="V38" s="47">
        <f t="shared" si="49"/>
        <v>11612.086359455585</v>
      </c>
      <c r="W38" s="47">
        <f t="shared" si="49"/>
        <v>11843.328941564792</v>
      </c>
      <c r="X38" s="47">
        <f t="shared" si="49"/>
        <v>12079.496118840158</v>
      </c>
      <c r="Y38" s="47">
        <f t="shared" si="49"/>
        <v>12320.596460127806</v>
      </c>
      <c r="Z38" s="47">
        <f t="shared" si="49"/>
        <v>12566.665682567957</v>
      </c>
      <c r="AA38" s="47">
        <f t="shared" si="49"/>
        <v>12817.759101485632</v>
      </c>
      <c r="AB38" s="47">
        <f t="shared" si="49"/>
        <v>13073.946357201765</v>
      </c>
      <c r="AC38" s="47">
        <f t="shared" si="49"/>
        <v>13335.307735926293</v>
      </c>
      <c r="AD38" s="47">
        <f t="shared" si="49"/>
        <v>13601.931606751165</v>
      </c>
      <c r="AE38" s="47">
        <f t="shared" si="49"/>
        <v>13873.91264016063</v>
      </c>
      <c r="AF38" s="47">
        <f t="shared" si="49"/>
        <v>14151.350573855954</v>
      </c>
      <c r="AG38" s="47">
        <f t="shared" si="49"/>
        <v>14434.349361957549</v>
      </c>
      <c r="AH38" s="47">
        <f t="shared" si="49"/>
        <v>14723.016592833834</v>
      </c>
      <c r="AI38" s="47">
        <f t="shared" si="49"/>
        <v>15017.463095236501</v>
      </c>
      <c r="AJ38" s="47">
        <f t="shared" si="49"/>
        <v>15317.802676523428</v>
      </c>
      <c r="AK38" s="47">
        <f t="shared" si="49"/>
        <v>15624.151953621435</v>
      </c>
      <c r="AL38" s="47">
        <f t="shared" si="49"/>
        <v>15936.630249191139</v>
      </c>
    </row>
    <row r="39" spans="1:39" ht="18.75" x14ac:dyDescent="0.35">
      <c r="A39" s="79">
        <v>2.25</v>
      </c>
      <c r="B39" s="51" t="s">
        <v>120</v>
      </c>
      <c r="C39" s="47">
        <f ca="1">C20*$A$39 + C28*C30</f>
        <v>94754.146000000008</v>
      </c>
      <c r="D39" s="47">
        <f t="shared" ref="D39:AL39" ca="1" si="50">D20*$A$39 + D28*D30</f>
        <v>88026.652200000011</v>
      </c>
      <c r="E39" s="47">
        <f t="shared" ca="1" si="50"/>
        <v>84783.746540000007</v>
      </c>
      <c r="F39" s="47">
        <f t="shared" ca="1" si="50"/>
        <v>82789.142378000004</v>
      </c>
      <c r="G39" s="47">
        <f t="shared" ca="1" si="50"/>
        <v>81620.627460600022</v>
      </c>
      <c r="H39" s="47">
        <f t="shared" ca="1" si="50"/>
        <v>80972.931414340012</v>
      </c>
      <c r="I39" s="47">
        <f t="shared" ca="1" si="50"/>
        <v>82197.11161279642</v>
      </c>
      <c r="J39" s="47">
        <f t="shared" ca="1" si="50"/>
        <v>82838.019666221066</v>
      </c>
      <c r="K39" s="47">
        <f t="shared" ca="1" si="50"/>
        <v>83731.196656998582</v>
      </c>
      <c r="L39" s="47">
        <f t="shared" ca="1" si="50"/>
        <v>84809.852730990722</v>
      </c>
      <c r="M39" s="47">
        <f t="shared" ca="1" si="50"/>
        <v>86027.412806842054</v>
      </c>
      <c r="N39" s="47">
        <f t="shared" ca="1" si="50"/>
        <v>87351.455700475955</v>
      </c>
      <c r="O39" s="47">
        <f t="shared" ca="1" si="50"/>
        <v>88759.471583368417</v>
      </c>
      <c r="P39" s="47">
        <f t="shared" ca="1" si="50"/>
        <v>90235.892275888851</v>
      </c>
      <c r="Q39" s="47">
        <f t="shared" ca="1" si="50"/>
        <v>91770.012526638777</v>
      </c>
      <c r="R39" s="47">
        <f t="shared" ca="1" si="50"/>
        <v>94930.419018469052</v>
      </c>
      <c r="S39" s="47">
        <f t="shared" ca="1" si="50"/>
        <v>96560.435785181689</v>
      </c>
      <c r="T39" s="47">
        <f t="shared" ca="1" si="50"/>
        <v>98232.715589750573</v>
      </c>
      <c r="U39" s="47">
        <f t="shared" ca="1" si="50"/>
        <v>100181.58748742628</v>
      </c>
      <c r="V39" s="47">
        <f t="shared" ca="1" si="50"/>
        <v>102174.17154729129</v>
      </c>
      <c r="W39" s="47">
        <f t="shared" ca="1" si="50"/>
        <v>104209.92159531865</v>
      </c>
      <c r="X39" s="47">
        <f t="shared" ca="1" si="50"/>
        <v>106288.70665918212</v>
      </c>
      <c r="Y39" s="47">
        <f t="shared" ca="1" si="50"/>
        <v>108410.69143473572</v>
      </c>
      <c r="Z39" s="47">
        <f t="shared" ca="1" si="50"/>
        <v>110576.2527130894</v>
      </c>
      <c r="AA39" s="47">
        <f t="shared" ca="1" si="50"/>
        <v>112785.92098211247</v>
      </c>
      <c r="AB39" s="47">
        <f t="shared" ca="1" si="50"/>
        <v>115040.33965208763</v>
      </c>
      <c r="AC39" s="47">
        <f t="shared" ca="1" si="50"/>
        <v>117340.23662036238</v>
      </c>
      <c r="AD39" s="47">
        <f t="shared" ca="1" si="50"/>
        <v>119686.40447543275</v>
      </c>
      <c r="AE39" s="47">
        <f t="shared" ca="1" si="50"/>
        <v>122079.68675080559</v>
      </c>
      <c r="AF39" s="47">
        <f t="shared" ca="1" si="50"/>
        <v>124520.96841592663</v>
      </c>
      <c r="AG39" s="47">
        <f t="shared" ca="1" si="50"/>
        <v>127011.1693353186</v>
      </c>
      <c r="AH39" s="47">
        <f t="shared" ca="1" si="50"/>
        <v>129551.23980777639</v>
      </c>
      <c r="AI39" s="47">
        <f t="shared" ca="1" si="50"/>
        <v>132142.15756395791</v>
      </c>
      <c r="AJ39" s="47">
        <f t="shared" ca="1" si="50"/>
        <v>134784.92578725526</v>
      </c>
      <c r="AK39" s="47">
        <f t="shared" ca="1" si="50"/>
        <v>137480.5718534131</v>
      </c>
      <c r="AL39" s="47">
        <f t="shared" ca="1" si="50"/>
        <v>140230.14657577031</v>
      </c>
    </row>
    <row r="40" spans="1:39" ht="18.75" x14ac:dyDescent="0.35">
      <c r="A40" s="56"/>
      <c r="B40" s="51" t="s">
        <v>96</v>
      </c>
      <c r="C40" s="47">
        <f>SUM(C35:C36)*10%</f>
        <v>3730</v>
      </c>
      <c r="D40" s="47">
        <f t="shared" ref="D40:AL40" si="51">SUM(D35:D36)*10%</f>
        <v>3730</v>
      </c>
      <c r="E40" s="47">
        <f t="shared" si="51"/>
        <v>3730</v>
      </c>
      <c r="F40" s="47">
        <f t="shared" si="51"/>
        <v>3730</v>
      </c>
      <c r="G40" s="47">
        <f t="shared" si="51"/>
        <v>3730</v>
      </c>
      <c r="H40" s="47">
        <f t="shared" si="51"/>
        <v>3730</v>
      </c>
      <c r="I40" s="47">
        <f t="shared" si="51"/>
        <v>3730</v>
      </c>
      <c r="J40" s="47">
        <f t="shared" si="51"/>
        <v>3730</v>
      </c>
      <c r="K40" s="47">
        <f t="shared" si="51"/>
        <v>3730</v>
      </c>
      <c r="L40" s="47">
        <f t="shared" si="51"/>
        <v>4130</v>
      </c>
      <c r="M40" s="47">
        <f t="shared" si="51"/>
        <v>4130</v>
      </c>
      <c r="N40" s="47">
        <f t="shared" si="51"/>
        <v>4130</v>
      </c>
      <c r="O40" s="47">
        <f t="shared" si="51"/>
        <v>4363</v>
      </c>
      <c r="P40" s="47">
        <f t="shared" si="51"/>
        <v>4363</v>
      </c>
      <c r="Q40" s="47">
        <f t="shared" si="51"/>
        <v>4783</v>
      </c>
      <c r="R40" s="47">
        <f t="shared" si="51"/>
        <v>4783</v>
      </c>
      <c r="S40" s="47">
        <f t="shared" si="51"/>
        <v>4783</v>
      </c>
      <c r="T40" s="47">
        <f t="shared" si="51"/>
        <v>4783</v>
      </c>
      <c r="U40" s="47">
        <f t="shared" si="51"/>
        <v>4783</v>
      </c>
      <c r="V40" s="47">
        <f t="shared" si="51"/>
        <v>4783</v>
      </c>
      <c r="W40" s="47">
        <f t="shared" si="51"/>
        <v>4783</v>
      </c>
      <c r="X40" s="47">
        <f t="shared" si="51"/>
        <v>5203</v>
      </c>
      <c r="Y40" s="47">
        <f t="shared" si="51"/>
        <v>5203</v>
      </c>
      <c r="Z40" s="47">
        <f t="shared" si="51"/>
        <v>5203</v>
      </c>
      <c r="AA40" s="47">
        <f t="shared" si="51"/>
        <v>5449.5000000000009</v>
      </c>
      <c r="AB40" s="47">
        <f t="shared" si="51"/>
        <v>5449.5000000000009</v>
      </c>
      <c r="AC40" s="47">
        <f t="shared" si="51"/>
        <v>5449.5000000000009</v>
      </c>
      <c r="AD40" s="47">
        <f t="shared" si="51"/>
        <v>5449.5000000000009</v>
      </c>
      <c r="AE40" s="47">
        <f t="shared" si="51"/>
        <v>5889.5000000000009</v>
      </c>
      <c r="AF40" s="47">
        <f t="shared" si="51"/>
        <v>5889.5000000000009</v>
      </c>
      <c r="AG40" s="47">
        <f t="shared" si="51"/>
        <v>5889.5000000000009</v>
      </c>
      <c r="AH40" s="47">
        <f t="shared" si="51"/>
        <v>5889.5000000000009</v>
      </c>
      <c r="AI40" s="47">
        <f t="shared" si="51"/>
        <v>5889.5000000000009</v>
      </c>
      <c r="AJ40" s="47">
        <f t="shared" si="51"/>
        <v>5889.5000000000009</v>
      </c>
      <c r="AK40" s="47">
        <f t="shared" si="51"/>
        <v>5889.5000000000009</v>
      </c>
      <c r="AL40" s="47">
        <f t="shared" si="51"/>
        <v>5889.5000000000009</v>
      </c>
    </row>
    <row r="41" spans="1:39" ht="26.45" customHeight="1" x14ac:dyDescent="0.35">
      <c r="A41" s="57"/>
      <c r="B41" s="51" t="s">
        <v>92</v>
      </c>
      <c r="C41" s="44">
        <v>1</v>
      </c>
      <c r="D41" s="44">
        <f ca="1">(D34/C34)-100%</f>
        <v>-3.7096520559641855E-2</v>
      </c>
      <c r="E41" s="44">
        <f t="shared" ref="E41:AL41" ca="1" si="52">(E34/D34)-100%</f>
        <v>-2.2467848971225668E-2</v>
      </c>
      <c r="F41" s="44">
        <f t="shared" ca="1" si="52"/>
        <v>-1.4052565355054614E-2</v>
      </c>
      <c r="G41" s="44">
        <f t="shared" ca="1" si="52"/>
        <v>-8.2721530457663395E-3</v>
      </c>
      <c r="H41" s="44">
        <f t="shared" ca="1" si="52"/>
        <v>-4.5190301877526817E-3</v>
      </c>
      <c r="I41" s="44">
        <f t="shared" ca="1" si="52"/>
        <v>6.6791986140739557E-3</v>
      </c>
      <c r="J41" s="44">
        <f t="shared" ca="1" si="52"/>
        <v>3.6632377545748884E-3</v>
      </c>
      <c r="K41" s="44">
        <f t="shared" ca="1" si="52"/>
        <v>5.258758376530448E-3</v>
      </c>
      <c r="L41" s="44">
        <f t="shared" ca="1" si="52"/>
        <v>3.6459132509603531E-2</v>
      </c>
      <c r="M41" s="44">
        <f t="shared" ca="1" si="52"/>
        <v>1.2297309268024526E-2</v>
      </c>
      <c r="N41" s="44">
        <f t="shared" ca="1" si="52"/>
        <v>1.2886936104312241E-2</v>
      </c>
      <c r="O41" s="44">
        <f t="shared" ca="1" si="52"/>
        <v>3.9411747473264258E-2</v>
      </c>
      <c r="P41" s="44">
        <f t="shared" ca="1" si="52"/>
        <v>1.3543986791296314E-2</v>
      </c>
      <c r="Q41" s="44">
        <f t="shared" ca="1" si="52"/>
        <v>3.6947650341558225E-2</v>
      </c>
      <c r="R41" s="44">
        <f t="shared" ca="1" si="52"/>
        <v>2.1289701606784117E-2</v>
      </c>
      <c r="S41" s="44">
        <f t="shared" ca="1" si="52"/>
        <v>1.3728487739379069E-2</v>
      </c>
      <c r="T41" s="44">
        <f t="shared" ca="1" si="52"/>
        <v>1.3864364891337466E-2</v>
      </c>
      <c r="U41" s="44">
        <f t="shared" ca="1" si="52"/>
        <v>1.5072036509881093E-2</v>
      </c>
      <c r="V41" s="44">
        <f t="shared" ca="1" si="52"/>
        <v>1.5169464096254304E-2</v>
      </c>
      <c r="W41" s="44">
        <f t="shared" ca="1" si="52"/>
        <v>1.5258371253321634E-2</v>
      </c>
      <c r="X41" s="44">
        <f t="shared" ca="1" si="52"/>
        <v>3.5677871687550766E-2</v>
      </c>
      <c r="Y41" s="44">
        <f t="shared" ca="1" si="52"/>
        <v>1.5116728241526323E-2</v>
      </c>
      <c r="Z41" s="44">
        <f t="shared" ca="1" si="52"/>
        <v>1.5194822761120719E-2</v>
      </c>
      <c r="AA41" s="44">
        <f t="shared" ca="1" si="52"/>
        <v>4.386678254804921E-2</v>
      </c>
      <c r="AB41" s="44">
        <f t="shared" ca="1" si="52"/>
        <v>1.5257425491079113E-2</v>
      </c>
      <c r="AC41" s="44">
        <f t="shared" ca="1" si="52"/>
        <v>1.5330411019183643E-2</v>
      </c>
      <c r="AD41" s="44">
        <f t="shared" ca="1" si="52"/>
        <v>1.5402098179138957E-2</v>
      </c>
      <c r="AE41" s="44">
        <f t="shared" ca="1" si="52"/>
        <v>3.3742179401034633E-2</v>
      </c>
      <c r="AF41" s="44">
        <f t="shared" ca="1" si="52"/>
        <v>1.5267519508811889E-2</v>
      </c>
      <c r="AG41" s="44">
        <f t="shared" ca="1" si="52"/>
        <v>1.5339066426121262E-2</v>
      </c>
      <c r="AH41" s="44">
        <f t="shared" ca="1" si="52"/>
        <v>1.540974283827623E-2</v>
      </c>
      <c r="AI41" s="44">
        <f t="shared" ca="1" si="52"/>
        <v>1.5479584766789456E-2</v>
      </c>
      <c r="AJ41" s="44">
        <f t="shared" ca="1" si="52"/>
        <v>1.5548616825284522E-2</v>
      </c>
      <c r="AK41" s="44">
        <f t="shared" ca="1" si="52"/>
        <v>1.5616855851092071E-2</v>
      </c>
      <c r="AL41" s="44">
        <f t="shared" ca="1" si="52"/>
        <v>1.5684313409808581E-2</v>
      </c>
    </row>
    <row r="42" spans="1:39" ht="18" x14ac:dyDescent="0.35">
      <c r="A42" s="57"/>
      <c r="B42" s="5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</row>
    <row r="43" spans="1:39" ht="27.95" customHeight="1" x14ac:dyDescent="0.35">
      <c r="A43" s="57"/>
      <c r="B43" s="49" t="s">
        <v>97</v>
      </c>
      <c r="C43" s="39">
        <f ca="1">C8-C34</f>
        <v>2614.9556160000211</v>
      </c>
      <c r="D43" s="39">
        <f t="shared" ref="D43:AL43" ca="1" si="53">D8-D34</f>
        <v>-2288.329068800027</v>
      </c>
      <c r="E43" s="39">
        <f t="shared" ca="1" si="53"/>
        <v>-5625.9022081599687</v>
      </c>
      <c r="F43" s="39">
        <f t="shared" ca="1" si="53"/>
        <v>-7386.2807149119908</v>
      </c>
      <c r="G43" s="39">
        <f t="shared" ca="1" si="53"/>
        <v>-7959.6831234224082</v>
      </c>
      <c r="H43" s="39">
        <f t="shared" ca="1" si="53"/>
        <v>-7612.5956183193775</v>
      </c>
      <c r="I43" s="39">
        <f t="shared" ca="1" si="53"/>
        <v>-8098.259501665656</v>
      </c>
      <c r="J43" s="39">
        <f t="shared" ca="1" si="53"/>
        <v>-7244.2346407898585</v>
      </c>
      <c r="K43" s="39">
        <f t="shared" ca="1" si="53"/>
        <v>-6084.59056034073</v>
      </c>
      <c r="L43" s="39">
        <f t="shared" ca="1" si="53"/>
        <v>-10055.145469114737</v>
      </c>
      <c r="M43" s="39">
        <f t="shared" ca="1" si="53"/>
        <v>-9474.8130694290739</v>
      </c>
      <c r="N43" s="39">
        <f t="shared" ca="1" si="53"/>
        <v>-8783.2651371051033</v>
      </c>
      <c r="O43" s="39">
        <f t="shared" ca="1" si="53"/>
        <v>15480.658253446483</v>
      </c>
      <c r="P43" s="39">
        <f t="shared" ca="1" si="53"/>
        <v>16807.108754123503</v>
      </c>
      <c r="Q43" s="39">
        <f t="shared" ca="1" si="53"/>
        <v>13584.454541496554</v>
      </c>
      <c r="R43" s="39">
        <f t="shared" ca="1" si="53"/>
        <v>13464.919603294868</v>
      </c>
      <c r="S43" s="39">
        <f t="shared" ca="1" si="53"/>
        <v>14972.135157603741</v>
      </c>
      <c r="T43" s="39">
        <f t="shared" ca="1" si="53"/>
        <v>16524.712655900803</v>
      </c>
      <c r="U43" s="39">
        <f t="shared" ca="1" si="53"/>
        <v>17882.611441945366</v>
      </c>
      <c r="V43" s="39">
        <f t="shared" ca="1" si="53"/>
        <v>19275.124843832833</v>
      </c>
      <c r="W43" s="39">
        <f t="shared" ca="1" si="53"/>
        <v>20700.708161843446</v>
      </c>
      <c r="X43" s="39">
        <f t="shared" ca="1" si="53"/>
        <v>17538.456899874174</v>
      </c>
      <c r="Y43" s="39">
        <f t="shared" ca="1" si="53"/>
        <v>19027.9182402273</v>
      </c>
      <c r="Z43" s="39">
        <f t="shared" ca="1" si="53"/>
        <v>20548.959146680805</v>
      </c>
      <c r="AA43" s="39">
        <f t="shared" ca="1" si="53"/>
        <v>51090.565276355861</v>
      </c>
      <c r="AB43" s="39">
        <f t="shared" ca="1" si="53"/>
        <v>53308.749003721576</v>
      </c>
      <c r="AC43" s="39">
        <f t="shared" ca="1" si="53"/>
        <v>55572.051679082972</v>
      </c>
      <c r="AD43" s="39">
        <f t="shared" ca="1" si="53"/>
        <v>57881.149099365575</v>
      </c>
      <c r="AE43" s="39">
        <f t="shared" ca="1" si="53"/>
        <v>55396.798552043561</v>
      </c>
      <c r="AF43" s="39">
        <f t="shared" ca="1" si="53"/>
        <v>57799.820052567869</v>
      </c>
      <c r="AG43" s="39">
        <f t="shared" ca="1" si="53"/>
        <v>60251.083324257575</v>
      </c>
      <c r="AH43" s="39">
        <f t="shared" ca="1" si="53"/>
        <v>62751.4988001897</v>
      </c>
      <c r="AI43" s="39">
        <f t="shared" ca="1" si="53"/>
        <v>65302.011442806222</v>
      </c>
      <c r="AJ43" s="39">
        <f t="shared" ca="1" si="53"/>
        <v>67903.596538291313</v>
      </c>
      <c r="AK43" s="39">
        <f t="shared" ca="1" si="53"/>
        <v>70557.256875697523</v>
      </c>
      <c r="AL43" s="39">
        <f t="shared" ca="1" si="53"/>
        <v>73264.020897859591</v>
      </c>
    </row>
    <row r="44" spans="1:39" ht="24" customHeight="1" x14ac:dyDescent="0.35">
      <c r="A44" s="57"/>
      <c r="B44" s="51" t="s">
        <v>98</v>
      </c>
      <c r="C44" s="47">
        <f ca="1">C43</f>
        <v>2614.9556160000211</v>
      </c>
      <c r="D44" s="47">
        <f ca="1">D43+C44</f>
        <v>326.62654719999409</v>
      </c>
      <c r="E44" s="47">
        <f t="shared" ref="E44:AL44" ca="1" si="54">E43+D44</f>
        <v>-5299.2756609599746</v>
      </c>
      <c r="F44" s="47">
        <f t="shared" ca="1" si="54"/>
        <v>-12685.556375871965</v>
      </c>
      <c r="G44" s="47">
        <f t="shared" ca="1" si="54"/>
        <v>-20645.239499294374</v>
      </c>
      <c r="H44" s="47">
        <f t="shared" ca="1" si="54"/>
        <v>-28257.835117613751</v>
      </c>
      <c r="I44" s="47">
        <f t="shared" ca="1" si="54"/>
        <v>-36356.094619279407</v>
      </c>
      <c r="J44" s="47">
        <f t="shared" ca="1" si="54"/>
        <v>-43600.329260069266</v>
      </c>
      <c r="K44" s="47">
        <f t="shared" ca="1" si="54"/>
        <v>-49684.919820409996</v>
      </c>
      <c r="L44" s="47">
        <f t="shared" ca="1" si="54"/>
        <v>-59740.065289524733</v>
      </c>
      <c r="M44" s="47">
        <f t="shared" ca="1" si="54"/>
        <v>-69214.878358953807</v>
      </c>
      <c r="N44" s="47">
        <f t="shared" ca="1" si="54"/>
        <v>-77998.14349605891</v>
      </c>
      <c r="O44" s="47">
        <f t="shared" ca="1" si="54"/>
        <v>-62517.485242612427</v>
      </c>
      <c r="P44" s="47">
        <f t="shared" ca="1" si="54"/>
        <v>-45710.376488488924</v>
      </c>
      <c r="Q44" s="47">
        <f t="shared" ca="1" si="54"/>
        <v>-32125.92194699237</v>
      </c>
      <c r="R44" s="47">
        <f t="shared" ca="1" si="54"/>
        <v>-18661.002343697503</v>
      </c>
      <c r="S44" s="47">
        <f t="shared" ca="1" si="54"/>
        <v>-3688.8671860937611</v>
      </c>
      <c r="T44" s="47">
        <f t="shared" ca="1" si="54"/>
        <v>12835.845469807042</v>
      </c>
      <c r="U44" s="47">
        <f t="shared" ca="1" si="54"/>
        <v>30718.456911752408</v>
      </c>
      <c r="V44" s="47">
        <f t="shared" ca="1" si="54"/>
        <v>49993.581755585241</v>
      </c>
      <c r="W44" s="47">
        <f t="shared" ca="1" si="54"/>
        <v>70694.289917428687</v>
      </c>
      <c r="X44" s="47">
        <f t="shared" ca="1" si="54"/>
        <v>88232.746817302861</v>
      </c>
      <c r="Y44" s="47">
        <f t="shared" ca="1" si="54"/>
        <v>107260.66505753016</v>
      </c>
      <c r="Z44" s="47">
        <f t="shared" ca="1" si="54"/>
        <v>127809.62420421097</v>
      </c>
      <c r="AA44" s="47">
        <f t="shared" ca="1" si="54"/>
        <v>178900.18948056683</v>
      </c>
      <c r="AB44" s="47">
        <f t="shared" ca="1" si="54"/>
        <v>232208.9384842884</v>
      </c>
      <c r="AC44" s="47">
        <f t="shared" ca="1" si="54"/>
        <v>287780.99016337137</v>
      </c>
      <c r="AD44" s="47">
        <f t="shared" ca="1" si="54"/>
        <v>345662.13926273695</v>
      </c>
      <c r="AE44" s="47">
        <f t="shared" ca="1" si="54"/>
        <v>401058.93781478051</v>
      </c>
      <c r="AF44" s="47">
        <f t="shared" ca="1" si="54"/>
        <v>458858.75786734838</v>
      </c>
      <c r="AG44" s="47">
        <f t="shared" ca="1" si="54"/>
        <v>519109.84119160596</v>
      </c>
      <c r="AH44" s="47">
        <f t="shared" ca="1" si="54"/>
        <v>581861.3399917956</v>
      </c>
      <c r="AI44" s="47">
        <f t="shared" ca="1" si="54"/>
        <v>647163.35143460182</v>
      </c>
      <c r="AJ44" s="47">
        <f t="shared" ca="1" si="54"/>
        <v>715066.94797289313</v>
      </c>
      <c r="AK44" s="47">
        <f t="shared" ca="1" si="54"/>
        <v>785624.20484859066</v>
      </c>
      <c r="AL44" s="47">
        <f t="shared" ca="1" si="54"/>
        <v>858888.22574645025</v>
      </c>
    </row>
    <row r="45" spans="1:39" ht="26.45" customHeight="1" x14ac:dyDescent="0.35">
      <c r="A45" s="57"/>
      <c r="B45" s="51" t="s">
        <v>99</v>
      </c>
      <c r="C45" s="44">
        <f ca="1">C43/C8</f>
        <v>1.3472032508948835E-2</v>
      </c>
      <c r="D45" s="44">
        <f t="shared" ref="D45:AL45" ca="1" si="55">D43/D8</f>
        <v>-1.2566627139203364E-2</v>
      </c>
      <c r="E45" s="44">
        <f t="shared" ca="1" si="55"/>
        <v>-3.2218813380956626E-2</v>
      </c>
      <c r="F45" s="44">
        <f t="shared" ca="1" si="55"/>
        <v>-4.3366516199720345E-2</v>
      </c>
      <c r="G45" s="44">
        <f t="shared" ca="1" si="55"/>
        <v>-4.730057765855402E-2</v>
      </c>
      <c r="H45" s="44">
        <f t="shared" ca="1" si="55"/>
        <v>-4.5359121460180646E-2</v>
      </c>
      <c r="I45" s="44">
        <f t="shared" ca="1" si="55"/>
        <v>-4.8056443561381681E-2</v>
      </c>
      <c r="J45" s="44">
        <f t="shared" ca="1" si="55"/>
        <v>-4.2608988256878116E-2</v>
      </c>
      <c r="K45" s="44">
        <f t="shared" ca="1" si="55"/>
        <v>-3.535324572179712E-2</v>
      </c>
      <c r="L45" s="44">
        <f t="shared" ca="1" si="55"/>
        <v>-5.7578195053010858E-2</v>
      </c>
      <c r="M45" s="44">
        <f t="shared" ca="1" si="55"/>
        <v>-5.3383401043066152E-2</v>
      </c>
      <c r="N45" s="44">
        <f t="shared" ca="1" si="55"/>
        <v>-4.8637298203662756E-2</v>
      </c>
      <c r="O45" s="44">
        <f t="shared" ca="1" si="55"/>
        <v>7.2913852085916941E-2</v>
      </c>
      <c r="P45" s="44">
        <f t="shared" ca="1" si="55"/>
        <v>7.7700350835094231E-2</v>
      </c>
      <c r="Q45" s="44">
        <f t="shared" ca="1" si="55"/>
        <v>6.1620046327852576E-2</v>
      </c>
      <c r="R45" s="44">
        <f t="shared" ca="1" si="55"/>
        <v>5.9913374400950271E-2</v>
      </c>
      <c r="S45" s="44">
        <f t="shared" ca="1" si="55"/>
        <v>6.5338418890671768E-2</v>
      </c>
      <c r="T45" s="44">
        <f t="shared" ca="1" si="55"/>
        <v>7.0718318256528523E-2</v>
      </c>
      <c r="U45" s="44">
        <f t="shared" ca="1" si="55"/>
        <v>7.5042370888034782E-2</v>
      </c>
      <c r="V45" s="44">
        <f t="shared" ca="1" si="55"/>
        <v>7.9309646525944549E-2</v>
      </c>
      <c r="W45" s="44">
        <f t="shared" ca="1" si="55"/>
        <v>8.3512307306751979E-2</v>
      </c>
      <c r="X45" s="44">
        <f t="shared" ca="1" si="55"/>
        <v>6.9371587482975158E-2</v>
      </c>
      <c r="Y45" s="44">
        <f t="shared" ca="1" si="55"/>
        <v>7.3790187707402075E-2</v>
      </c>
      <c r="Z45" s="44">
        <f t="shared" ca="1" si="55"/>
        <v>7.8128383538976623E-2</v>
      </c>
      <c r="AA45" s="44">
        <f t="shared" ca="1" si="55"/>
        <v>0.16795438037232011</v>
      </c>
      <c r="AB45" s="44">
        <f t="shared" ca="1" si="55"/>
        <v>0.17181240802451589</v>
      </c>
      <c r="AC45" s="44">
        <f t="shared" ca="1" si="55"/>
        <v>0.17559660744297739</v>
      </c>
      <c r="AD45" s="44">
        <f t="shared" ca="1" si="55"/>
        <v>0.17930784457894255</v>
      </c>
      <c r="AE45" s="44">
        <f t="shared" ca="1" si="55"/>
        <v>0.16824743186189797</v>
      </c>
      <c r="AF45" s="44">
        <f t="shared" ca="1" si="55"/>
        <v>0.17210414445629416</v>
      </c>
      <c r="AG45" s="44">
        <f t="shared" ca="1" si="55"/>
        <v>0.17588563855398234</v>
      </c>
      <c r="AH45" s="44">
        <f t="shared" ca="1" si="55"/>
        <v>0.1795932600785769</v>
      </c>
      <c r="AI45" s="44">
        <f t="shared" ca="1" si="55"/>
        <v>0.18322836980805646</v>
      </c>
      <c r="AJ45" s="44">
        <f t="shared" ca="1" si="55"/>
        <v>0.18679232988551109</v>
      </c>
      <c r="AK45" s="44">
        <f t="shared" ca="1" si="55"/>
        <v>0.19028649481932922</v>
      </c>
      <c r="AL45" s="44">
        <f t="shared" ca="1" si="55"/>
        <v>0.19371220553178489</v>
      </c>
    </row>
    <row r="46" spans="1:39" ht="18" x14ac:dyDescent="0.35">
      <c r="A46" s="57"/>
      <c r="B46" s="5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</row>
    <row r="47" spans="1:39" ht="24.6" customHeight="1" x14ac:dyDescent="0.35">
      <c r="A47" s="57"/>
      <c r="B47" s="49" t="s">
        <v>100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</row>
    <row r="48" spans="1:39" ht="18.75" x14ac:dyDescent="0.35">
      <c r="A48" s="38">
        <v>0.21</v>
      </c>
      <c r="B48" s="54" t="s">
        <v>101</v>
      </c>
      <c r="C48" s="47">
        <f ca="1">IF(C43&gt;0, C43*$A$48, 0)</f>
        <v>549.14067936000447</v>
      </c>
      <c r="D48" s="47">
        <f t="shared" ref="D48:AL48" ca="1" si="56">IF(D43&gt;0, D43*$A$48, 0)</f>
        <v>0</v>
      </c>
      <c r="E48" s="47">
        <f t="shared" ca="1" si="56"/>
        <v>0</v>
      </c>
      <c r="F48" s="47">
        <f t="shared" ca="1" si="56"/>
        <v>0</v>
      </c>
      <c r="G48" s="47">
        <f t="shared" ca="1" si="56"/>
        <v>0</v>
      </c>
      <c r="H48" s="47">
        <f t="shared" ca="1" si="56"/>
        <v>0</v>
      </c>
      <c r="I48" s="47">
        <f t="shared" ca="1" si="56"/>
        <v>0</v>
      </c>
      <c r="J48" s="47">
        <f t="shared" ca="1" si="56"/>
        <v>0</v>
      </c>
      <c r="K48" s="47">
        <f t="shared" ca="1" si="56"/>
        <v>0</v>
      </c>
      <c r="L48" s="47">
        <f t="shared" ca="1" si="56"/>
        <v>0</v>
      </c>
      <c r="M48" s="47">
        <f t="shared" ca="1" si="56"/>
        <v>0</v>
      </c>
      <c r="N48" s="47">
        <f t="shared" ca="1" si="56"/>
        <v>0</v>
      </c>
      <c r="O48" s="47">
        <f t="shared" ca="1" si="56"/>
        <v>3250.9382332237615</v>
      </c>
      <c r="P48" s="47">
        <f t="shared" ca="1" si="56"/>
        <v>3529.4928383659353</v>
      </c>
      <c r="Q48" s="47">
        <f t="shared" ca="1" si="56"/>
        <v>2852.7354537142764</v>
      </c>
      <c r="R48" s="47">
        <f t="shared" ca="1" si="56"/>
        <v>2827.6331166919222</v>
      </c>
      <c r="S48" s="47">
        <f t="shared" ca="1" si="56"/>
        <v>3144.1483830967854</v>
      </c>
      <c r="T48" s="47">
        <f t="shared" ca="1" si="56"/>
        <v>3470.1896577391685</v>
      </c>
      <c r="U48" s="47">
        <f t="shared" ca="1" si="56"/>
        <v>3755.3484028085268</v>
      </c>
      <c r="V48" s="47">
        <f t="shared" ca="1" si="56"/>
        <v>4047.7762172048947</v>
      </c>
      <c r="W48" s="47">
        <f t="shared" ca="1" si="56"/>
        <v>4347.1487139871233</v>
      </c>
      <c r="X48" s="47">
        <f t="shared" ca="1" si="56"/>
        <v>3683.0759489735765</v>
      </c>
      <c r="Y48" s="47">
        <f t="shared" ca="1" si="56"/>
        <v>3995.8628304477329</v>
      </c>
      <c r="Z48" s="47">
        <f t="shared" ca="1" si="56"/>
        <v>4315.2814208029686</v>
      </c>
      <c r="AA48" s="47">
        <f t="shared" ca="1" si="56"/>
        <v>10729.01870803473</v>
      </c>
      <c r="AB48" s="47">
        <f t="shared" ca="1" si="56"/>
        <v>11194.83729078153</v>
      </c>
      <c r="AC48" s="47">
        <f t="shared" ca="1" si="56"/>
        <v>11670.130852607424</v>
      </c>
      <c r="AD48" s="47">
        <f t="shared" ca="1" si="56"/>
        <v>12155.041310866771</v>
      </c>
      <c r="AE48" s="47">
        <f t="shared" ca="1" si="56"/>
        <v>11633.327695929147</v>
      </c>
      <c r="AF48" s="47">
        <f t="shared" ca="1" si="56"/>
        <v>12137.962211039252</v>
      </c>
      <c r="AG48" s="47">
        <f t="shared" ca="1" si="56"/>
        <v>12652.727498094091</v>
      </c>
      <c r="AH48" s="47">
        <f t="shared" ca="1" si="56"/>
        <v>13177.814748039837</v>
      </c>
      <c r="AI48" s="47">
        <f t="shared" ca="1" si="56"/>
        <v>13713.422402989307</v>
      </c>
      <c r="AJ48" s="47">
        <f t="shared" ca="1" si="56"/>
        <v>14259.755273041175</v>
      </c>
      <c r="AK48" s="47">
        <f t="shared" ca="1" si="56"/>
        <v>14817.02394389648</v>
      </c>
      <c r="AL48" s="47">
        <f t="shared" ca="1" si="56"/>
        <v>15385.444388550513</v>
      </c>
    </row>
    <row r="49" spans="1:38" ht="18.75" x14ac:dyDescent="0.35">
      <c r="A49" s="57"/>
      <c r="B49" s="51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</row>
    <row r="50" spans="1:38" ht="21" customHeight="1" x14ac:dyDescent="0.35">
      <c r="A50" s="57"/>
      <c r="B50" s="49" t="s">
        <v>102</v>
      </c>
      <c r="C50" s="39">
        <f ca="1">C43-C48</f>
        <v>2065.8149366400166</v>
      </c>
      <c r="D50" s="39">
        <f t="shared" ref="D50:AL50" ca="1" si="57">D43-D48</f>
        <v>-2288.329068800027</v>
      </c>
      <c r="E50" s="39">
        <f t="shared" ca="1" si="57"/>
        <v>-5625.9022081599687</v>
      </c>
      <c r="F50" s="39">
        <f t="shared" ca="1" si="57"/>
        <v>-7386.2807149119908</v>
      </c>
      <c r="G50" s="39">
        <f t="shared" ca="1" si="57"/>
        <v>-7959.6831234224082</v>
      </c>
      <c r="H50" s="39">
        <f t="shared" ca="1" si="57"/>
        <v>-7612.5956183193775</v>
      </c>
      <c r="I50" s="39">
        <f t="shared" ca="1" si="57"/>
        <v>-8098.259501665656</v>
      </c>
      <c r="J50" s="39">
        <f t="shared" ca="1" si="57"/>
        <v>-7244.2346407898585</v>
      </c>
      <c r="K50" s="39">
        <f t="shared" ca="1" si="57"/>
        <v>-6084.59056034073</v>
      </c>
      <c r="L50" s="39">
        <f t="shared" ca="1" si="57"/>
        <v>-10055.145469114737</v>
      </c>
      <c r="M50" s="39">
        <f t="shared" ca="1" si="57"/>
        <v>-9474.8130694290739</v>
      </c>
      <c r="N50" s="39">
        <f t="shared" ca="1" si="57"/>
        <v>-8783.2651371051033</v>
      </c>
      <c r="O50" s="39">
        <f t="shared" ca="1" si="57"/>
        <v>12229.720020222721</v>
      </c>
      <c r="P50" s="39">
        <f t="shared" ca="1" si="57"/>
        <v>13277.615915757568</v>
      </c>
      <c r="Q50" s="39">
        <f t="shared" ca="1" si="57"/>
        <v>10731.719087782278</v>
      </c>
      <c r="R50" s="39">
        <f t="shared" ca="1" si="57"/>
        <v>10637.286486602945</v>
      </c>
      <c r="S50" s="39">
        <f t="shared" ca="1" si="57"/>
        <v>11827.986774506957</v>
      </c>
      <c r="T50" s="39">
        <f t="shared" ca="1" si="57"/>
        <v>13054.522998161634</v>
      </c>
      <c r="U50" s="39">
        <f t="shared" ca="1" si="57"/>
        <v>14127.26303913684</v>
      </c>
      <c r="V50" s="39">
        <f t="shared" ca="1" si="57"/>
        <v>15227.348626627938</v>
      </c>
      <c r="W50" s="39">
        <f t="shared" ca="1" si="57"/>
        <v>16353.559447856322</v>
      </c>
      <c r="X50" s="39">
        <f t="shared" ca="1" si="57"/>
        <v>13855.380950900599</v>
      </c>
      <c r="Y50" s="39">
        <f t="shared" ca="1" si="57"/>
        <v>15032.055409779567</v>
      </c>
      <c r="Z50" s="39">
        <f t="shared" ca="1" si="57"/>
        <v>16233.677725877837</v>
      </c>
      <c r="AA50" s="39">
        <f t="shared" ca="1" si="57"/>
        <v>40361.54656832113</v>
      </c>
      <c r="AB50" s="39">
        <f t="shared" ca="1" si="57"/>
        <v>42113.911712940047</v>
      </c>
      <c r="AC50" s="39">
        <f t="shared" ca="1" si="57"/>
        <v>43901.920826475543</v>
      </c>
      <c r="AD50" s="39">
        <f t="shared" ca="1" si="57"/>
        <v>45726.107788498804</v>
      </c>
      <c r="AE50" s="39">
        <f t="shared" ca="1" si="57"/>
        <v>43763.470856114414</v>
      </c>
      <c r="AF50" s="39">
        <f t="shared" ca="1" si="57"/>
        <v>45661.857841528617</v>
      </c>
      <c r="AG50" s="39">
        <f t="shared" ca="1" si="57"/>
        <v>47598.355826163483</v>
      </c>
      <c r="AH50" s="39">
        <f t="shared" ca="1" si="57"/>
        <v>49573.684052149867</v>
      </c>
      <c r="AI50" s="39">
        <f t="shared" ca="1" si="57"/>
        <v>51588.589039816914</v>
      </c>
      <c r="AJ50" s="39">
        <f t="shared" ca="1" si="57"/>
        <v>53643.841265250136</v>
      </c>
      <c r="AK50" s="39">
        <f t="shared" ca="1" si="57"/>
        <v>55740.232931801045</v>
      </c>
      <c r="AL50" s="39">
        <f t="shared" ca="1" si="57"/>
        <v>57878.576509309074</v>
      </c>
    </row>
    <row r="51" spans="1:38" ht="24" customHeight="1" x14ac:dyDescent="0.35">
      <c r="A51" s="57"/>
      <c r="B51" s="51" t="s">
        <v>103</v>
      </c>
      <c r="C51" s="47">
        <f ca="1">C50</f>
        <v>2065.8149366400166</v>
      </c>
      <c r="D51" s="47">
        <f ca="1">C51+D50</f>
        <v>-222.51413216001038</v>
      </c>
      <c r="E51" s="47">
        <f t="shared" ref="E51:AL51" ca="1" si="58">D51+E50</f>
        <v>-5848.4163403199791</v>
      </c>
      <c r="F51" s="47">
        <f t="shared" ca="1" si="58"/>
        <v>-13234.697055231969</v>
      </c>
      <c r="G51" s="47">
        <f t="shared" ca="1" si="58"/>
        <v>-21194.380178654377</v>
      </c>
      <c r="H51" s="47">
        <f t="shared" ca="1" si="58"/>
        <v>-28806.975796973755</v>
      </c>
      <c r="I51" s="47">
        <f t="shared" ca="1" si="58"/>
        <v>-36905.235298639411</v>
      </c>
      <c r="J51" s="47">
        <f t="shared" ca="1" si="58"/>
        <v>-44149.469939429269</v>
      </c>
      <c r="K51" s="47">
        <f t="shared" ca="1" si="58"/>
        <v>-50234.060499769999</v>
      </c>
      <c r="L51" s="47">
        <f t="shared" ca="1" si="58"/>
        <v>-60289.205968884737</v>
      </c>
      <c r="M51" s="47">
        <f t="shared" ca="1" si="58"/>
        <v>-69764.019038313811</v>
      </c>
      <c r="N51" s="47">
        <f t="shared" ca="1" si="58"/>
        <v>-78547.284175418914</v>
      </c>
      <c r="O51" s="47">
        <f t="shared" ca="1" si="58"/>
        <v>-66317.564155196189</v>
      </c>
      <c r="P51" s="47">
        <f t="shared" ca="1" si="58"/>
        <v>-53039.948239438621</v>
      </c>
      <c r="Q51" s="47">
        <f t="shared" ca="1" si="58"/>
        <v>-42308.229151656342</v>
      </c>
      <c r="R51" s="47">
        <f t="shared" ca="1" si="58"/>
        <v>-31670.942665053397</v>
      </c>
      <c r="S51" s="47">
        <f t="shared" ca="1" si="58"/>
        <v>-19842.95589054644</v>
      </c>
      <c r="T51" s="47">
        <f t="shared" ca="1" si="58"/>
        <v>-6788.4328923848061</v>
      </c>
      <c r="U51" s="47">
        <f t="shared" ca="1" si="58"/>
        <v>7338.8301467520341</v>
      </c>
      <c r="V51" s="47">
        <f t="shared" ca="1" si="58"/>
        <v>22566.178773379972</v>
      </c>
      <c r="W51" s="47">
        <f t="shared" ca="1" si="58"/>
        <v>38919.738221236294</v>
      </c>
      <c r="X51" s="47">
        <f t="shared" ca="1" si="58"/>
        <v>52775.119172136896</v>
      </c>
      <c r="Y51" s="47">
        <f t="shared" ca="1" si="58"/>
        <v>67807.174581916464</v>
      </c>
      <c r="Z51" s="47">
        <f t="shared" ca="1" si="58"/>
        <v>84040.852307794295</v>
      </c>
      <c r="AA51" s="47">
        <f t="shared" ca="1" si="58"/>
        <v>124402.39887611542</v>
      </c>
      <c r="AB51" s="47">
        <f t="shared" ca="1" si="58"/>
        <v>166516.31058905547</v>
      </c>
      <c r="AC51" s="47">
        <f t="shared" ca="1" si="58"/>
        <v>210418.23141553102</v>
      </c>
      <c r="AD51" s="47">
        <f t="shared" ca="1" si="58"/>
        <v>256144.33920402982</v>
      </c>
      <c r="AE51" s="47">
        <f t="shared" ca="1" si="58"/>
        <v>299907.81006014423</v>
      </c>
      <c r="AF51" s="47">
        <f t="shared" ca="1" si="58"/>
        <v>345569.66790167283</v>
      </c>
      <c r="AG51" s="47">
        <f t="shared" ca="1" si="58"/>
        <v>393168.02372783632</v>
      </c>
      <c r="AH51" s="47">
        <f t="shared" ca="1" si="58"/>
        <v>442741.7077799862</v>
      </c>
      <c r="AI51" s="47">
        <f t="shared" ca="1" si="58"/>
        <v>494330.29681980313</v>
      </c>
      <c r="AJ51" s="47">
        <f t="shared" ca="1" si="58"/>
        <v>547974.1380850533</v>
      </c>
      <c r="AK51" s="47">
        <f t="shared" ca="1" si="58"/>
        <v>603714.3710168543</v>
      </c>
      <c r="AL51" s="47">
        <f t="shared" ca="1" si="58"/>
        <v>661592.94752616342</v>
      </c>
    </row>
    <row r="52" spans="1:38" ht="20.45" customHeight="1" x14ac:dyDescent="0.35">
      <c r="A52" s="57"/>
      <c r="B52" s="51" t="s">
        <v>104</v>
      </c>
      <c r="C52" s="44">
        <f ca="1">C50/C8</f>
        <v>1.0642905682069579E-2</v>
      </c>
      <c r="D52" s="44">
        <f t="shared" ref="D52:AL52" ca="1" si="59">D50/D8</f>
        <v>-1.2566627139203364E-2</v>
      </c>
      <c r="E52" s="44">
        <f t="shared" ca="1" si="59"/>
        <v>-3.2218813380956626E-2</v>
      </c>
      <c r="F52" s="44">
        <f t="shared" ca="1" si="59"/>
        <v>-4.3366516199720345E-2</v>
      </c>
      <c r="G52" s="44">
        <f t="shared" ca="1" si="59"/>
        <v>-4.730057765855402E-2</v>
      </c>
      <c r="H52" s="44">
        <f t="shared" ca="1" si="59"/>
        <v>-4.5359121460180646E-2</v>
      </c>
      <c r="I52" s="44">
        <f t="shared" ca="1" si="59"/>
        <v>-4.8056443561381681E-2</v>
      </c>
      <c r="J52" s="44">
        <f t="shared" ca="1" si="59"/>
        <v>-4.2608988256878116E-2</v>
      </c>
      <c r="K52" s="44">
        <f t="shared" ca="1" si="59"/>
        <v>-3.535324572179712E-2</v>
      </c>
      <c r="L52" s="44">
        <f t="shared" ca="1" si="59"/>
        <v>-5.7578195053010858E-2</v>
      </c>
      <c r="M52" s="44">
        <f t="shared" ca="1" si="59"/>
        <v>-5.3383401043066152E-2</v>
      </c>
      <c r="N52" s="44">
        <f t="shared" ca="1" si="59"/>
        <v>-4.8637298203662756E-2</v>
      </c>
      <c r="O52" s="44">
        <f t="shared" ca="1" si="59"/>
        <v>5.7601943147874382E-2</v>
      </c>
      <c r="P52" s="44">
        <f t="shared" ca="1" si="59"/>
        <v>6.1383277159724442E-2</v>
      </c>
      <c r="Q52" s="44">
        <f t="shared" ca="1" si="59"/>
        <v>4.8679836599003538E-2</v>
      </c>
      <c r="R52" s="44">
        <f t="shared" ca="1" si="59"/>
        <v>4.7331565776750711E-2</v>
      </c>
      <c r="S52" s="44">
        <f t="shared" ca="1" si="59"/>
        <v>5.1617350923630706E-2</v>
      </c>
      <c r="T52" s="44">
        <f t="shared" ca="1" si="59"/>
        <v>5.5867471422657529E-2</v>
      </c>
      <c r="U52" s="44">
        <f t="shared" ca="1" si="59"/>
        <v>5.9283473001547481E-2</v>
      </c>
      <c r="V52" s="44">
        <f t="shared" ca="1" si="59"/>
        <v>6.2654620755496201E-2</v>
      </c>
      <c r="W52" s="44">
        <f t="shared" ca="1" si="59"/>
        <v>6.5974722772334057E-2</v>
      </c>
      <c r="X52" s="44">
        <f t="shared" ca="1" si="59"/>
        <v>5.4803554111550377E-2</v>
      </c>
      <c r="Y52" s="44">
        <f t="shared" ca="1" si="59"/>
        <v>5.829424828884764E-2</v>
      </c>
      <c r="Z52" s="44">
        <f t="shared" ca="1" si="59"/>
        <v>6.1721422995791538E-2</v>
      </c>
      <c r="AA52" s="44">
        <f t="shared" ca="1" si="59"/>
        <v>0.13268396049413289</v>
      </c>
      <c r="AB52" s="44">
        <f t="shared" ca="1" si="59"/>
        <v>0.13573180233936755</v>
      </c>
      <c r="AC52" s="44">
        <f t="shared" ca="1" si="59"/>
        <v>0.13872131987995212</v>
      </c>
      <c r="AD52" s="44">
        <f t="shared" ca="1" si="59"/>
        <v>0.14165319721736463</v>
      </c>
      <c r="AE52" s="44">
        <f t="shared" ca="1" si="59"/>
        <v>0.13291547117089939</v>
      </c>
      <c r="AF52" s="44">
        <f t="shared" ca="1" si="59"/>
        <v>0.13596227412047238</v>
      </c>
      <c r="AG52" s="44">
        <f t="shared" ca="1" si="59"/>
        <v>0.13894965445764604</v>
      </c>
      <c r="AH52" s="44">
        <f t="shared" ca="1" si="59"/>
        <v>0.14187867546207578</v>
      </c>
      <c r="AI52" s="44">
        <f t="shared" ca="1" si="59"/>
        <v>0.14475041214836459</v>
      </c>
      <c r="AJ52" s="44">
        <f t="shared" ca="1" si="59"/>
        <v>0.14756594060955375</v>
      </c>
      <c r="AK52" s="44">
        <f t="shared" ca="1" si="59"/>
        <v>0.1503263309072701</v>
      </c>
      <c r="AL52" s="44">
        <f t="shared" ca="1" si="59"/>
        <v>0.15303264237011005</v>
      </c>
    </row>
    <row r="55" spans="1:38" ht="18.75" x14ac:dyDescent="0.35">
      <c r="C55" s="47"/>
      <c r="D55" s="47"/>
      <c r="E55" s="47"/>
      <c r="F55" s="47"/>
    </row>
    <row r="56" spans="1:38" ht="18.75" x14ac:dyDescent="0.35">
      <c r="B56" s="85"/>
      <c r="C56" s="86" t="s">
        <v>123</v>
      </c>
      <c r="D56" s="86" t="s">
        <v>124</v>
      </c>
      <c r="E56" s="86" t="s">
        <v>125</v>
      </c>
      <c r="F56" s="86" t="s">
        <v>126</v>
      </c>
    </row>
    <row r="57" spans="1:38" ht="18.75" x14ac:dyDescent="0.35">
      <c r="B57" s="81" t="s">
        <v>127</v>
      </c>
      <c r="C57" s="74">
        <v>-1477422</v>
      </c>
      <c r="D57" s="74">
        <f ca="1">SUM(C50:N50)</f>
        <v>-78547.284175418914</v>
      </c>
      <c r="E57" s="74">
        <f ca="1">SUM(O50:Z50)</f>
        <v>162588.13648321322</v>
      </c>
      <c r="F57" s="74">
        <f ca="1">SUM(AA50:AL50)</f>
        <v>577552.09521836916</v>
      </c>
    </row>
    <row r="58" spans="1:38" ht="18.75" x14ac:dyDescent="0.35">
      <c r="B58" s="81" t="s">
        <v>128</v>
      </c>
      <c r="C58" s="47"/>
      <c r="D58" s="47"/>
      <c r="E58" s="47"/>
      <c r="F58" s="84">
        <f ca="1">C57 + NPV(0.15, D57:F57)</f>
        <v>-1043034.1187789442</v>
      </c>
    </row>
    <row r="59" spans="1:38" ht="18.75" x14ac:dyDescent="0.35">
      <c r="B59" s="81" t="s">
        <v>129</v>
      </c>
      <c r="C59" s="52"/>
      <c r="D59" s="47"/>
      <c r="E59" s="47"/>
      <c r="F59" s="84">
        <f ca="1">IRR(C57:F57)</f>
        <v>-0.23715148820991394</v>
      </c>
    </row>
    <row r="60" spans="1:38" ht="18.75" x14ac:dyDescent="0.35">
      <c r="C60" s="47"/>
      <c r="D60" s="47"/>
      <c r="E60" s="47"/>
      <c r="F60" s="47"/>
    </row>
    <row r="61" spans="1:38" ht="18.75" x14ac:dyDescent="0.35">
      <c r="C61" s="47"/>
      <c r="D61" s="47"/>
      <c r="E61" s="47"/>
      <c r="F61" s="47"/>
    </row>
    <row r="74" spans="2:2" x14ac:dyDescent="0.25">
      <c r="B74" s="96"/>
    </row>
  </sheetData>
  <mergeCells count="3">
    <mergeCell ref="C1:N1"/>
    <mergeCell ref="O1:Z1"/>
    <mergeCell ref="AA1:AL1"/>
  </mergeCells>
  <conditionalFormatting sqref="C10:AL1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0:AL5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</conditionalFormatting>
  <conditionalFormatting sqref="C8:AL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AL7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6BCE-2814-4350-9253-68A29ADBEBBA}">
  <dimension ref="A1:AX62"/>
  <sheetViews>
    <sheetView showGridLines="0" topLeftCell="A46" zoomScale="85" zoomScaleNormal="85" workbookViewId="0">
      <selection activeCell="B57" sqref="B57:G60"/>
    </sheetView>
  </sheetViews>
  <sheetFormatPr defaultRowHeight="15" x14ac:dyDescent="0.25"/>
  <cols>
    <col min="1" max="1" width="15.140625" customWidth="1"/>
    <col min="2" max="2" width="64.5703125" customWidth="1"/>
    <col min="3" max="3" width="17" customWidth="1"/>
    <col min="4" max="4" width="15.28515625" bestFit="1" customWidth="1"/>
    <col min="5" max="5" width="14.7109375" bestFit="1" customWidth="1"/>
    <col min="6" max="6" width="14.42578125" bestFit="1" customWidth="1"/>
    <col min="7" max="7" width="14.7109375" bestFit="1" customWidth="1"/>
    <col min="8" max="8" width="13.85546875" bestFit="1" customWidth="1"/>
    <col min="9" max="10" width="13.28515625" bestFit="1" customWidth="1"/>
    <col min="11" max="11" width="15" bestFit="1" customWidth="1"/>
    <col min="12" max="15" width="13.85546875" bestFit="1" customWidth="1"/>
    <col min="16" max="16" width="14.140625" bestFit="1" customWidth="1"/>
    <col min="17" max="19" width="13.85546875" bestFit="1" customWidth="1"/>
    <col min="20" max="22" width="14.42578125" bestFit="1" customWidth="1"/>
    <col min="23" max="23" width="15" bestFit="1" customWidth="1"/>
    <col min="24" max="24" width="13.85546875" bestFit="1" customWidth="1"/>
    <col min="25" max="25" width="14.42578125" bestFit="1" customWidth="1"/>
    <col min="26" max="26" width="13.85546875" bestFit="1" customWidth="1"/>
    <col min="27" max="27" width="14.42578125" bestFit="1" customWidth="1"/>
    <col min="28" max="28" width="14.140625" bestFit="1" customWidth="1"/>
    <col min="29" max="30" width="14.42578125" bestFit="1" customWidth="1"/>
    <col min="31" max="31" width="13.85546875" bestFit="1" customWidth="1"/>
    <col min="32" max="34" width="14.42578125" bestFit="1" customWidth="1"/>
    <col min="35" max="35" width="15" bestFit="1" customWidth="1"/>
    <col min="36" max="36" width="13.85546875" bestFit="1" customWidth="1"/>
    <col min="37" max="38" width="14.42578125" bestFit="1" customWidth="1"/>
    <col min="39" max="39" width="12.7109375" bestFit="1" customWidth="1"/>
    <col min="40" max="40" width="14.42578125" bestFit="1" customWidth="1"/>
    <col min="41" max="41" width="12.85546875" bestFit="1" customWidth="1"/>
    <col min="42" max="42" width="13.28515625" bestFit="1" customWidth="1"/>
    <col min="43" max="43" width="13.85546875" bestFit="1" customWidth="1"/>
    <col min="44" max="44" width="14.42578125" bestFit="1" customWidth="1"/>
    <col min="45" max="45" width="13.85546875" bestFit="1" customWidth="1"/>
    <col min="46" max="46" width="13.140625" bestFit="1" customWidth="1"/>
    <col min="47" max="47" width="16.7109375" bestFit="1" customWidth="1"/>
    <col min="48" max="48" width="14.42578125" bestFit="1" customWidth="1"/>
    <col min="49" max="49" width="13.28515625" bestFit="1" customWidth="1"/>
    <col min="50" max="50" width="14.42578125" bestFit="1" customWidth="1"/>
  </cols>
  <sheetData>
    <row r="1" spans="1:50" ht="90" customHeight="1" x14ac:dyDescent="0.65">
      <c r="B1" s="98" t="s">
        <v>130</v>
      </c>
      <c r="C1" s="98" t="s">
        <v>131</v>
      </c>
    </row>
    <row r="2" spans="1:50" ht="95.45" customHeight="1" x14ac:dyDescent="0.6">
      <c r="A2" s="34"/>
      <c r="B2" s="82" t="s">
        <v>122</v>
      </c>
      <c r="C2" s="87">
        <v>2026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>
        <v>2027</v>
      </c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9">
        <v>2028</v>
      </c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8">
        <v>2029</v>
      </c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</row>
    <row r="3" spans="1:50" ht="18.75" x14ac:dyDescent="0.35">
      <c r="A3" s="34"/>
      <c r="B3" s="35" t="s">
        <v>77</v>
      </c>
      <c r="C3" s="36" t="s">
        <v>78</v>
      </c>
      <c r="D3" s="36" t="s">
        <v>79</v>
      </c>
      <c r="E3" s="36" t="s">
        <v>80</v>
      </c>
      <c r="F3" s="36" t="s">
        <v>81</v>
      </c>
      <c r="G3" s="36" t="s">
        <v>82</v>
      </c>
      <c r="H3" s="36" t="s">
        <v>83</v>
      </c>
      <c r="I3" s="36" t="s">
        <v>84</v>
      </c>
      <c r="J3" s="36" t="s">
        <v>85</v>
      </c>
      <c r="K3" s="36" t="s">
        <v>86</v>
      </c>
      <c r="L3" s="36" t="s">
        <v>87</v>
      </c>
      <c r="M3" s="36" t="s">
        <v>88</v>
      </c>
      <c r="N3" s="36" t="s">
        <v>89</v>
      </c>
      <c r="O3" s="36" t="s">
        <v>78</v>
      </c>
      <c r="P3" s="36" t="s">
        <v>79</v>
      </c>
      <c r="Q3" s="36" t="s">
        <v>80</v>
      </c>
      <c r="R3" s="36" t="s">
        <v>81</v>
      </c>
      <c r="S3" s="36" t="s">
        <v>82</v>
      </c>
      <c r="T3" s="36" t="s">
        <v>83</v>
      </c>
      <c r="U3" s="36" t="s">
        <v>84</v>
      </c>
      <c r="V3" s="36" t="s">
        <v>85</v>
      </c>
      <c r="W3" s="36" t="s">
        <v>86</v>
      </c>
      <c r="X3" s="36" t="s">
        <v>87</v>
      </c>
      <c r="Y3" s="36" t="s">
        <v>88</v>
      </c>
      <c r="Z3" s="36" t="s">
        <v>89</v>
      </c>
      <c r="AA3" s="36" t="s">
        <v>78</v>
      </c>
      <c r="AB3" s="36" t="s">
        <v>79</v>
      </c>
      <c r="AC3" s="36" t="s">
        <v>80</v>
      </c>
      <c r="AD3" s="36" t="s">
        <v>81</v>
      </c>
      <c r="AE3" s="36" t="s">
        <v>82</v>
      </c>
      <c r="AF3" s="36" t="s">
        <v>83</v>
      </c>
      <c r="AG3" s="36" t="s">
        <v>84</v>
      </c>
      <c r="AH3" s="36" t="s">
        <v>85</v>
      </c>
      <c r="AI3" s="36" t="s">
        <v>86</v>
      </c>
      <c r="AJ3" s="36" t="s">
        <v>87</v>
      </c>
      <c r="AK3" s="36" t="s">
        <v>88</v>
      </c>
      <c r="AL3" s="36" t="s">
        <v>89</v>
      </c>
      <c r="AM3" s="36" t="s">
        <v>78</v>
      </c>
      <c r="AN3" s="36" t="s">
        <v>79</v>
      </c>
      <c r="AO3" s="36" t="s">
        <v>80</v>
      </c>
      <c r="AP3" s="36" t="s">
        <v>81</v>
      </c>
      <c r="AQ3" s="36" t="s">
        <v>82</v>
      </c>
      <c r="AR3" s="36" t="s">
        <v>83</v>
      </c>
      <c r="AS3" s="36" t="s">
        <v>84</v>
      </c>
      <c r="AT3" s="36" t="s">
        <v>85</v>
      </c>
      <c r="AU3" s="36" t="s">
        <v>86</v>
      </c>
      <c r="AV3" s="36" t="s">
        <v>87</v>
      </c>
      <c r="AW3" s="36" t="s">
        <v>88</v>
      </c>
      <c r="AX3" s="36" t="s">
        <v>89</v>
      </c>
    </row>
    <row r="4" spans="1:50" ht="18" x14ac:dyDescent="0.35">
      <c r="A4" s="34"/>
      <c r="B4" s="50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</row>
    <row r="5" spans="1:50" ht="32.1" customHeight="1" x14ac:dyDescent="0.35">
      <c r="A5" s="38">
        <v>1.03</v>
      </c>
      <c r="B5" s="49" t="s">
        <v>114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0" ht="27.6" customHeight="1" x14ac:dyDescent="0.35">
      <c r="A6" s="40">
        <v>3900</v>
      </c>
      <c r="B6" s="51" t="s">
        <v>115</v>
      </c>
      <c r="C6" s="74">
        <f ca="1">C21*C24*C25</f>
        <v>28769.3248896</v>
      </c>
      <c r="D6" s="74">
        <f t="shared" ref="D6:AL6" ca="1" si="0">D21*D24*D25</f>
        <v>25717.604476031996</v>
      </c>
      <c r="E6" s="74">
        <f t="shared" ca="1" si="0"/>
        <v>23801.794934941438</v>
      </c>
      <c r="F6" s="74">
        <f t="shared" ca="1" si="0"/>
        <v>22649.622541130764</v>
      </c>
      <c r="G6" s="74">
        <f t="shared" ca="1" si="0"/>
        <v>22011.715435972008</v>
      </c>
      <c r="H6" s="74">
        <f t="shared" ca="1" si="0"/>
        <v>21721.047042183931</v>
      </c>
      <c r="I6" s="74">
        <f t="shared" ca="1" si="0"/>
        <v>21665.763172347579</v>
      </c>
      <c r="J6" s="74">
        <f t="shared" ca="1" si="0"/>
        <v>21770.976212638907</v>
      </c>
      <c r="K6" s="74">
        <f t="shared" ca="1" si="0"/>
        <v>21986.567247377418</v>
      </c>
      <c r="L6" s="74">
        <f t="shared" ca="1" si="0"/>
        <v>22279.013504350409</v>
      </c>
      <c r="M6" s="74">
        <f t="shared" ca="1" si="0"/>
        <v>22625.912765494464</v>
      </c>
      <c r="N6" s="74">
        <f t="shared" ca="1" si="0"/>
        <v>23012.314744812571</v>
      </c>
      <c r="O6" s="74">
        <f t="shared" ca="1" si="0"/>
        <v>24117.329697582398</v>
      </c>
      <c r="P6" s="74">
        <f t="shared" ca="1" si="0"/>
        <v>24569.12376593861</v>
      </c>
      <c r="Q6" s="74">
        <f t="shared" ca="1" si="0"/>
        <v>25040.036049108443</v>
      </c>
      <c r="R6" s="74">
        <f t="shared" ca="1" si="0"/>
        <v>25527.121741350813</v>
      </c>
      <c r="S6" s="74">
        <f t="shared" ca="1" si="0"/>
        <v>26028.475106922171</v>
      </c>
      <c r="T6" s="74">
        <f t="shared" ca="1" si="0"/>
        <v>26542.88793265932</v>
      </c>
      <c r="U6" s="74">
        <f t="shared" ca="1" si="0"/>
        <v>27069.620718123642</v>
      </c>
      <c r="V6" s="74">
        <f t="shared" ca="1" si="0"/>
        <v>27608.249400449582</v>
      </c>
      <c r="W6" s="74">
        <f t="shared" ca="1" si="0"/>
        <v>28158.562687994086</v>
      </c>
      <c r="X6" s="74">
        <f t="shared" ca="1" si="0"/>
        <v>28720.49330244277</v>
      </c>
      <c r="Y6" s="74">
        <f t="shared" ca="1" si="0"/>
        <v>29294.071940153113</v>
      </c>
      <c r="Z6" s="74">
        <f t="shared" ca="1" si="0"/>
        <v>29879.396455969378</v>
      </c>
      <c r="AA6" s="74">
        <f t="shared" ca="1" si="0"/>
        <v>31347.371568021543</v>
      </c>
      <c r="AB6" s="74">
        <f t="shared" ca="1" si="0"/>
        <v>31974.061853718089</v>
      </c>
      <c r="AC6" s="74">
        <f t="shared" ca="1" si="0"/>
        <v>32613.370803197649</v>
      </c>
      <c r="AD6" s="74">
        <f t="shared" ca="1" si="0"/>
        <v>33265.522786573085</v>
      </c>
      <c r="AE6" s="74">
        <f t="shared" ca="1" si="0"/>
        <v>33930.755902403238</v>
      </c>
      <c r="AF6" s="74">
        <f t="shared" ca="1" si="0"/>
        <v>34609.319202717437</v>
      </c>
      <c r="AG6" s="74">
        <f t="shared" ca="1" si="0"/>
        <v>35301.470868890079</v>
      </c>
      <c r="AH6" s="74">
        <f t="shared" ca="1" si="0"/>
        <v>36007.477025287139</v>
      </c>
      <c r="AI6" s="74">
        <f t="shared" ca="1" si="0"/>
        <v>36727.610980935795</v>
      </c>
      <c r="AJ6" s="74">
        <f t="shared" ca="1" si="0"/>
        <v>37462.152758700249</v>
      </c>
      <c r="AK6" s="74">
        <f t="shared" ca="1" si="0"/>
        <v>38211.388817831918</v>
      </c>
      <c r="AL6" s="74">
        <f t="shared" ca="1" si="0"/>
        <v>38975.611906840182</v>
      </c>
      <c r="AM6" s="74">
        <f t="shared" ref="AM6:AX6" ca="1" si="1">AM21*AM24*AM25</f>
        <v>39755.121004453576</v>
      </c>
      <c r="AN6" s="74">
        <f t="shared" ca="1" si="1"/>
        <v>40550.221320391975</v>
      </c>
      <c r="AO6" s="74">
        <f t="shared" ca="1" si="1"/>
        <v>41361.224337018852</v>
      </c>
      <c r="AP6" s="74">
        <f t="shared" ca="1" si="1"/>
        <v>42188.447879205982</v>
      </c>
      <c r="AQ6" s="74">
        <f t="shared" ca="1" si="1"/>
        <v>43032.216203939432</v>
      </c>
      <c r="AR6" s="74">
        <f t="shared" ca="1" si="1"/>
        <v>43892.860104008265</v>
      </c>
      <c r="AS6" s="74">
        <f t="shared" ca="1" si="1"/>
        <v>44770.717022001765</v>
      </c>
      <c r="AT6" s="74">
        <f t="shared" ca="1" si="1"/>
        <v>45666.131172103735</v>
      </c>
      <c r="AU6" s="74">
        <f t="shared" ca="1" si="1"/>
        <v>46579.45366801929</v>
      </c>
      <c r="AV6" s="74">
        <f t="shared" ca="1" si="1"/>
        <v>47511.042655936915</v>
      </c>
      <c r="AW6" s="74">
        <f t="shared" ca="1" si="1"/>
        <v>48461.263451809013</v>
      </c>
      <c r="AX6" s="74">
        <f t="shared" ca="1" si="1"/>
        <v>49430.488682489929</v>
      </c>
    </row>
    <row r="7" spans="1:50" ht="25.5" customHeight="1" x14ac:dyDescent="0.35">
      <c r="A7" s="56"/>
      <c r="B7" s="51" t="s">
        <v>116</v>
      </c>
      <c r="C7" s="75">
        <f>C13*C26</f>
        <v>51244.95</v>
      </c>
      <c r="D7" s="75">
        <f t="shared" ref="D7:AL7" si="2">D13*D26</f>
        <v>45809.116500000004</v>
      </c>
      <c r="E7" s="75">
        <f t="shared" si="2"/>
        <v>42396.608054999997</v>
      </c>
      <c r="F7" s="75">
        <f t="shared" si="2"/>
        <v>40344.317396850005</v>
      </c>
      <c r="G7" s="75">
        <f t="shared" si="2"/>
        <v>39208.054455889498</v>
      </c>
      <c r="H7" s="75">
        <f t="shared" si="2"/>
        <v>38690.30552144596</v>
      </c>
      <c r="I7" s="75">
        <f t="shared" si="2"/>
        <v>38591.831916088791</v>
      </c>
      <c r="J7" s="75">
        <f t="shared" si="2"/>
        <v>38779.241144833897</v>
      </c>
      <c r="K7" s="75">
        <f t="shared" si="2"/>
        <v>39163.259603314204</v>
      </c>
      <c r="L7" s="75">
        <f t="shared" si="2"/>
        <v>39684.175331221522</v>
      </c>
      <c r="M7" s="75">
        <f t="shared" si="2"/>
        <v>40302.084696859441</v>
      </c>
      <c r="N7" s="75">
        <f t="shared" si="2"/>
        <v>40990.357716335668</v>
      </c>
      <c r="O7" s="75">
        <f t="shared" si="2"/>
        <v>50077.511830528238</v>
      </c>
      <c r="P7" s="75">
        <f t="shared" si="2"/>
        <v>51015.622437580176</v>
      </c>
      <c r="Q7" s="75">
        <f t="shared" si="2"/>
        <v>51993.430334527497</v>
      </c>
      <c r="R7" s="75">
        <f t="shared" si="2"/>
        <v>53004.820891509167</v>
      </c>
      <c r="S7" s="75">
        <f t="shared" si="2"/>
        <v>54045.837016034413</v>
      </c>
      <c r="T7" s="75">
        <f t="shared" si="2"/>
        <v>55113.96995984079</v>
      </c>
      <c r="U7" s="75">
        <f t="shared" si="2"/>
        <v>56207.68421537301</v>
      </c>
      <c r="V7" s="75">
        <f t="shared" si="2"/>
        <v>57326.099253425207</v>
      </c>
      <c r="W7" s="75">
        <f t="shared" si="2"/>
        <v>58468.776345502672</v>
      </c>
      <c r="X7" s="75">
        <f t="shared" si="2"/>
        <v>59635.575794108736</v>
      </c>
      <c r="Y7" s="75">
        <f t="shared" si="2"/>
        <v>60826.561337527237</v>
      </c>
      <c r="Z7" s="75">
        <f t="shared" si="2"/>
        <v>62041.936162727121</v>
      </c>
      <c r="AA7" s="75">
        <f t="shared" si="2"/>
        <v>73829.000113099828</v>
      </c>
      <c r="AB7" s="75">
        <f t="shared" si="2"/>
        <v>75304.974488596388</v>
      </c>
      <c r="AC7" s="75">
        <f t="shared" si="2"/>
        <v>76810.668208435469</v>
      </c>
      <c r="AD7" s="75">
        <f t="shared" si="2"/>
        <v>78346.609706749165</v>
      </c>
      <c r="AE7" s="75">
        <f t="shared" si="2"/>
        <v>79913.359750761287</v>
      </c>
      <c r="AF7" s="75">
        <f t="shared" si="2"/>
        <v>81511.504905194204</v>
      </c>
      <c r="AG7" s="75">
        <f t="shared" si="2"/>
        <v>83141.65323610793</v>
      </c>
      <c r="AH7" s="75">
        <f t="shared" si="2"/>
        <v>84804.431516812692</v>
      </c>
      <c r="AI7" s="75">
        <f t="shared" si="2"/>
        <v>86500.483441857286</v>
      </c>
      <c r="AJ7" s="75">
        <f t="shared" si="2"/>
        <v>88230.468518149006</v>
      </c>
      <c r="AK7" s="75">
        <f t="shared" si="2"/>
        <v>89995.061411506584</v>
      </c>
      <c r="AL7" s="75">
        <f t="shared" si="2"/>
        <v>91794.951600143089</v>
      </c>
      <c r="AM7" s="75">
        <f t="shared" ref="AM7:AX7" si="3">AM13*AM26</f>
        <v>93630.843235618231</v>
      </c>
      <c r="AN7" s="75">
        <f t="shared" si="3"/>
        <v>95503.455144657011</v>
      </c>
      <c r="AO7" s="75">
        <f t="shared" si="3"/>
        <v>97413.520927248857</v>
      </c>
      <c r="AP7" s="75">
        <f t="shared" si="3"/>
        <v>99361.789121191963</v>
      </c>
      <c r="AQ7" s="75">
        <f t="shared" si="3"/>
        <v>101349.02341313256</v>
      </c>
      <c r="AR7" s="75">
        <f t="shared" si="3"/>
        <v>103376.00288277141</v>
      </c>
      <c r="AS7" s="75">
        <f t="shared" si="3"/>
        <v>105443.52227134889</v>
      </c>
      <c r="AT7" s="75">
        <f t="shared" si="3"/>
        <v>107552.39226849366</v>
      </c>
      <c r="AU7" s="75">
        <f t="shared" si="3"/>
        <v>109703.43981351441</v>
      </c>
      <c r="AV7" s="75">
        <f t="shared" si="3"/>
        <v>111897.50840855083</v>
      </c>
      <c r="AW7" s="75">
        <f t="shared" si="3"/>
        <v>114135.45844189514</v>
      </c>
      <c r="AX7" s="75">
        <f t="shared" si="3"/>
        <v>116418.16752039915</v>
      </c>
    </row>
    <row r="8" spans="1:50" ht="36.950000000000003" customHeight="1" x14ac:dyDescent="0.35">
      <c r="A8" s="56"/>
      <c r="B8" s="51" t="s">
        <v>117</v>
      </c>
      <c r="C8" s="75">
        <f ca="1">C21*C27</f>
        <v>105769.57680000001</v>
      </c>
      <c r="D8" s="75">
        <f t="shared" ref="D8:AL8" ca="1" si="4">D21*D27</f>
        <v>94550.016455999998</v>
      </c>
      <c r="E8" s="75">
        <f t="shared" ca="1" si="4"/>
        <v>87506.599025520001</v>
      </c>
      <c r="F8" s="75">
        <f t="shared" ca="1" si="4"/>
        <v>83270.671107098402</v>
      </c>
      <c r="G8" s="75">
        <f t="shared" ca="1" si="4"/>
        <v>80925.424396955917</v>
      </c>
      <c r="H8" s="75">
        <f t="shared" ca="1" si="4"/>
        <v>79856.790596264458</v>
      </c>
      <c r="I8" s="75">
        <f t="shared" ca="1" si="4"/>
        <v>79653.541074807275</v>
      </c>
      <c r="J8" s="75">
        <f t="shared" ca="1" si="4"/>
        <v>80040.353722937158</v>
      </c>
      <c r="K8" s="75">
        <f t="shared" ca="1" si="4"/>
        <v>80832.967821240512</v>
      </c>
      <c r="L8" s="75">
        <f t="shared" ca="1" si="4"/>
        <v>81908.137883641219</v>
      </c>
      <c r="M8" s="75">
        <f t="shared" ca="1" si="4"/>
        <v>83183.502814317893</v>
      </c>
      <c r="N8" s="75">
        <f t="shared" ca="1" si="4"/>
        <v>84604.098326516818</v>
      </c>
      <c r="O8" s="75">
        <f t="shared" ca="1" si="4"/>
        <v>100488.87373992665</v>
      </c>
      <c r="P8" s="75">
        <f t="shared" ca="1" si="4"/>
        <v>102371.34902474421</v>
      </c>
      <c r="Q8" s="75">
        <f t="shared" ca="1" si="4"/>
        <v>104333.48353795185</v>
      </c>
      <c r="R8" s="75">
        <f t="shared" ca="1" si="4"/>
        <v>106363.00725562838</v>
      </c>
      <c r="S8" s="75">
        <f t="shared" ca="1" si="4"/>
        <v>108451.97961217571</v>
      </c>
      <c r="T8" s="75">
        <f t="shared" ca="1" si="4"/>
        <v>110595.36638608051</v>
      </c>
      <c r="U8" s="75">
        <f t="shared" ca="1" si="4"/>
        <v>112790.08632551518</v>
      </c>
      <c r="V8" s="75">
        <f t="shared" ca="1" si="4"/>
        <v>115034.37250187327</v>
      </c>
      <c r="W8" s="75">
        <f t="shared" ca="1" si="4"/>
        <v>117327.3445333087</v>
      </c>
      <c r="X8" s="75">
        <f t="shared" ca="1" si="4"/>
        <v>119668.72209351155</v>
      </c>
      <c r="Y8" s="75">
        <f t="shared" ca="1" si="4"/>
        <v>122058.6330839713</v>
      </c>
      <c r="Z8" s="75">
        <f t="shared" ca="1" si="4"/>
        <v>124497.48523320575</v>
      </c>
      <c r="AA8" s="75">
        <f t="shared" ca="1" si="4"/>
        <v>145126.72022232195</v>
      </c>
      <c r="AB8" s="75">
        <f t="shared" ca="1" si="4"/>
        <v>148028.06413758374</v>
      </c>
      <c r="AC8" s="75">
        <f t="shared" ca="1" si="4"/>
        <v>150987.82779258172</v>
      </c>
      <c r="AD8" s="75">
        <f t="shared" ca="1" si="4"/>
        <v>154007.04993783837</v>
      </c>
      <c r="AE8" s="75">
        <f t="shared" ca="1" si="4"/>
        <v>157086.83288149649</v>
      </c>
      <c r="AF8" s="75">
        <f t="shared" ca="1" si="4"/>
        <v>160228.32964221033</v>
      </c>
      <c r="AG8" s="75">
        <f t="shared" ca="1" si="4"/>
        <v>163432.73550412073</v>
      </c>
      <c r="AH8" s="75">
        <f t="shared" ca="1" si="4"/>
        <v>166701.28252447752</v>
      </c>
      <c r="AI8" s="75">
        <f t="shared" ca="1" si="4"/>
        <v>170035.23602285091</v>
      </c>
      <c r="AJ8" s="75">
        <f t="shared" ca="1" si="4"/>
        <v>173435.89240139004</v>
      </c>
      <c r="AK8" s="75">
        <f t="shared" ca="1" si="4"/>
        <v>176904.57786033294</v>
      </c>
      <c r="AL8" s="75">
        <f t="shared" ca="1" si="4"/>
        <v>180442.64771685269</v>
      </c>
      <c r="AM8" s="75">
        <f t="shared" ref="AM8:AX8" ca="1" si="5">AM21*AM27</f>
        <v>184051.48613172953</v>
      </c>
      <c r="AN8" s="75">
        <f t="shared" ca="1" si="5"/>
        <v>187732.5061129258</v>
      </c>
      <c r="AO8" s="75">
        <f t="shared" ca="1" si="5"/>
        <v>191487.14970842062</v>
      </c>
      <c r="AP8" s="75">
        <f t="shared" ca="1" si="5"/>
        <v>195316.88832965735</v>
      </c>
      <c r="AQ8" s="75">
        <f t="shared" ca="1" si="5"/>
        <v>199223.22316638628</v>
      </c>
      <c r="AR8" s="75">
        <f t="shared" ca="1" si="5"/>
        <v>203207.68566670493</v>
      </c>
      <c r="AS8" s="75">
        <f t="shared" ca="1" si="5"/>
        <v>207271.83806482298</v>
      </c>
      <c r="AT8" s="75">
        <f t="shared" ca="1" si="5"/>
        <v>211417.27394492467</v>
      </c>
      <c r="AU8" s="75">
        <f t="shared" ca="1" si="5"/>
        <v>215645.61883342263</v>
      </c>
      <c r="AV8" s="75">
        <f t="shared" ca="1" si="5"/>
        <v>219958.53081452276</v>
      </c>
      <c r="AW8" s="75">
        <f t="shared" ca="1" si="5"/>
        <v>224357.70116578246</v>
      </c>
      <c r="AX8" s="75">
        <f t="shared" ca="1" si="5"/>
        <v>228844.85501152746</v>
      </c>
    </row>
    <row r="9" spans="1:50" ht="26.45" customHeight="1" x14ac:dyDescent="0.35">
      <c r="A9" s="56"/>
      <c r="B9" s="81" t="s">
        <v>118</v>
      </c>
      <c r="C9" s="75">
        <f ca="1">SUM(C6:C8)</f>
        <v>185783.85168960001</v>
      </c>
      <c r="D9" s="75">
        <f t="shared" ref="D9:AL9" ca="1" si="6">SUM(D6:D8)</f>
        <v>166076.73743203201</v>
      </c>
      <c r="E9" s="75">
        <f t="shared" ca="1" si="6"/>
        <v>153705.00201546145</v>
      </c>
      <c r="F9" s="75">
        <f t="shared" ca="1" si="6"/>
        <v>146264.61104507919</v>
      </c>
      <c r="G9" s="75">
        <f t="shared" ca="1" si="6"/>
        <v>142145.19428881741</v>
      </c>
      <c r="H9" s="75">
        <f t="shared" ca="1" si="6"/>
        <v>140268.14315989433</v>
      </c>
      <c r="I9" s="75">
        <f t="shared" ca="1" si="6"/>
        <v>139911.13616324365</v>
      </c>
      <c r="J9" s="75">
        <f t="shared" ca="1" si="6"/>
        <v>140590.57108040998</v>
      </c>
      <c r="K9" s="75">
        <f t="shared" ca="1" si="6"/>
        <v>141982.79467193212</v>
      </c>
      <c r="L9" s="75">
        <f t="shared" ca="1" si="6"/>
        <v>143871.32671921316</v>
      </c>
      <c r="M9" s="75">
        <f t="shared" ca="1" si="6"/>
        <v>146111.50027667178</v>
      </c>
      <c r="N9" s="75">
        <f t="shared" ca="1" si="6"/>
        <v>148606.77078766504</v>
      </c>
      <c r="O9" s="75">
        <f t="shared" ca="1" si="6"/>
        <v>174683.71526803728</v>
      </c>
      <c r="P9" s="75">
        <f t="shared" ca="1" si="6"/>
        <v>177956.095228263</v>
      </c>
      <c r="Q9" s="75">
        <f t="shared" ca="1" si="6"/>
        <v>181366.94992158777</v>
      </c>
      <c r="R9" s="75">
        <f t="shared" ca="1" si="6"/>
        <v>184894.94988848837</v>
      </c>
      <c r="S9" s="75">
        <f t="shared" ca="1" si="6"/>
        <v>188526.29173513228</v>
      </c>
      <c r="T9" s="75">
        <f t="shared" ca="1" si="6"/>
        <v>192252.22427858063</v>
      </c>
      <c r="U9" s="75">
        <f t="shared" ca="1" si="6"/>
        <v>196067.39125901181</v>
      </c>
      <c r="V9" s="75">
        <f t="shared" ca="1" si="6"/>
        <v>199968.72115574806</v>
      </c>
      <c r="W9" s="75">
        <f t="shared" ca="1" si="6"/>
        <v>203954.68356680544</v>
      </c>
      <c r="X9" s="75">
        <f t="shared" ca="1" si="6"/>
        <v>208024.79119006306</v>
      </c>
      <c r="Y9" s="75">
        <f t="shared" ca="1" si="6"/>
        <v>212179.26636165165</v>
      </c>
      <c r="Z9" s="75">
        <f t="shared" ca="1" si="6"/>
        <v>216418.81785190225</v>
      </c>
      <c r="AA9" s="75">
        <f t="shared" ca="1" si="6"/>
        <v>250303.09190344333</v>
      </c>
      <c r="AB9" s="75">
        <f t="shared" ca="1" si="6"/>
        <v>255307.10047989822</v>
      </c>
      <c r="AC9" s="75">
        <f t="shared" ca="1" si="6"/>
        <v>260411.86680421483</v>
      </c>
      <c r="AD9" s="75">
        <f t="shared" ca="1" si="6"/>
        <v>265619.18243116059</v>
      </c>
      <c r="AE9" s="75">
        <f t="shared" ca="1" si="6"/>
        <v>270930.94853466103</v>
      </c>
      <c r="AF9" s="75">
        <f t="shared" ca="1" si="6"/>
        <v>276349.15375012194</v>
      </c>
      <c r="AG9" s="75">
        <f t="shared" ca="1" si="6"/>
        <v>281875.85960911878</v>
      </c>
      <c r="AH9" s="75">
        <f t="shared" ca="1" si="6"/>
        <v>287513.19106657733</v>
      </c>
      <c r="AI9" s="75">
        <f t="shared" ca="1" si="6"/>
        <v>293263.33044564398</v>
      </c>
      <c r="AJ9" s="75">
        <f t="shared" ca="1" si="6"/>
        <v>299128.51367823931</v>
      </c>
      <c r="AK9" s="75">
        <f t="shared" ca="1" si="6"/>
        <v>305111.02808967145</v>
      </c>
      <c r="AL9" s="75">
        <f t="shared" ca="1" si="6"/>
        <v>311213.21122383594</v>
      </c>
      <c r="AM9" s="75">
        <f t="shared" ref="AM9:AX9" ca="1" si="7">SUM(AM6:AM8)</f>
        <v>317437.45037180133</v>
      </c>
      <c r="AN9" s="75">
        <f t="shared" ca="1" si="7"/>
        <v>323786.18257797475</v>
      </c>
      <c r="AO9" s="75">
        <f t="shared" ca="1" si="7"/>
        <v>330261.89497268834</v>
      </c>
      <c r="AP9" s="75">
        <f t="shared" ca="1" si="7"/>
        <v>336867.12533005525</v>
      </c>
      <c r="AQ9" s="75">
        <f t="shared" ca="1" si="7"/>
        <v>343604.46278345829</v>
      </c>
      <c r="AR9" s="75">
        <f t="shared" ca="1" si="7"/>
        <v>350476.54865348461</v>
      </c>
      <c r="AS9" s="75">
        <f t="shared" ca="1" si="7"/>
        <v>357486.07735817367</v>
      </c>
      <c r="AT9" s="75">
        <f t="shared" ca="1" si="7"/>
        <v>364635.79738552205</v>
      </c>
      <c r="AU9" s="75">
        <f t="shared" ca="1" si="7"/>
        <v>371928.51231495634</v>
      </c>
      <c r="AV9" s="75">
        <f t="shared" ca="1" si="7"/>
        <v>379367.08187901054</v>
      </c>
      <c r="AW9" s="75">
        <f t="shared" ca="1" si="7"/>
        <v>386954.42305948661</v>
      </c>
      <c r="AX9" s="75">
        <f t="shared" ca="1" si="7"/>
        <v>394693.51121441653</v>
      </c>
    </row>
    <row r="10" spans="1:50" ht="18.75" x14ac:dyDescent="0.35">
      <c r="A10" s="57"/>
      <c r="B10" s="51" t="s">
        <v>90</v>
      </c>
      <c r="C10" s="44">
        <v>1</v>
      </c>
      <c r="D10" s="44">
        <f ca="1">(D9/C9*100%)-100%</f>
        <v>-0.10607549621962753</v>
      </c>
      <c r="E10" s="44">
        <f ca="1">(E9/D9*100%)-100%</f>
        <v>-7.4494089948231146E-2</v>
      </c>
      <c r="F10" s="44">
        <f t="shared" ref="F10:AL10" ca="1" si="8">(F9/E9*100%)-100%</f>
        <v>-4.8406954053673679E-2</v>
      </c>
      <c r="G10" s="44">
        <f t="shared" ca="1" si="8"/>
        <v>-2.8164138453095511E-2</v>
      </c>
      <c r="H10" s="44">
        <f t="shared" ca="1" si="8"/>
        <v>-1.320516770415181E-2</v>
      </c>
      <c r="I10" s="44">
        <f t="shared" ca="1" si="8"/>
        <v>-2.545175180965531E-3</v>
      </c>
      <c r="J10" s="44">
        <f t="shared" ca="1" si="8"/>
        <v>4.8561889767915201E-3</v>
      </c>
      <c r="K10" s="44">
        <f t="shared" ca="1" si="8"/>
        <v>9.9026811031719397E-3</v>
      </c>
      <c r="L10" s="44">
        <f t="shared" ca="1" si="8"/>
        <v>1.3301133081967453E-2</v>
      </c>
      <c r="M10" s="44">
        <f t="shared" ca="1" si="8"/>
        <v>1.5570674216625946E-2</v>
      </c>
      <c r="N10" s="44">
        <f t="shared" ca="1" si="8"/>
        <v>1.7077851546718037E-2</v>
      </c>
      <c r="O10" s="44">
        <f t="shared" ca="1" si="8"/>
        <v>0.17547615322071675</v>
      </c>
      <c r="P10" s="44">
        <f t="shared" ca="1" si="8"/>
        <v>1.8733171293068285E-2</v>
      </c>
      <c r="Q10" s="44">
        <f t="shared" ca="1" si="8"/>
        <v>1.916683263335095E-2</v>
      </c>
      <c r="R10" s="44">
        <f t="shared" ca="1" si="8"/>
        <v>1.9452275998608881E-2</v>
      </c>
      <c r="S10" s="44">
        <f t="shared" ca="1" si="8"/>
        <v>1.9640027209147704E-2</v>
      </c>
      <c r="T10" s="44">
        <f t="shared" ca="1" si="8"/>
        <v>1.9763463807388026E-2</v>
      </c>
      <c r="U10" s="44">
        <f t="shared" ca="1" si="8"/>
        <v>1.9844592148400064E-2</v>
      </c>
      <c r="V10" s="44">
        <f t="shared" ca="1" si="8"/>
        <v>1.9897902816396806E-2</v>
      </c>
      <c r="W10" s="44">
        <f t="shared" ca="1" si="8"/>
        <v>1.9932929450265702E-2</v>
      </c>
      <c r="X10" s="44">
        <f t="shared" ca="1" si="8"/>
        <v>1.9955940957465002E-2</v>
      </c>
      <c r="Y10" s="44">
        <f t="shared" ca="1" si="8"/>
        <v>1.9971058006220233E-2</v>
      </c>
      <c r="Z10" s="44">
        <f t="shared" ca="1" si="8"/>
        <v>1.9980988543076839E-2</v>
      </c>
      <c r="AA10" s="44">
        <f t="shared" ca="1" si="8"/>
        <v>0.15656805811927343</v>
      </c>
      <c r="AB10" s="44">
        <f t="shared" ca="1" si="8"/>
        <v>1.9991796898718439E-2</v>
      </c>
      <c r="AC10" s="44">
        <f t="shared" ca="1" si="8"/>
        <v>1.9994611645039351E-2</v>
      </c>
      <c r="AD10" s="44">
        <f t="shared" ca="1" si="8"/>
        <v>1.9996460571671149E-2</v>
      </c>
      <c r="AE10" s="44">
        <f t="shared" ca="1" si="8"/>
        <v>1.9997675073324395E-2</v>
      </c>
      <c r="AF10" s="44">
        <f t="shared" ca="1" si="8"/>
        <v>1.999847283880074E-2</v>
      </c>
      <c r="AG10" s="44">
        <f t="shared" ca="1" si="8"/>
        <v>1.9998996863200613E-2</v>
      </c>
      <c r="AH10" s="44">
        <f t="shared" ca="1" si="8"/>
        <v>1.9999341076160082E-2</v>
      </c>
      <c r="AI10" s="44">
        <f t="shared" ca="1" si="8"/>
        <v>1.9999567177198196E-2</v>
      </c>
      <c r="AJ10" s="44">
        <f t="shared" ca="1" si="8"/>
        <v>1.9999715694705378E-2</v>
      </c>
      <c r="AK10" s="44">
        <f t="shared" ca="1" si="8"/>
        <v>1.9999813250392018E-2</v>
      </c>
      <c r="AL10" s="44">
        <f t="shared" ca="1" si="8"/>
        <v>1.9999877331117188E-2</v>
      </c>
      <c r="AM10" s="44">
        <f t="shared" ref="AM10" ca="1" si="9">(AM9/AL9*100%)-100%</f>
        <v>1.9999919423371315E-2</v>
      </c>
      <c r="AN10" s="44">
        <f t="shared" ref="AN10" ca="1" si="10">(AN9/AM9*100%)-100%</f>
        <v>1.9999947072210311E-2</v>
      </c>
      <c r="AO10" s="44">
        <f t="shared" ref="AO10" ca="1" si="11">(AO9/AN9*100%)-100%</f>
        <v>1.9999965233705064E-2</v>
      </c>
      <c r="AP10" s="44">
        <f t="shared" ref="AP10" ca="1" si="12">(AP9/AO9*100%)-100%</f>
        <v>1.999997716331503E-2</v>
      </c>
      <c r="AQ10" s="44">
        <f t="shared" ref="AQ10" ca="1" si="13">(AQ9/AP9*100%)-100%</f>
        <v>1.9999984999432563E-2</v>
      </c>
      <c r="AR10" s="44">
        <f t="shared" ref="AR10" ca="1" si="14">(AR9/AQ9*100%)-100%</f>
        <v>1.9999990146685409E-2</v>
      </c>
      <c r="AS10" s="44">
        <f t="shared" ref="AS10" ca="1" si="15">(AS9/AR9*100%)-100%</f>
        <v>1.9999993527724858E-2</v>
      </c>
      <c r="AT10" s="44">
        <f t="shared" ref="AT10" ca="1" si="16">(AT9/AS9*100%)-100%</f>
        <v>1.999999574860345E-2</v>
      </c>
      <c r="AU10" s="44">
        <f t="shared" ref="AU10" ca="1" si="17">(AU9/AT9*100%)-100%</f>
        <v>1.9999997207415854E-2</v>
      </c>
      <c r="AV10" s="44">
        <f t="shared" ref="AV10" ca="1" si="18">(AV9/AU9*100%)-100%</f>
        <v>1.9999998165655786E-2</v>
      </c>
      <c r="AW10" s="44">
        <f t="shared" ref="AW10" ca="1" si="19">(AW9/AV9*100%)-100%</f>
        <v>1.9999998795087404E-2</v>
      </c>
      <c r="AX10" s="44">
        <f t="shared" ref="AX10" ca="1" si="20">(AX9/AW9*100%)-100%</f>
        <v>1.9999999208537789E-2</v>
      </c>
    </row>
    <row r="11" spans="1:50" ht="23.1" customHeight="1" x14ac:dyDescent="0.35">
      <c r="A11" s="57"/>
      <c r="B11" s="52"/>
      <c r="C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</row>
    <row r="12" spans="1:50" ht="22.5" customHeight="1" x14ac:dyDescent="0.35">
      <c r="A12" s="58"/>
      <c r="B12" s="49" t="s">
        <v>93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0" ht="29.45" customHeight="1" x14ac:dyDescent="0.35">
      <c r="A13" s="38">
        <v>0.02</v>
      </c>
      <c r="B13" s="51" t="s">
        <v>106</v>
      </c>
      <c r="C13" s="72">
        <f>30594-30594*C15</f>
        <v>20497.98</v>
      </c>
      <c r="D13" s="69">
        <f>C13+D14-(C13*D15)</f>
        <v>18323.6466</v>
      </c>
      <c r="E13" s="69">
        <f t="shared" ref="E13:AL13" si="21">D13+E14-(D13*E15)</f>
        <v>16958.643221999999</v>
      </c>
      <c r="F13" s="69">
        <f t="shared" si="21"/>
        <v>16137.726958740001</v>
      </c>
      <c r="G13" s="69">
        <f t="shared" si="21"/>
        <v>15683.221782355798</v>
      </c>
      <c r="H13" s="69">
        <f t="shared" si="21"/>
        <v>15476.122208578385</v>
      </c>
      <c r="I13" s="69">
        <f t="shared" si="21"/>
        <v>15436.732766435518</v>
      </c>
      <c r="J13" s="69">
        <f t="shared" si="21"/>
        <v>15511.696457933558</v>
      </c>
      <c r="K13" s="69">
        <f t="shared" si="21"/>
        <v>15665.303841325682</v>
      </c>
      <c r="L13" s="69">
        <f t="shared" si="21"/>
        <v>15873.670132488609</v>
      </c>
      <c r="M13" s="69">
        <f t="shared" si="21"/>
        <v>16120.833878743777</v>
      </c>
      <c r="N13" s="69">
        <f t="shared" si="21"/>
        <v>16396.143086534266</v>
      </c>
      <c r="O13" s="69">
        <f t="shared" si="21"/>
        <v>16692.503943509411</v>
      </c>
      <c r="P13" s="69">
        <f t="shared" si="21"/>
        <v>17005.207479193392</v>
      </c>
      <c r="Q13" s="69">
        <f t="shared" si="21"/>
        <v>17331.143444842499</v>
      </c>
      <c r="R13" s="69">
        <f t="shared" si="21"/>
        <v>17668.273630503056</v>
      </c>
      <c r="S13" s="69">
        <f t="shared" si="21"/>
        <v>18015.279005344804</v>
      </c>
      <c r="T13" s="69">
        <f t="shared" si="21"/>
        <v>18371.323319946929</v>
      </c>
      <c r="U13" s="69">
        <f t="shared" si="21"/>
        <v>18735.894738457671</v>
      </c>
      <c r="V13" s="69">
        <f t="shared" si="21"/>
        <v>19108.699751141736</v>
      </c>
      <c r="W13" s="69">
        <f t="shared" si="21"/>
        <v>19489.592115167557</v>
      </c>
      <c r="X13" s="69">
        <f t="shared" si="21"/>
        <v>19878.525264702912</v>
      </c>
      <c r="Y13" s="69">
        <f t="shared" si="21"/>
        <v>20275.520445842412</v>
      </c>
      <c r="Z13" s="69">
        <f t="shared" si="21"/>
        <v>20680.645387575707</v>
      </c>
      <c r="AA13" s="69">
        <f t="shared" si="21"/>
        <v>21094.000032314238</v>
      </c>
      <c r="AB13" s="69">
        <f t="shared" si="21"/>
        <v>21515.706996741825</v>
      </c>
      <c r="AC13" s="69">
        <f t="shared" si="21"/>
        <v>21945.905202410133</v>
      </c>
      <c r="AD13" s="69">
        <f t="shared" si="21"/>
        <v>22384.745630499761</v>
      </c>
      <c r="AE13" s="69">
        <f t="shared" si="21"/>
        <v>22832.388500217512</v>
      </c>
      <c r="AF13" s="69">
        <f t="shared" si="21"/>
        <v>23289.00140148406</v>
      </c>
      <c r="AG13" s="69">
        <f t="shared" si="21"/>
        <v>23754.75806745941</v>
      </c>
      <c r="AH13" s="69">
        <f t="shared" si="21"/>
        <v>24229.837576232199</v>
      </c>
      <c r="AI13" s="69">
        <f t="shared" si="21"/>
        <v>24714.423840530653</v>
      </c>
      <c r="AJ13" s="69">
        <f t="shared" si="21"/>
        <v>25208.705290899718</v>
      </c>
      <c r="AK13" s="69">
        <f t="shared" si="21"/>
        <v>25712.874689001881</v>
      </c>
      <c r="AL13" s="69">
        <f t="shared" si="21"/>
        <v>26227.129028612311</v>
      </c>
      <c r="AM13" s="69">
        <f t="shared" ref="AM13" si="22">AL13+AM14-(AL13*AM15)</f>
        <v>26751.669495890921</v>
      </c>
      <c r="AN13" s="69">
        <f t="shared" ref="AN13" si="23">AM13+AN14-(AM13*AN15)</f>
        <v>27286.701469902004</v>
      </c>
      <c r="AO13" s="69">
        <f t="shared" ref="AO13" si="24">AN13+AO14-(AN13*AO15)</f>
        <v>27832.434550642531</v>
      </c>
      <c r="AP13" s="69">
        <f t="shared" ref="AP13" si="25">AO13+AP14-(AO13*AP15)</f>
        <v>28389.082606054846</v>
      </c>
      <c r="AQ13" s="69">
        <f t="shared" ref="AQ13" si="26">AP13+AQ14-(AP13*AQ15)</f>
        <v>28956.863832323586</v>
      </c>
      <c r="AR13" s="69">
        <f t="shared" ref="AR13" si="27">AQ13+AR14-(AQ13*AR15)</f>
        <v>29536.000823648974</v>
      </c>
      <c r="AS13" s="69">
        <f t="shared" ref="AS13" si="28">AR13+AS14-(AR13*AS15)</f>
        <v>30126.720648956827</v>
      </c>
      <c r="AT13" s="69">
        <f t="shared" ref="AT13" si="29">AS13+AT14-(AS13*AT15)</f>
        <v>30729.254933855329</v>
      </c>
      <c r="AU13" s="69">
        <f t="shared" ref="AU13" si="30">AT13+AU14-(AT13*AU15)</f>
        <v>31343.839946718406</v>
      </c>
      <c r="AV13" s="69">
        <f t="shared" ref="AV13" si="31">AU13+AV14-(AU13*AV15)</f>
        <v>31970.716688157379</v>
      </c>
      <c r="AW13" s="69">
        <f t="shared" ref="AW13" si="32">AV13+AW14-(AV13*AW15)</f>
        <v>32610.130983398612</v>
      </c>
      <c r="AX13" s="69">
        <f t="shared" ref="AX13" si="33">AW13+AX14-(AW13*AX15)</f>
        <v>33262.333577256897</v>
      </c>
    </row>
    <row r="14" spans="1:50" ht="24.6" customHeight="1" x14ac:dyDescent="0.35">
      <c r="A14" s="91">
        <v>4500</v>
      </c>
      <c r="B14" s="51" t="s">
        <v>105</v>
      </c>
      <c r="C14" s="70">
        <f>$A$14</f>
        <v>4500</v>
      </c>
      <c r="D14" s="69">
        <f>C14+C14*$A$13</f>
        <v>4590</v>
      </c>
      <c r="E14" s="69">
        <f t="shared" ref="E14:AL14" si="34">D14+D14*$A$13</f>
        <v>4681.8</v>
      </c>
      <c r="F14" s="69">
        <f t="shared" si="34"/>
        <v>4775.4360000000006</v>
      </c>
      <c r="G14" s="69">
        <f t="shared" si="34"/>
        <v>4870.9447200000004</v>
      </c>
      <c r="H14" s="69">
        <f t="shared" si="34"/>
        <v>4968.3636144000002</v>
      </c>
      <c r="I14" s="69">
        <f t="shared" si="34"/>
        <v>5067.7308866880003</v>
      </c>
      <c r="J14" s="69">
        <f t="shared" si="34"/>
        <v>5169.0855044217606</v>
      </c>
      <c r="K14" s="69">
        <f t="shared" si="34"/>
        <v>5272.4672145101958</v>
      </c>
      <c r="L14" s="69">
        <f t="shared" si="34"/>
        <v>5377.9165588003998</v>
      </c>
      <c r="M14" s="69">
        <f t="shared" si="34"/>
        <v>5485.4748899764081</v>
      </c>
      <c r="N14" s="69">
        <f t="shared" si="34"/>
        <v>5595.1843877759366</v>
      </c>
      <c r="O14" s="69">
        <f t="shared" si="34"/>
        <v>5707.0880755314556</v>
      </c>
      <c r="P14" s="69">
        <f t="shared" si="34"/>
        <v>5821.2298370420849</v>
      </c>
      <c r="Q14" s="69">
        <f t="shared" si="34"/>
        <v>5937.6544337829264</v>
      </c>
      <c r="R14" s="69">
        <f t="shared" si="34"/>
        <v>6056.4075224585849</v>
      </c>
      <c r="S14" s="69">
        <f t="shared" si="34"/>
        <v>6177.5356729077566</v>
      </c>
      <c r="T14" s="69">
        <f t="shared" si="34"/>
        <v>6301.0863863659115</v>
      </c>
      <c r="U14" s="69">
        <f t="shared" si="34"/>
        <v>6427.1081140932301</v>
      </c>
      <c r="V14" s="69">
        <f t="shared" si="34"/>
        <v>6555.650276375095</v>
      </c>
      <c r="W14" s="69">
        <f t="shared" si="34"/>
        <v>6686.7632819025966</v>
      </c>
      <c r="X14" s="69">
        <f t="shared" si="34"/>
        <v>6820.4985475406484</v>
      </c>
      <c r="Y14" s="69">
        <f t="shared" si="34"/>
        <v>6956.9085184914611</v>
      </c>
      <c r="Z14" s="69">
        <f t="shared" si="34"/>
        <v>7096.04668886129</v>
      </c>
      <c r="AA14" s="69">
        <f t="shared" si="34"/>
        <v>7237.9676226385154</v>
      </c>
      <c r="AB14" s="69">
        <f t="shared" si="34"/>
        <v>7382.7269750912856</v>
      </c>
      <c r="AC14" s="69">
        <f t="shared" si="34"/>
        <v>7530.3815145931112</v>
      </c>
      <c r="AD14" s="69">
        <f t="shared" si="34"/>
        <v>7680.989144884973</v>
      </c>
      <c r="AE14" s="69">
        <f t="shared" si="34"/>
        <v>7834.6089277826723</v>
      </c>
      <c r="AF14" s="69">
        <f t="shared" si="34"/>
        <v>7991.3011063383256</v>
      </c>
      <c r="AG14" s="69">
        <f t="shared" si="34"/>
        <v>8151.127128465092</v>
      </c>
      <c r="AH14" s="69">
        <f t="shared" si="34"/>
        <v>8314.1496710343945</v>
      </c>
      <c r="AI14" s="69">
        <f t="shared" si="34"/>
        <v>8480.432664455082</v>
      </c>
      <c r="AJ14" s="69">
        <f t="shared" si="34"/>
        <v>8650.0413177441842</v>
      </c>
      <c r="AK14" s="69">
        <f t="shared" si="34"/>
        <v>8823.0421440990685</v>
      </c>
      <c r="AL14" s="69">
        <f t="shared" si="34"/>
        <v>8999.5029869810496</v>
      </c>
      <c r="AM14" s="69">
        <f t="shared" ref="AM14" si="35">AL14+AL14*$A$13</f>
        <v>9179.4930467206705</v>
      </c>
      <c r="AN14" s="69">
        <f t="shared" ref="AN14" si="36">AM14+AM14*$A$13</f>
        <v>9363.0829076550835</v>
      </c>
      <c r="AO14" s="69">
        <f t="shared" ref="AO14" si="37">AN14+AN14*$A$13</f>
        <v>9550.3445658081855</v>
      </c>
      <c r="AP14" s="69">
        <f t="shared" ref="AP14" si="38">AO14+AO14*$A$13</f>
        <v>9741.3514571243486</v>
      </c>
      <c r="AQ14" s="69">
        <f t="shared" ref="AQ14" si="39">AP14+AP14*$A$13</f>
        <v>9936.1784862668355</v>
      </c>
      <c r="AR14" s="69">
        <f t="shared" ref="AR14" si="40">AQ14+AQ14*$A$13</f>
        <v>10134.902055992172</v>
      </c>
      <c r="AS14" s="69">
        <f t="shared" ref="AS14" si="41">AR14+AR14*$A$13</f>
        <v>10337.600097112016</v>
      </c>
      <c r="AT14" s="69">
        <f t="shared" ref="AT14" si="42">AS14+AS14*$A$13</f>
        <v>10544.352099054257</v>
      </c>
      <c r="AU14" s="69">
        <f t="shared" ref="AU14" si="43">AT14+AT14*$A$13</f>
        <v>10755.239141035341</v>
      </c>
      <c r="AV14" s="69">
        <f t="shared" ref="AV14" si="44">AU14+AU14*$A$13</f>
        <v>10970.343923856048</v>
      </c>
      <c r="AW14" s="69">
        <f t="shared" ref="AW14" si="45">AV14+AV14*$A$13</f>
        <v>11189.750802333168</v>
      </c>
      <c r="AX14" s="69">
        <f t="shared" ref="AX14" si="46">AW14+AW14*$A$13</f>
        <v>11413.545818379831</v>
      </c>
    </row>
    <row r="15" spans="1:50" ht="22.5" customHeight="1" x14ac:dyDescent="0.35">
      <c r="A15" s="92">
        <v>0.33</v>
      </c>
      <c r="B15" s="51" t="s">
        <v>27</v>
      </c>
      <c r="C15" s="63">
        <f>$A$15</f>
        <v>0.33</v>
      </c>
      <c r="D15" s="63">
        <f t="shared" ref="D15:BO15" si="47">$A$15</f>
        <v>0.33</v>
      </c>
      <c r="E15" s="63">
        <f t="shared" si="47"/>
        <v>0.33</v>
      </c>
      <c r="F15" s="63">
        <f t="shared" si="47"/>
        <v>0.33</v>
      </c>
      <c r="G15" s="63">
        <f t="shared" si="47"/>
        <v>0.33</v>
      </c>
      <c r="H15" s="63">
        <f t="shared" si="47"/>
        <v>0.33</v>
      </c>
      <c r="I15" s="63">
        <f t="shared" si="47"/>
        <v>0.33</v>
      </c>
      <c r="J15" s="63">
        <f t="shared" si="47"/>
        <v>0.33</v>
      </c>
      <c r="K15" s="63">
        <f t="shared" si="47"/>
        <v>0.33</v>
      </c>
      <c r="L15" s="63">
        <f t="shared" si="47"/>
        <v>0.33</v>
      </c>
      <c r="M15" s="63">
        <f t="shared" si="47"/>
        <v>0.33</v>
      </c>
      <c r="N15" s="63">
        <f t="shared" si="47"/>
        <v>0.33</v>
      </c>
      <c r="O15" s="63">
        <f t="shared" si="47"/>
        <v>0.33</v>
      </c>
      <c r="P15" s="63">
        <f t="shared" si="47"/>
        <v>0.33</v>
      </c>
      <c r="Q15" s="63">
        <f t="shared" si="47"/>
        <v>0.33</v>
      </c>
      <c r="R15" s="63">
        <f t="shared" si="47"/>
        <v>0.33</v>
      </c>
      <c r="S15" s="63">
        <f t="shared" si="47"/>
        <v>0.33</v>
      </c>
      <c r="T15" s="63">
        <f t="shared" si="47"/>
        <v>0.33</v>
      </c>
      <c r="U15" s="63">
        <f t="shared" si="47"/>
        <v>0.33</v>
      </c>
      <c r="V15" s="63">
        <f t="shared" si="47"/>
        <v>0.33</v>
      </c>
      <c r="W15" s="63">
        <f t="shared" si="47"/>
        <v>0.33</v>
      </c>
      <c r="X15" s="63">
        <f t="shared" si="47"/>
        <v>0.33</v>
      </c>
      <c r="Y15" s="63">
        <f t="shared" si="47"/>
        <v>0.33</v>
      </c>
      <c r="Z15" s="63">
        <f t="shared" si="47"/>
        <v>0.33</v>
      </c>
      <c r="AA15" s="63">
        <f t="shared" si="47"/>
        <v>0.33</v>
      </c>
      <c r="AB15" s="63">
        <f t="shared" si="47"/>
        <v>0.33</v>
      </c>
      <c r="AC15" s="63">
        <f t="shared" si="47"/>
        <v>0.33</v>
      </c>
      <c r="AD15" s="63">
        <f t="shared" si="47"/>
        <v>0.33</v>
      </c>
      <c r="AE15" s="63">
        <f t="shared" si="47"/>
        <v>0.33</v>
      </c>
      <c r="AF15" s="63">
        <f t="shared" si="47"/>
        <v>0.33</v>
      </c>
      <c r="AG15" s="63">
        <f t="shared" si="47"/>
        <v>0.33</v>
      </c>
      <c r="AH15" s="63">
        <f t="shared" si="47"/>
        <v>0.33</v>
      </c>
      <c r="AI15" s="63">
        <f t="shared" si="47"/>
        <v>0.33</v>
      </c>
      <c r="AJ15" s="63">
        <f t="shared" si="47"/>
        <v>0.33</v>
      </c>
      <c r="AK15" s="63">
        <f t="shared" si="47"/>
        <v>0.33</v>
      </c>
      <c r="AL15" s="63">
        <f t="shared" si="47"/>
        <v>0.33</v>
      </c>
      <c r="AM15" s="63">
        <f t="shared" si="47"/>
        <v>0.33</v>
      </c>
      <c r="AN15" s="63">
        <f t="shared" si="47"/>
        <v>0.33</v>
      </c>
      <c r="AO15" s="63">
        <f t="shared" si="47"/>
        <v>0.33</v>
      </c>
      <c r="AP15" s="63">
        <f t="shared" si="47"/>
        <v>0.33</v>
      </c>
      <c r="AQ15" s="63">
        <f t="shared" si="47"/>
        <v>0.33</v>
      </c>
      <c r="AR15" s="63">
        <f t="shared" si="47"/>
        <v>0.33</v>
      </c>
      <c r="AS15" s="63">
        <f t="shared" si="47"/>
        <v>0.33</v>
      </c>
      <c r="AT15" s="63">
        <f t="shared" si="47"/>
        <v>0.33</v>
      </c>
      <c r="AU15" s="63">
        <f t="shared" si="47"/>
        <v>0.33</v>
      </c>
      <c r="AV15" s="63">
        <f t="shared" si="47"/>
        <v>0.33</v>
      </c>
      <c r="AW15" s="63">
        <f t="shared" si="47"/>
        <v>0.33</v>
      </c>
      <c r="AX15" s="63">
        <f t="shared" si="47"/>
        <v>0.33</v>
      </c>
    </row>
    <row r="16" spans="1:50" ht="24" customHeight="1" x14ac:dyDescent="0.35">
      <c r="A16" s="71">
        <v>495</v>
      </c>
      <c r="B16" s="51" t="s">
        <v>107</v>
      </c>
      <c r="C16" s="64">
        <f>$A$16</f>
        <v>495</v>
      </c>
      <c r="D16" s="64">
        <f>C16+(D14/18)-(C16*15%)</f>
        <v>675.75</v>
      </c>
      <c r="E16" s="64">
        <f t="shared" ref="E16:AL16" si="48">D16+(E14/18)-(D16*15%)</f>
        <v>834.48750000000007</v>
      </c>
      <c r="F16" s="64">
        <f t="shared" si="48"/>
        <v>974.61637500000006</v>
      </c>
      <c r="G16" s="64">
        <f t="shared" si="48"/>
        <v>1099.0319587500001</v>
      </c>
      <c r="H16" s="64">
        <f t="shared" si="48"/>
        <v>1210.1973657374999</v>
      </c>
      <c r="I16" s="64">
        <f t="shared" si="48"/>
        <v>1310.2083656928751</v>
      </c>
      <c r="J16" s="64">
        <f t="shared" si="48"/>
        <v>1400.8485277512639</v>
      </c>
      <c r="K16" s="64">
        <f t="shared" si="48"/>
        <v>1483.6360938391408</v>
      </c>
      <c r="L16" s="64">
        <f t="shared" si="48"/>
        <v>1559.8638219188474</v>
      </c>
      <c r="M16" s="64">
        <f t="shared" si="48"/>
        <v>1630.6328536297096</v>
      </c>
      <c r="N16" s="64">
        <f t="shared" si="48"/>
        <v>1696.8815026839166</v>
      </c>
      <c r="O16" s="64">
        <f t="shared" si="48"/>
        <v>1759.4097259219654</v>
      </c>
      <c r="P16" s="64">
        <f t="shared" si="48"/>
        <v>1818.8999246471199</v>
      </c>
      <c r="Q16" s="64">
        <f t="shared" si="48"/>
        <v>1875.93462671577</v>
      </c>
      <c r="R16" s="64">
        <f t="shared" si="48"/>
        <v>1931.0115172894371</v>
      </c>
      <c r="S16" s="64">
        <f t="shared" si="48"/>
        <v>1984.5562159686747</v>
      </c>
      <c r="T16" s="64">
        <f t="shared" si="48"/>
        <v>2036.9331383714798</v>
      </c>
      <c r="U16" s="64">
        <f t="shared" si="48"/>
        <v>2088.4547295098259</v>
      </c>
      <c r="V16" s="64">
        <f t="shared" si="48"/>
        <v>2139.3893132153021</v>
      </c>
      <c r="W16" s="64">
        <f t="shared" si="48"/>
        <v>2189.9677652275955</v>
      </c>
      <c r="X16" s="64">
        <f t="shared" si="48"/>
        <v>2240.3891864179363</v>
      </c>
      <c r="Y16" s="64">
        <f t="shared" si="48"/>
        <v>2290.8257261492158</v>
      </c>
      <c r="Z16" s="64">
        <f t="shared" si="48"/>
        <v>2341.426683274683</v>
      </c>
      <c r="AA16" s="64">
        <f t="shared" si="48"/>
        <v>2392.3219931522872</v>
      </c>
      <c r="AB16" s="64">
        <f t="shared" si="48"/>
        <v>2443.6251927956264</v>
      </c>
      <c r="AC16" s="64">
        <f t="shared" si="48"/>
        <v>2495.4359424647887</v>
      </c>
      <c r="AD16" s="64">
        <f t="shared" si="48"/>
        <v>2547.8421702553464</v>
      </c>
      <c r="AE16" s="64">
        <f t="shared" si="48"/>
        <v>2600.9218962605264</v>
      </c>
      <c r="AF16" s="64">
        <f t="shared" si="48"/>
        <v>2654.7447843957989</v>
      </c>
      <c r="AG16" s="64">
        <f t="shared" si="48"/>
        <v>2709.3734627622675</v>
      </c>
      <c r="AH16" s="64">
        <f t="shared" si="48"/>
        <v>2764.8646472942828</v>
      </c>
      <c r="AI16" s="64">
        <f t="shared" si="48"/>
        <v>2821.2700982254228</v>
      </c>
      <c r="AJ16" s="64">
        <f t="shared" si="48"/>
        <v>2878.6374344773972</v>
      </c>
      <c r="AK16" s="64">
        <f t="shared" si="48"/>
        <v>2937.0108273112915</v>
      </c>
      <c r="AL16" s="64">
        <f t="shared" si="48"/>
        <v>2996.431591380212</v>
      </c>
      <c r="AM16" s="64">
        <f t="shared" ref="AM16" si="49">AL16+(AM14/18)-(AL16*15%)</f>
        <v>3056.9386886021066</v>
      </c>
      <c r="AN16" s="64">
        <f t="shared" ref="AN16" si="50">AM16+(AN14/18)-(AM16*15%)</f>
        <v>3118.5691579592954</v>
      </c>
      <c r="AO16" s="64">
        <f t="shared" ref="AO16" si="51">AN16+(AO14/18)-(AN16*15%)</f>
        <v>3181.3584823658557</v>
      </c>
      <c r="AP16" s="64">
        <f t="shared" ref="AP16" si="52">AO16+(AP14/18)-(AO16*15%)</f>
        <v>3245.3409020734412</v>
      </c>
      <c r="AQ16" s="64">
        <f t="shared" ref="AQ16" si="53">AP16+(AQ14/18)-(AP16*15%)</f>
        <v>3310.5496826661383</v>
      </c>
      <c r="AR16" s="64">
        <f t="shared" ref="AR16" si="54">AQ16+(AR14/18)-(AQ16*15%)</f>
        <v>3377.0173444880047</v>
      </c>
      <c r="AS16" s="64">
        <f t="shared" ref="AS16" si="55">AR16+(AS14/18)-(AR16*15%)</f>
        <v>3444.7758593210274</v>
      </c>
      <c r="AT16" s="64">
        <f t="shared" ref="AT16" si="56">AS16+(AT14/18)-(AS16*15%)</f>
        <v>3513.8568192592211</v>
      </c>
      <c r="AU16" s="64">
        <f t="shared" ref="AU16" si="57">AT16+(AU14/18)-(AT16*15%)</f>
        <v>3584.2915819834129</v>
      </c>
      <c r="AV16" s="64">
        <f t="shared" ref="AV16" si="58">AU16+(AV14/18)-(AU16*15%)</f>
        <v>3656.1113960112366</v>
      </c>
      <c r="AW16" s="64">
        <f t="shared" ref="AW16" si="59">AV16+(AW14/18)-(AV16*15%)</f>
        <v>3729.3475089613939</v>
      </c>
      <c r="AX16" s="64">
        <f t="shared" ref="AX16" si="60">AW16+(AX14/18)-(AW16*15%)</f>
        <v>3804.0312614160639</v>
      </c>
    </row>
    <row r="17" spans="1:50" ht="18.75" x14ac:dyDescent="0.35">
      <c r="A17" s="59"/>
      <c r="B17" s="95" t="s">
        <v>108</v>
      </c>
      <c r="C17" s="64">
        <f>C13/C16</f>
        <v>41.410060606060604</v>
      </c>
      <c r="D17" s="64">
        <f>D13/D16</f>
        <v>27.116014206437292</v>
      </c>
      <c r="E17" s="64">
        <f t="shared" ref="E17:AL17" si="61">E13/E16</f>
        <v>20.322225583966205</v>
      </c>
      <c r="F17" s="64">
        <f t="shared" si="61"/>
        <v>16.558029777347009</v>
      </c>
      <c r="G17" s="64">
        <f t="shared" si="61"/>
        <v>14.270032511332371</v>
      </c>
      <c r="H17" s="64">
        <f t="shared" si="61"/>
        <v>12.788097748954497</v>
      </c>
      <c r="I17" s="64">
        <f t="shared" si="61"/>
        <v>11.781891469050526</v>
      </c>
      <c r="J17" s="64">
        <f t="shared" si="61"/>
        <v>11.07307189224375</v>
      </c>
      <c r="K17" s="64">
        <f t="shared" si="61"/>
        <v>10.558723871963275</v>
      </c>
      <c r="L17" s="64">
        <f t="shared" si="61"/>
        <v>10.176317899957324</v>
      </c>
      <c r="M17" s="64">
        <f t="shared" si="61"/>
        <v>9.8862437628799036</v>
      </c>
      <c r="N17" s="64">
        <f t="shared" si="61"/>
        <v>9.6625150669630635</v>
      </c>
      <c r="O17" s="64">
        <f t="shared" si="61"/>
        <v>9.4875592066891699</v>
      </c>
      <c r="P17" s="64">
        <f t="shared" si="61"/>
        <v>9.3491715782508091</v>
      </c>
      <c r="Q17" s="64">
        <f t="shared" si="61"/>
        <v>9.2386713257617199</v>
      </c>
      <c r="R17" s="64">
        <f t="shared" si="61"/>
        <v>9.1497505179586032</v>
      </c>
      <c r="S17" s="64">
        <f t="shared" si="61"/>
        <v>9.0777368060352117</v>
      </c>
      <c r="T17" s="64">
        <f t="shared" si="61"/>
        <v>9.0191096476709749</v>
      </c>
      <c r="U17" s="64">
        <f t="shared" si="61"/>
        <v>8.9711759004013025</v>
      </c>
      <c r="V17" s="64">
        <f t="shared" si="61"/>
        <v>8.93184780960841</v>
      </c>
      <c r="W17" s="64">
        <f t="shared" si="61"/>
        <v>8.8994881224391325</v>
      </c>
      <c r="X17" s="64">
        <f t="shared" si="61"/>
        <v>8.8728000408205183</v>
      </c>
      <c r="Y17" s="64">
        <f t="shared" si="61"/>
        <v>8.8507476646530989</v>
      </c>
      <c r="Z17" s="64">
        <f t="shared" si="61"/>
        <v>8.8324975261032215</v>
      </c>
      <c r="AA17" s="64">
        <f t="shared" si="61"/>
        <v>8.8173749573398101</v>
      </c>
      <c r="AB17" s="64">
        <f t="shared" si="61"/>
        <v>8.80483106008856</v>
      </c>
      <c r="AC17" s="64">
        <f t="shared" si="61"/>
        <v>8.7944173717133172</v>
      </c>
      <c r="AD17" s="64">
        <f t="shared" si="61"/>
        <v>8.7857662031931696</v>
      </c>
      <c r="AE17" s="64">
        <f t="shared" si="61"/>
        <v>8.7785752171354172</v>
      </c>
      <c r="AF17" s="64">
        <f t="shared" si="61"/>
        <v>8.7725952183326239</v>
      </c>
      <c r="AG17" s="64">
        <f t="shared" si="61"/>
        <v>8.767620408904758</v>
      </c>
      <c r="AH17" s="64">
        <f t="shared" si="61"/>
        <v>8.7634805558903945</v>
      </c>
      <c r="AI17" s="64">
        <f t="shared" si="61"/>
        <v>8.7600346581761208</v>
      </c>
      <c r="AJ17" s="64">
        <f t="shared" si="61"/>
        <v>8.7571657996854455</v>
      </c>
      <c r="AK17" s="64">
        <f t="shared" si="61"/>
        <v>8.7547769486913758</v>
      </c>
      <c r="AL17" s="64">
        <f t="shared" si="61"/>
        <v>8.7527875170117291</v>
      </c>
      <c r="AM17" s="64">
        <f t="shared" ref="AM17:AX17" si="62">AM13/AM16</f>
        <v>8.7511305331818967</v>
      </c>
      <c r="AN17" s="64">
        <f t="shared" si="62"/>
        <v>8.749750314261961</v>
      </c>
      <c r="AO17" s="64">
        <f t="shared" si="62"/>
        <v>8.7486005443638675</v>
      </c>
      <c r="AP17" s="64">
        <f t="shared" si="62"/>
        <v>8.7476426861403453</v>
      </c>
      <c r="AQ17" s="64">
        <f t="shared" si="62"/>
        <v>8.7468446656880516</v>
      </c>
      <c r="AR17" s="64">
        <f t="shared" si="62"/>
        <v>8.7461797825403167</v>
      </c>
      <c r="AS17" s="64">
        <f t="shared" si="62"/>
        <v>8.7456258053593263</v>
      </c>
      <c r="AT17" s="64">
        <f t="shared" si="62"/>
        <v>8.7451642211003815</v>
      </c>
      <c r="AU17" s="64">
        <f t="shared" si="62"/>
        <v>8.7447796111983447</v>
      </c>
      <c r="AV17" s="64">
        <f t="shared" si="62"/>
        <v>8.7444591330113628</v>
      </c>
      <c r="AW17" s="64">
        <f t="shared" si="62"/>
        <v>8.7441920885727225</v>
      </c>
      <c r="AX17" s="64">
        <f t="shared" si="62"/>
        <v>8.7439695658218319</v>
      </c>
    </row>
    <row r="18" spans="1:50" ht="21.95" customHeight="1" x14ac:dyDescent="0.35">
      <c r="A18" s="38">
        <v>0.86</v>
      </c>
      <c r="B18" s="51" t="s">
        <v>34</v>
      </c>
      <c r="C18" s="63">
        <f>$A$18</f>
        <v>0.86</v>
      </c>
      <c r="D18" s="63">
        <f t="shared" ref="D18:BO18" si="63">$A$18</f>
        <v>0.86</v>
      </c>
      <c r="E18" s="63">
        <f t="shared" si="63"/>
        <v>0.86</v>
      </c>
      <c r="F18" s="63">
        <f t="shared" si="63"/>
        <v>0.86</v>
      </c>
      <c r="G18" s="63">
        <f t="shared" si="63"/>
        <v>0.86</v>
      </c>
      <c r="H18" s="63">
        <f t="shared" si="63"/>
        <v>0.86</v>
      </c>
      <c r="I18" s="63">
        <f t="shared" si="63"/>
        <v>0.86</v>
      </c>
      <c r="J18" s="63">
        <f t="shared" si="63"/>
        <v>0.86</v>
      </c>
      <c r="K18" s="63">
        <f t="shared" si="63"/>
        <v>0.86</v>
      </c>
      <c r="L18" s="63">
        <f t="shared" si="63"/>
        <v>0.86</v>
      </c>
      <c r="M18" s="63">
        <f t="shared" si="63"/>
        <v>0.86</v>
      </c>
      <c r="N18" s="63">
        <f t="shared" si="63"/>
        <v>0.86</v>
      </c>
      <c r="O18" s="63">
        <f t="shared" si="63"/>
        <v>0.86</v>
      </c>
      <c r="P18" s="63">
        <f t="shared" si="63"/>
        <v>0.86</v>
      </c>
      <c r="Q18" s="63">
        <f t="shared" si="63"/>
        <v>0.86</v>
      </c>
      <c r="R18" s="63">
        <f t="shared" si="63"/>
        <v>0.86</v>
      </c>
      <c r="S18" s="63">
        <f t="shared" si="63"/>
        <v>0.86</v>
      </c>
      <c r="T18" s="63">
        <f t="shared" si="63"/>
        <v>0.86</v>
      </c>
      <c r="U18" s="63">
        <f t="shared" si="63"/>
        <v>0.86</v>
      </c>
      <c r="V18" s="63">
        <f t="shared" si="63"/>
        <v>0.86</v>
      </c>
      <c r="W18" s="63">
        <f t="shared" si="63"/>
        <v>0.86</v>
      </c>
      <c r="X18" s="63">
        <f t="shared" si="63"/>
        <v>0.86</v>
      </c>
      <c r="Y18" s="63">
        <f t="shared" si="63"/>
        <v>0.86</v>
      </c>
      <c r="Z18" s="63">
        <f t="shared" si="63"/>
        <v>0.86</v>
      </c>
      <c r="AA18" s="63">
        <f t="shared" si="63"/>
        <v>0.86</v>
      </c>
      <c r="AB18" s="63">
        <f t="shared" si="63"/>
        <v>0.86</v>
      </c>
      <c r="AC18" s="63">
        <f t="shared" si="63"/>
        <v>0.86</v>
      </c>
      <c r="AD18" s="63">
        <f t="shared" si="63"/>
        <v>0.86</v>
      </c>
      <c r="AE18" s="63">
        <f t="shared" si="63"/>
        <v>0.86</v>
      </c>
      <c r="AF18" s="63">
        <f t="shared" si="63"/>
        <v>0.86</v>
      </c>
      <c r="AG18" s="63">
        <f t="shared" si="63"/>
        <v>0.86</v>
      </c>
      <c r="AH18" s="63">
        <f t="shared" si="63"/>
        <v>0.86</v>
      </c>
      <c r="AI18" s="63">
        <f t="shared" si="63"/>
        <v>0.86</v>
      </c>
      <c r="AJ18" s="63">
        <f t="shared" si="63"/>
        <v>0.86</v>
      </c>
      <c r="AK18" s="63">
        <f t="shared" si="63"/>
        <v>0.86</v>
      </c>
      <c r="AL18" s="63">
        <f t="shared" si="63"/>
        <v>0.86</v>
      </c>
      <c r="AM18" s="63">
        <f t="shared" si="63"/>
        <v>0.86</v>
      </c>
      <c r="AN18" s="63">
        <f t="shared" si="63"/>
        <v>0.86</v>
      </c>
      <c r="AO18" s="63">
        <f t="shared" si="63"/>
        <v>0.86</v>
      </c>
      <c r="AP18" s="63">
        <f t="shared" si="63"/>
        <v>0.86</v>
      </c>
      <c r="AQ18" s="63">
        <f t="shared" si="63"/>
        <v>0.86</v>
      </c>
      <c r="AR18" s="63">
        <f t="shared" si="63"/>
        <v>0.86</v>
      </c>
      <c r="AS18" s="63">
        <f t="shared" si="63"/>
        <v>0.86</v>
      </c>
      <c r="AT18" s="63">
        <f t="shared" si="63"/>
        <v>0.86</v>
      </c>
      <c r="AU18" s="63">
        <f t="shared" si="63"/>
        <v>0.86</v>
      </c>
      <c r="AV18" s="63">
        <f t="shared" si="63"/>
        <v>0.86</v>
      </c>
      <c r="AW18" s="63">
        <f t="shared" si="63"/>
        <v>0.86</v>
      </c>
      <c r="AX18" s="63">
        <f t="shared" si="63"/>
        <v>0.86</v>
      </c>
    </row>
    <row r="19" spans="1:50" ht="26.45" customHeight="1" x14ac:dyDescent="0.35">
      <c r="A19" s="71">
        <v>2</v>
      </c>
      <c r="B19" s="51" t="s">
        <v>109</v>
      </c>
      <c r="C19" s="67">
        <f ca="1">$A$19+RANDBETWEEN(-0.4, 0.1)</f>
        <v>2</v>
      </c>
      <c r="D19" s="67">
        <f t="shared" ref="D19:BO19" ca="1" si="64">$A$19+RANDBETWEEN(-0.4, 0.1)</f>
        <v>2</v>
      </c>
      <c r="E19" s="67">
        <f t="shared" ca="1" si="64"/>
        <v>2</v>
      </c>
      <c r="F19" s="67">
        <f t="shared" ca="1" si="64"/>
        <v>2</v>
      </c>
      <c r="G19" s="67">
        <f t="shared" ca="1" si="64"/>
        <v>2</v>
      </c>
      <c r="H19" s="67">
        <f t="shared" ca="1" si="64"/>
        <v>2</v>
      </c>
      <c r="I19" s="67">
        <f t="shared" ca="1" si="64"/>
        <v>2</v>
      </c>
      <c r="J19" s="67">
        <f t="shared" ca="1" si="64"/>
        <v>2</v>
      </c>
      <c r="K19" s="67">
        <f t="shared" ca="1" si="64"/>
        <v>2</v>
      </c>
      <c r="L19" s="67">
        <f t="shared" ca="1" si="64"/>
        <v>2</v>
      </c>
      <c r="M19" s="67">
        <f t="shared" ca="1" si="64"/>
        <v>2</v>
      </c>
      <c r="N19" s="67">
        <f t="shared" ca="1" si="64"/>
        <v>2</v>
      </c>
      <c r="O19" s="67">
        <f t="shared" ca="1" si="64"/>
        <v>2</v>
      </c>
      <c r="P19" s="67">
        <f t="shared" ca="1" si="64"/>
        <v>2</v>
      </c>
      <c r="Q19" s="67">
        <f t="shared" ca="1" si="64"/>
        <v>2</v>
      </c>
      <c r="R19" s="67">
        <f t="shared" ca="1" si="64"/>
        <v>2</v>
      </c>
      <c r="S19" s="67">
        <f t="shared" ca="1" si="64"/>
        <v>2</v>
      </c>
      <c r="T19" s="67">
        <f t="shared" ca="1" si="64"/>
        <v>2</v>
      </c>
      <c r="U19" s="67">
        <f t="shared" ca="1" si="64"/>
        <v>2</v>
      </c>
      <c r="V19" s="67">
        <f t="shared" ca="1" si="64"/>
        <v>2</v>
      </c>
      <c r="W19" s="67">
        <f t="shared" ca="1" si="64"/>
        <v>2</v>
      </c>
      <c r="X19" s="67">
        <f t="shared" ca="1" si="64"/>
        <v>2</v>
      </c>
      <c r="Y19" s="67">
        <f t="shared" ca="1" si="64"/>
        <v>2</v>
      </c>
      <c r="Z19" s="67">
        <f t="shared" ca="1" si="64"/>
        <v>2</v>
      </c>
      <c r="AA19" s="67">
        <f t="shared" ca="1" si="64"/>
        <v>2</v>
      </c>
      <c r="AB19" s="67">
        <f t="shared" ca="1" si="64"/>
        <v>2</v>
      </c>
      <c r="AC19" s="67">
        <f t="shared" ca="1" si="64"/>
        <v>2</v>
      </c>
      <c r="AD19" s="67">
        <f t="shared" ca="1" si="64"/>
        <v>2</v>
      </c>
      <c r="AE19" s="67">
        <f t="shared" ca="1" si="64"/>
        <v>2</v>
      </c>
      <c r="AF19" s="67">
        <f t="shared" ca="1" si="64"/>
        <v>2</v>
      </c>
      <c r="AG19" s="67">
        <f t="shared" ca="1" si="64"/>
        <v>2</v>
      </c>
      <c r="AH19" s="67">
        <f t="shared" ca="1" si="64"/>
        <v>2</v>
      </c>
      <c r="AI19" s="67">
        <f t="shared" ca="1" si="64"/>
        <v>2</v>
      </c>
      <c r="AJ19" s="67">
        <f t="shared" ca="1" si="64"/>
        <v>2</v>
      </c>
      <c r="AK19" s="67">
        <f t="shared" ca="1" si="64"/>
        <v>2</v>
      </c>
      <c r="AL19" s="67">
        <f t="shared" ca="1" si="64"/>
        <v>2</v>
      </c>
      <c r="AM19" s="67">
        <f t="shared" ca="1" si="64"/>
        <v>2</v>
      </c>
      <c r="AN19" s="67">
        <f t="shared" ca="1" si="64"/>
        <v>2</v>
      </c>
      <c r="AO19" s="67">
        <f t="shared" ca="1" si="64"/>
        <v>2</v>
      </c>
      <c r="AP19" s="67">
        <f t="shared" ca="1" si="64"/>
        <v>2</v>
      </c>
      <c r="AQ19" s="67">
        <f t="shared" ca="1" si="64"/>
        <v>2</v>
      </c>
      <c r="AR19" s="67">
        <f t="shared" ca="1" si="64"/>
        <v>2</v>
      </c>
      <c r="AS19" s="67">
        <f t="shared" ca="1" si="64"/>
        <v>2</v>
      </c>
      <c r="AT19" s="67">
        <f t="shared" ca="1" si="64"/>
        <v>2</v>
      </c>
      <c r="AU19" s="67">
        <f t="shared" ca="1" si="64"/>
        <v>2</v>
      </c>
      <c r="AV19" s="67">
        <f t="shared" ca="1" si="64"/>
        <v>2</v>
      </c>
      <c r="AW19" s="67">
        <f t="shared" ca="1" si="64"/>
        <v>2</v>
      </c>
      <c r="AX19" s="67">
        <f t="shared" ca="1" si="64"/>
        <v>2</v>
      </c>
    </row>
    <row r="20" spans="1:50" ht="18.75" x14ac:dyDescent="0.35">
      <c r="A20" s="60"/>
      <c r="B20" s="48" t="s">
        <v>110</v>
      </c>
      <c r="C20" s="64">
        <f ca="1">C13*C19</f>
        <v>40995.96</v>
      </c>
      <c r="D20" s="64">
        <f t="shared" ref="D20:AL20" ca="1" si="65">D13*D19</f>
        <v>36647.2932</v>
      </c>
      <c r="E20" s="64">
        <f t="shared" ca="1" si="65"/>
        <v>33917.286443999998</v>
      </c>
      <c r="F20" s="64">
        <f t="shared" ca="1" si="65"/>
        <v>32275.453917480001</v>
      </c>
      <c r="G20" s="64">
        <f t="shared" ca="1" si="65"/>
        <v>31366.443564711597</v>
      </c>
      <c r="H20" s="64">
        <f t="shared" ca="1" si="65"/>
        <v>30952.244417156769</v>
      </c>
      <c r="I20" s="64">
        <f t="shared" ca="1" si="65"/>
        <v>30873.465532871036</v>
      </c>
      <c r="J20" s="64">
        <f t="shared" ca="1" si="65"/>
        <v>31023.392915867116</v>
      </c>
      <c r="K20" s="64">
        <f t="shared" ca="1" si="65"/>
        <v>31330.607682651364</v>
      </c>
      <c r="L20" s="64">
        <f t="shared" ca="1" si="65"/>
        <v>31747.340264977218</v>
      </c>
      <c r="M20" s="64">
        <f t="shared" ca="1" si="65"/>
        <v>32241.667757487554</v>
      </c>
      <c r="N20" s="64">
        <f t="shared" ca="1" si="65"/>
        <v>32792.286173068533</v>
      </c>
      <c r="O20" s="64">
        <f t="shared" ca="1" si="65"/>
        <v>33385.007887018823</v>
      </c>
      <c r="P20" s="64">
        <f t="shared" ca="1" si="65"/>
        <v>34010.414958386784</v>
      </c>
      <c r="Q20" s="64">
        <f t="shared" ca="1" si="65"/>
        <v>34662.286889684998</v>
      </c>
      <c r="R20" s="64">
        <f t="shared" ca="1" si="65"/>
        <v>35336.547261006112</v>
      </c>
      <c r="S20" s="64">
        <f t="shared" ca="1" si="65"/>
        <v>36030.558010689609</v>
      </c>
      <c r="T20" s="64">
        <f t="shared" ca="1" si="65"/>
        <v>36742.646639893857</v>
      </c>
      <c r="U20" s="64">
        <f t="shared" ca="1" si="65"/>
        <v>37471.789476915343</v>
      </c>
      <c r="V20" s="64">
        <f t="shared" ca="1" si="65"/>
        <v>38217.399502283472</v>
      </c>
      <c r="W20" s="64">
        <f t="shared" ca="1" si="65"/>
        <v>38979.184230335115</v>
      </c>
      <c r="X20" s="64">
        <f t="shared" ca="1" si="65"/>
        <v>39757.050529405824</v>
      </c>
      <c r="Y20" s="64">
        <f t="shared" ca="1" si="65"/>
        <v>40551.040891684825</v>
      </c>
      <c r="Z20" s="64">
        <f t="shared" ca="1" si="65"/>
        <v>41361.290775151414</v>
      </c>
      <c r="AA20" s="64">
        <f t="shared" ca="1" si="65"/>
        <v>42188.000064628475</v>
      </c>
      <c r="AB20" s="64">
        <f t="shared" ca="1" si="65"/>
        <v>43031.413993483649</v>
      </c>
      <c r="AC20" s="64">
        <f t="shared" ca="1" si="65"/>
        <v>43891.810404820266</v>
      </c>
      <c r="AD20" s="64">
        <f t="shared" ca="1" si="65"/>
        <v>44769.491260999523</v>
      </c>
      <c r="AE20" s="64">
        <f t="shared" ca="1" si="65"/>
        <v>45664.777000435024</v>
      </c>
      <c r="AF20" s="64">
        <f t="shared" ca="1" si="65"/>
        <v>46578.00280296812</v>
      </c>
      <c r="AG20" s="64">
        <f t="shared" ca="1" si="65"/>
        <v>47509.51613491882</v>
      </c>
      <c r="AH20" s="64">
        <f t="shared" ca="1" si="65"/>
        <v>48459.675152464399</v>
      </c>
      <c r="AI20" s="64">
        <f t="shared" ca="1" si="65"/>
        <v>49428.847681061307</v>
      </c>
      <c r="AJ20" s="64">
        <f t="shared" ca="1" si="65"/>
        <v>50417.410581799435</v>
      </c>
      <c r="AK20" s="64">
        <f t="shared" ca="1" si="65"/>
        <v>51425.749378003762</v>
      </c>
      <c r="AL20" s="64">
        <f t="shared" ca="1" si="65"/>
        <v>52454.258057224622</v>
      </c>
      <c r="AM20" s="64">
        <f t="shared" ref="AM20:AX20" ca="1" si="66">AM13*AM19</f>
        <v>53503.338991781842</v>
      </c>
      <c r="AN20" s="64">
        <f t="shared" ca="1" si="66"/>
        <v>54573.402939804007</v>
      </c>
      <c r="AO20" s="64">
        <f t="shared" ca="1" si="66"/>
        <v>55664.869101285061</v>
      </c>
      <c r="AP20" s="64">
        <f t="shared" ca="1" si="66"/>
        <v>56778.165212109692</v>
      </c>
      <c r="AQ20" s="64">
        <f t="shared" ca="1" si="66"/>
        <v>57913.727664647173</v>
      </c>
      <c r="AR20" s="64">
        <f t="shared" ca="1" si="66"/>
        <v>59072.001647297948</v>
      </c>
      <c r="AS20" s="64">
        <f t="shared" ca="1" si="66"/>
        <v>60253.441297913654</v>
      </c>
      <c r="AT20" s="64">
        <f t="shared" ca="1" si="66"/>
        <v>61458.509867710658</v>
      </c>
      <c r="AU20" s="64">
        <f t="shared" ca="1" si="66"/>
        <v>62687.679893436813</v>
      </c>
      <c r="AV20" s="64">
        <f t="shared" ca="1" si="66"/>
        <v>63941.433376314759</v>
      </c>
      <c r="AW20" s="64">
        <f t="shared" ca="1" si="66"/>
        <v>65220.261966797225</v>
      </c>
      <c r="AX20" s="64">
        <f t="shared" ca="1" si="66"/>
        <v>66524.667154513794</v>
      </c>
    </row>
    <row r="21" spans="1:50" ht="24" customHeight="1" x14ac:dyDescent="0.35">
      <c r="A21" s="61"/>
      <c r="B21" s="48" t="s">
        <v>111</v>
      </c>
      <c r="C21" s="64">
        <f ca="1">C20*C18</f>
        <v>35256.525600000001</v>
      </c>
      <c r="D21" s="64">
        <f ca="1">D20*D18</f>
        <v>31516.672151999999</v>
      </c>
      <c r="E21" s="64">
        <f t="shared" ref="E21:AL21" ca="1" si="67">E20*E18</f>
        <v>29168.866341839999</v>
      </c>
      <c r="F21" s="64">
        <f t="shared" ca="1" si="67"/>
        <v>27756.890369032801</v>
      </c>
      <c r="G21" s="64">
        <f t="shared" ca="1" si="67"/>
        <v>26975.141465651974</v>
      </c>
      <c r="H21" s="64">
        <f t="shared" ca="1" si="67"/>
        <v>26618.930198754821</v>
      </c>
      <c r="I21" s="64">
        <f t="shared" ca="1" si="67"/>
        <v>26551.180358269092</v>
      </c>
      <c r="J21" s="64">
        <f t="shared" ca="1" si="67"/>
        <v>26680.117907645719</v>
      </c>
      <c r="K21" s="64">
        <f t="shared" ca="1" si="67"/>
        <v>26944.322607080172</v>
      </c>
      <c r="L21" s="64">
        <f t="shared" ca="1" si="67"/>
        <v>27302.712627880406</v>
      </c>
      <c r="M21" s="64">
        <f t="shared" ca="1" si="67"/>
        <v>27727.834271439297</v>
      </c>
      <c r="N21" s="64">
        <f t="shared" ca="1" si="67"/>
        <v>28201.366108838938</v>
      </c>
      <c r="O21" s="64">
        <f t="shared" ca="1" si="67"/>
        <v>28711.106782836188</v>
      </c>
      <c r="P21" s="64">
        <f t="shared" ca="1" si="67"/>
        <v>29248.956864212632</v>
      </c>
      <c r="Q21" s="64">
        <f t="shared" ca="1" si="67"/>
        <v>29809.566725129098</v>
      </c>
      <c r="R21" s="64">
        <f t="shared" ca="1" si="67"/>
        <v>30389.430644465254</v>
      </c>
      <c r="S21" s="64">
        <f t="shared" ca="1" si="67"/>
        <v>30986.279889193062</v>
      </c>
      <c r="T21" s="64">
        <f t="shared" ca="1" si="67"/>
        <v>31598.676110308716</v>
      </c>
      <c r="U21" s="64">
        <f t="shared" ca="1" si="67"/>
        <v>32225.738950147195</v>
      </c>
      <c r="V21" s="64">
        <f t="shared" ca="1" si="67"/>
        <v>32866.963571963788</v>
      </c>
      <c r="W21" s="64">
        <f t="shared" ca="1" si="67"/>
        <v>33522.0984380882</v>
      </c>
      <c r="X21" s="64">
        <f t="shared" ca="1" si="67"/>
        <v>34191.063455289011</v>
      </c>
      <c r="Y21" s="64">
        <f t="shared" ca="1" si="67"/>
        <v>34873.895166848946</v>
      </c>
      <c r="Z21" s="64">
        <f t="shared" ca="1" si="67"/>
        <v>35570.710066630214</v>
      </c>
      <c r="AA21" s="64">
        <f t="shared" ca="1" si="67"/>
        <v>36281.680055580488</v>
      </c>
      <c r="AB21" s="64">
        <f t="shared" ca="1" si="67"/>
        <v>37007.016034395936</v>
      </c>
      <c r="AC21" s="64">
        <f t="shared" ca="1" si="67"/>
        <v>37746.956948145431</v>
      </c>
      <c r="AD21" s="64">
        <f t="shared" ca="1" si="67"/>
        <v>38501.762484459592</v>
      </c>
      <c r="AE21" s="64">
        <f t="shared" ca="1" si="67"/>
        <v>39271.708220374123</v>
      </c>
      <c r="AF21" s="64">
        <f t="shared" ca="1" si="67"/>
        <v>40057.082410552583</v>
      </c>
      <c r="AG21" s="64">
        <f t="shared" ca="1" si="67"/>
        <v>40858.183876030183</v>
      </c>
      <c r="AH21" s="64">
        <f t="shared" ca="1" si="67"/>
        <v>41675.320631119379</v>
      </c>
      <c r="AI21" s="64">
        <f t="shared" ca="1" si="67"/>
        <v>42508.809005712727</v>
      </c>
      <c r="AJ21" s="64">
        <f t="shared" ca="1" si="67"/>
        <v>43358.97310034751</v>
      </c>
      <c r="AK21" s="64">
        <f t="shared" ca="1" si="67"/>
        <v>44226.144465083235</v>
      </c>
      <c r="AL21" s="64">
        <f t="shared" ca="1" si="67"/>
        <v>45110.661929213173</v>
      </c>
      <c r="AM21" s="64">
        <f t="shared" ref="AM21:AX21" ca="1" si="68">AM20*AM18</f>
        <v>46012.871532932382</v>
      </c>
      <c r="AN21" s="64">
        <f t="shared" ca="1" si="68"/>
        <v>46933.126528231449</v>
      </c>
      <c r="AO21" s="64">
        <f t="shared" ca="1" si="68"/>
        <v>47871.787427105155</v>
      </c>
      <c r="AP21" s="64">
        <f t="shared" ca="1" si="68"/>
        <v>48829.222082414337</v>
      </c>
      <c r="AQ21" s="64">
        <f t="shared" ca="1" si="68"/>
        <v>49805.805791596569</v>
      </c>
      <c r="AR21" s="64">
        <f t="shared" ca="1" si="68"/>
        <v>50801.921416676232</v>
      </c>
      <c r="AS21" s="64">
        <f t="shared" ca="1" si="68"/>
        <v>51817.959516205745</v>
      </c>
      <c r="AT21" s="64">
        <f t="shared" ca="1" si="68"/>
        <v>52854.318486231168</v>
      </c>
      <c r="AU21" s="64">
        <f t="shared" ca="1" si="68"/>
        <v>53911.404708355658</v>
      </c>
      <c r="AV21" s="64">
        <f t="shared" ca="1" si="68"/>
        <v>54989.63270363069</v>
      </c>
      <c r="AW21" s="64">
        <f t="shared" ca="1" si="68"/>
        <v>56089.425291445616</v>
      </c>
      <c r="AX21" s="64">
        <f t="shared" ca="1" si="68"/>
        <v>57211.213752881864</v>
      </c>
    </row>
    <row r="22" spans="1:50" ht="21.95" customHeight="1" x14ac:dyDescent="0.35">
      <c r="A22" s="62"/>
      <c r="B22" s="51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</row>
    <row r="23" spans="1:50" ht="18.75" x14ac:dyDescent="0.35">
      <c r="A23" s="62"/>
      <c r="B23" s="55" t="s">
        <v>112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</row>
    <row r="24" spans="1:50" ht="18.75" x14ac:dyDescent="0.35">
      <c r="A24" s="68">
        <v>6.8</v>
      </c>
      <c r="B24" s="51" t="s">
        <v>113</v>
      </c>
      <c r="C24" s="67">
        <f>$A$24</f>
        <v>6.8</v>
      </c>
      <c r="D24" s="67">
        <f t="shared" ref="D24:N24" si="69">$A$24</f>
        <v>6.8</v>
      </c>
      <c r="E24" s="67">
        <f t="shared" si="69"/>
        <v>6.8</v>
      </c>
      <c r="F24" s="67">
        <f t="shared" si="69"/>
        <v>6.8</v>
      </c>
      <c r="G24" s="67">
        <f t="shared" si="69"/>
        <v>6.8</v>
      </c>
      <c r="H24" s="67">
        <f t="shared" si="69"/>
        <v>6.8</v>
      </c>
      <c r="I24" s="67">
        <f t="shared" si="69"/>
        <v>6.8</v>
      </c>
      <c r="J24" s="67">
        <f t="shared" si="69"/>
        <v>6.8</v>
      </c>
      <c r="K24" s="67">
        <f t="shared" si="69"/>
        <v>6.8</v>
      </c>
      <c r="L24" s="67">
        <f t="shared" si="69"/>
        <v>6.8</v>
      </c>
      <c r="M24" s="67">
        <f t="shared" si="69"/>
        <v>6.8</v>
      </c>
      <c r="N24" s="67">
        <f t="shared" si="69"/>
        <v>6.8</v>
      </c>
      <c r="O24" s="67">
        <f>$A$24+0.2</f>
        <v>7</v>
      </c>
      <c r="P24" s="67">
        <f t="shared" ref="P24:Z24" si="70">$A$24+0.2</f>
        <v>7</v>
      </c>
      <c r="Q24" s="67">
        <f t="shared" si="70"/>
        <v>7</v>
      </c>
      <c r="R24" s="67">
        <f t="shared" si="70"/>
        <v>7</v>
      </c>
      <c r="S24" s="67">
        <f t="shared" si="70"/>
        <v>7</v>
      </c>
      <c r="T24" s="67">
        <f t="shared" si="70"/>
        <v>7</v>
      </c>
      <c r="U24" s="67">
        <f t="shared" si="70"/>
        <v>7</v>
      </c>
      <c r="V24" s="67">
        <f t="shared" si="70"/>
        <v>7</v>
      </c>
      <c r="W24" s="67">
        <f t="shared" si="70"/>
        <v>7</v>
      </c>
      <c r="X24" s="67">
        <f t="shared" si="70"/>
        <v>7</v>
      </c>
      <c r="Y24" s="67">
        <f t="shared" si="70"/>
        <v>7</v>
      </c>
      <c r="Z24" s="67">
        <f t="shared" si="70"/>
        <v>7</v>
      </c>
      <c r="AA24" s="67">
        <f>$A$24+0.4</f>
        <v>7.2</v>
      </c>
      <c r="AB24" s="67">
        <f t="shared" ref="AB24:CM24" si="71">$A$24+0.4</f>
        <v>7.2</v>
      </c>
      <c r="AC24" s="67">
        <f t="shared" si="71"/>
        <v>7.2</v>
      </c>
      <c r="AD24" s="67">
        <f t="shared" si="71"/>
        <v>7.2</v>
      </c>
      <c r="AE24" s="67">
        <f t="shared" si="71"/>
        <v>7.2</v>
      </c>
      <c r="AF24" s="67">
        <f t="shared" si="71"/>
        <v>7.2</v>
      </c>
      <c r="AG24" s="67">
        <f t="shared" si="71"/>
        <v>7.2</v>
      </c>
      <c r="AH24" s="67">
        <f t="shared" si="71"/>
        <v>7.2</v>
      </c>
      <c r="AI24" s="67">
        <f t="shared" si="71"/>
        <v>7.2</v>
      </c>
      <c r="AJ24" s="67">
        <f t="shared" si="71"/>
        <v>7.2</v>
      </c>
      <c r="AK24" s="67">
        <f t="shared" si="71"/>
        <v>7.2</v>
      </c>
      <c r="AL24" s="67">
        <f t="shared" si="71"/>
        <v>7.2</v>
      </c>
      <c r="AM24" s="67">
        <f>$A$24+0.4</f>
        <v>7.2</v>
      </c>
      <c r="AN24" s="67">
        <f t="shared" si="71"/>
        <v>7.2</v>
      </c>
      <c r="AO24" s="67">
        <f t="shared" si="71"/>
        <v>7.2</v>
      </c>
      <c r="AP24" s="67">
        <f t="shared" si="71"/>
        <v>7.2</v>
      </c>
      <c r="AQ24" s="67">
        <f t="shared" si="71"/>
        <v>7.2</v>
      </c>
      <c r="AR24" s="67">
        <f t="shared" si="71"/>
        <v>7.2</v>
      </c>
      <c r="AS24" s="67">
        <f t="shared" si="71"/>
        <v>7.2</v>
      </c>
      <c r="AT24" s="67">
        <f t="shared" si="71"/>
        <v>7.2</v>
      </c>
      <c r="AU24" s="67">
        <f t="shared" si="71"/>
        <v>7.2</v>
      </c>
      <c r="AV24" s="67">
        <f t="shared" si="71"/>
        <v>7.2</v>
      </c>
      <c r="AW24" s="67">
        <f t="shared" si="71"/>
        <v>7.2</v>
      </c>
      <c r="AX24" s="67">
        <f t="shared" si="71"/>
        <v>7.2</v>
      </c>
    </row>
    <row r="25" spans="1:50" ht="32.1" customHeight="1" x14ac:dyDescent="0.35">
      <c r="A25" s="38">
        <v>0.12</v>
      </c>
      <c r="B25" s="76" t="s">
        <v>37</v>
      </c>
      <c r="C25" s="63">
        <f>$A$25</f>
        <v>0.12</v>
      </c>
      <c r="D25" s="63">
        <f t="shared" ref="D25:BO25" si="72">$A$25</f>
        <v>0.12</v>
      </c>
      <c r="E25" s="63">
        <f t="shared" si="72"/>
        <v>0.12</v>
      </c>
      <c r="F25" s="63">
        <f t="shared" si="72"/>
        <v>0.12</v>
      </c>
      <c r="G25" s="63">
        <f t="shared" si="72"/>
        <v>0.12</v>
      </c>
      <c r="H25" s="63">
        <f t="shared" si="72"/>
        <v>0.12</v>
      </c>
      <c r="I25" s="63">
        <f t="shared" si="72"/>
        <v>0.12</v>
      </c>
      <c r="J25" s="63">
        <f t="shared" si="72"/>
        <v>0.12</v>
      </c>
      <c r="K25" s="63">
        <f t="shared" si="72"/>
        <v>0.12</v>
      </c>
      <c r="L25" s="63">
        <f t="shared" si="72"/>
        <v>0.12</v>
      </c>
      <c r="M25" s="63">
        <f t="shared" si="72"/>
        <v>0.12</v>
      </c>
      <c r="N25" s="63">
        <f t="shared" si="72"/>
        <v>0.12</v>
      </c>
      <c r="O25" s="63">
        <f t="shared" si="72"/>
        <v>0.12</v>
      </c>
      <c r="P25" s="63">
        <f t="shared" si="72"/>
        <v>0.12</v>
      </c>
      <c r="Q25" s="63">
        <f t="shared" si="72"/>
        <v>0.12</v>
      </c>
      <c r="R25" s="63">
        <f t="shared" si="72"/>
        <v>0.12</v>
      </c>
      <c r="S25" s="63">
        <f t="shared" si="72"/>
        <v>0.12</v>
      </c>
      <c r="T25" s="63">
        <f t="shared" si="72"/>
        <v>0.12</v>
      </c>
      <c r="U25" s="63">
        <f t="shared" si="72"/>
        <v>0.12</v>
      </c>
      <c r="V25" s="63">
        <f t="shared" si="72"/>
        <v>0.12</v>
      </c>
      <c r="W25" s="63">
        <f t="shared" si="72"/>
        <v>0.12</v>
      </c>
      <c r="X25" s="63">
        <f t="shared" si="72"/>
        <v>0.12</v>
      </c>
      <c r="Y25" s="63">
        <f t="shared" si="72"/>
        <v>0.12</v>
      </c>
      <c r="Z25" s="63">
        <f t="shared" si="72"/>
        <v>0.12</v>
      </c>
      <c r="AA25" s="63">
        <f t="shared" si="72"/>
        <v>0.12</v>
      </c>
      <c r="AB25" s="63">
        <f t="shared" si="72"/>
        <v>0.12</v>
      </c>
      <c r="AC25" s="63">
        <f t="shared" si="72"/>
        <v>0.12</v>
      </c>
      <c r="AD25" s="63">
        <f t="shared" si="72"/>
        <v>0.12</v>
      </c>
      <c r="AE25" s="63">
        <f t="shared" si="72"/>
        <v>0.12</v>
      </c>
      <c r="AF25" s="63">
        <f t="shared" si="72"/>
        <v>0.12</v>
      </c>
      <c r="AG25" s="63">
        <f t="shared" si="72"/>
        <v>0.12</v>
      </c>
      <c r="AH25" s="63">
        <f t="shared" si="72"/>
        <v>0.12</v>
      </c>
      <c r="AI25" s="63">
        <f t="shared" si="72"/>
        <v>0.12</v>
      </c>
      <c r="AJ25" s="63">
        <f t="shared" si="72"/>
        <v>0.12</v>
      </c>
      <c r="AK25" s="63">
        <f t="shared" si="72"/>
        <v>0.12</v>
      </c>
      <c r="AL25" s="63">
        <f t="shared" si="72"/>
        <v>0.12</v>
      </c>
      <c r="AM25" s="63">
        <f t="shared" si="72"/>
        <v>0.12</v>
      </c>
      <c r="AN25" s="63">
        <f t="shared" si="72"/>
        <v>0.12</v>
      </c>
      <c r="AO25" s="63">
        <f t="shared" si="72"/>
        <v>0.12</v>
      </c>
      <c r="AP25" s="63">
        <f t="shared" si="72"/>
        <v>0.12</v>
      </c>
      <c r="AQ25" s="63">
        <f t="shared" si="72"/>
        <v>0.12</v>
      </c>
      <c r="AR25" s="63">
        <f t="shared" si="72"/>
        <v>0.12</v>
      </c>
      <c r="AS25" s="63">
        <f t="shared" si="72"/>
        <v>0.12</v>
      </c>
      <c r="AT25" s="63">
        <f t="shared" si="72"/>
        <v>0.12</v>
      </c>
      <c r="AU25" s="63">
        <f t="shared" si="72"/>
        <v>0.12</v>
      </c>
      <c r="AV25" s="63">
        <f t="shared" si="72"/>
        <v>0.12</v>
      </c>
      <c r="AW25" s="63">
        <f t="shared" si="72"/>
        <v>0.12</v>
      </c>
      <c r="AX25" s="63">
        <f t="shared" si="72"/>
        <v>0.12</v>
      </c>
    </row>
    <row r="26" spans="1:50" ht="24.95" customHeight="1" x14ac:dyDescent="0.35">
      <c r="A26" s="68">
        <v>2.5</v>
      </c>
      <c r="B26" s="51" t="s">
        <v>35</v>
      </c>
      <c r="C26" s="67">
        <f>$A$26</f>
        <v>2.5</v>
      </c>
      <c r="D26" s="67">
        <f t="shared" ref="D26:T26" si="73">$A$26</f>
        <v>2.5</v>
      </c>
      <c r="E26" s="67">
        <f t="shared" si="73"/>
        <v>2.5</v>
      </c>
      <c r="F26" s="67">
        <f t="shared" si="73"/>
        <v>2.5</v>
      </c>
      <c r="G26" s="67">
        <f t="shared" si="73"/>
        <v>2.5</v>
      </c>
      <c r="H26" s="67">
        <f t="shared" si="73"/>
        <v>2.5</v>
      </c>
      <c r="I26" s="67">
        <f t="shared" si="73"/>
        <v>2.5</v>
      </c>
      <c r="J26" s="67">
        <f t="shared" si="73"/>
        <v>2.5</v>
      </c>
      <c r="K26" s="67">
        <f t="shared" si="73"/>
        <v>2.5</v>
      </c>
      <c r="L26" s="67">
        <f t="shared" si="73"/>
        <v>2.5</v>
      </c>
      <c r="M26" s="67">
        <f t="shared" si="73"/>
        <v>2.5</v>
      </c>
      <c r="N26" s="67">
        <f t="shared" si="73"/>
        <v>2.5</v>
      </c>
      <c r="O26" s="67">
        <f t="shared" ref="O26:T26" si="74">$A$26+0.5</f>
        <v>3</v>
      </c>
      <c r="P26" s="67">
        <f t="shared" si="74"/>
        <v>3</v>
      </c>
      <c r="Q26" s="67">
        <f t="shared" si="74"/>
        <v>3</v>
      </c>
      <c r="R26" s="67">
        <f t="shared" si="74"/>
        <v>3</v>
      </c>
      <c r="S26" s="67">
        <f t="shared" si="74"/>
        <v>3</v>
      </c>
      <c r="T26" s="67">
        <f t="shared" si="74"/>
        <v>3</v>
      </c>
      <c r="U26" s="67">
        <f>$A$26+0.5</f>
        <v>3</v>
      </c>
      <c r="V26" s="67">
        <f t="shared" ref="V26:AL26" si="75">$A$26+0.5</f>
        <v>3</v>
      </c>
      <c r="W26" s="67">
        <f t="shared" si="75"/>
        <v>3</v>
      </c>
      <c r="X26" s="67">
        <f t="shared" si="75"/>
        <v>3</v>
      </c>
      <c r="Y26" s="67">
        <f t="shared" si="75"/>
        <v>3</v>
      </c>
      <c r="Z26" s="67">
        <f t="shared" si="75"/>
        <v>3</v>
      </c>
      <c r="AA26" s="67">
        <f>$A$26+1</f>
        <v>3.5</v>
      </c>
      <c r="AB26" s="67">
        <f t="shared" ref="AB26:CM26" si="76">$A$26+1</f>
        <v>3.5</v>
      </c>
      <c r="AC26" s="67">
        <f t="shared" si="76"/>
        <v>3.5</v>
      </c>
      <c r="AD26" s="67">
        <f t="shared" si="76"/>
        <v>3.5</v>
      </c>
      <c r="AE26" s="67">
        <f t="shared" si="76"/>
        <v>3.5</v>
      </c>
      <c r="AF26" s="67">
        <f t="shared" si="76"/>
        <v>3.5</v>
      </c>
      <c r="AG26" s="67">
        <f t="shared" si="76"/>
        <v>3.5</v>
      </c>
      <c r="AH26" s="67">
        <f t="shared" si="76"/>
        <v>3.5</v>
      </c>
      <c r="AI26" s="67">
        <f t="shared" si="76"/>
        <v>3.5</v>
      </c>
      <c r="AJ26" s="67">
        <f t="shared" si="76"/>
        <v>3.5</v>
      </c>
      <c r="AK26" s="67">
        <f t="shared" si="76"/>
        <v>3.5</v>
      </c>
      <c r="AL26" s="67">
        <f t="shared" si="76"/>
        <v>3.5</v>
      </c>
      <c r="AM26" s="67">
        <f>$A$26+1</f>
        <v>3.5</v>
      </c>
      <c r="AN26" s="67">
        <f t="shared" si="76"/>
        <v>3.5</v>
      </c>
      <c r="AO26" s="67">
        <f t="shared" si="76"/>
        <v>3.5</v>
      </c>
      <c r="AP26" s="67">
        <f t="shared" si="76"/>
        <v>3.5</v>
      </c>
      <c r="AQ26" s="67">
        <f t="shared" si="76"/>
        <v>3.5</v>
      </c>
      <c r="AR26" s="67">
        <f t="shared" si="76"/>
        <v>3.5</v>
      </c>
      <c r="AS26" s="67">
        <f t="shared" si="76"/>
        <v>3.5</v>
      </c>
      <c r="AT26" s="67">
        <f t="shared" si="76"/>
        <v>3.5</v>
      </c>
      <c r="AU26" s="67">
        <f t="shared" si="76"/>
        <v>3.5</v>
      </c>
      <c r="AV26" s="67">
        <f t="shared" si="76"/>
        <v>3.5</v>
      </c>
      <c r="AW26" s="67">
        <f t="shared" si="76"/>
        <v>3.5</v>
      </c>
      <c r="AX26" s="67">
        <f t="shared" si="76"/>
        <v>3.5</v>
      </c>
    </row>
    <row r="27" spans="1:50" ht="23.45" customHeight="1" x14ac:dyDescent="0.35">
      <c r="A27" s="68">
        <v>3</v>
      </c>
      <c r="B27" s="51" t="s">
        <v>38</v>
      </c>
      <c r="C27" s="67">
        <f>$A$27</f>
        <v>3</v>
      </c>
      <c r="D27" s="67">
        <f t="shared" ref="D27:T27" si="77">$A$27</f>
        <v>3</v>
      </c>
      <c r="E27" s="67">
        <f t="shared" si="77"/>
        <v>3</v>
      </c>
      <c r="F27" s="67">
        <f t="shared" si="77"/>
        <v>3</v>
      </c>
      <c r="G27" s="67">
        <f t="shared" si="77"/>
        <v>3</v>
      </c>
      <c r="H27" s="67">
        <f t="shared" si="77"/>
        <v>3</v>
      </c>
      <c r="I27" s="67">
        <f t="shared" si="77"/>
        <v>3</v>
      </c>
      <c r="J27" s="67">
        <f t="shared" si="77"/>
        <v>3</v>
      </c>
      <c r="K27" s="67">
        <f t="shared" si="77"/>
        <v>3</v>
      </c>
      <c r="L27" s="67">
        <f t="shared" si="77"/>
        <v>3</v>
      </c>
      <c r="M27" s="67">
        <f t="shared" si="77"/>
        <v>3</v>
      </c>
      <c r="N27" s="67">
        <f t="shared" si="77"/>
        <v>3</v>
      </c>
      <c r="O27" s="67">
        <f t="shared" ref="O27:T27" si="78">$A$27+0.5</f>
        <v>3.5</v>
      </c>
      <c r="P27" s="67">
        <f t="shared" si="78"/>
        <v>3.5</v>
      </c>
      <c r="Q27" s="67">
        <f t="shared" si="78"/>
        <v>3.5</v>
      </c>
      <c r="R27" s="67">
        <f t="shared" si="78"/>
        <v>3.5</v>
      </c>
      <c r="S27" s="67">
        <f t="shared" si="78"/>
        <v>3.5</v>
      </c>
      <c r="T27" s="67">
        <f t="shared" si="78"/>
        <v>3.5</v>
      </c>
      <c r="U27" s="67">
        <f>$A$27+0.5</f>
        <v>3.5</v>
      </c>
      <c r="V27" s="67">
        <f t="shared" ref="V27:AL27" si="79">$A$27+0.5</f>
        <v>3.5</v>
      </c>
      <c r="W27" s="67">
        <f t="shared" si="79"/>
        <v>3.5</v>
      </c>
      <c r="X27" s="67">
        <f t="shared" si="79"/>
        <v>3.5</v>
      </c>
      <c r="Y27" s="67">
        <f t="shared" si="79"/>
        <v>3.5</v>
      </c>
      <c r="Z27" s="67">
        <f t="shared" si="79"/>
        <v>3.5</v>
      </c>
      <c r="AA27" s="67">
        <f>$A$27+1</f>
        <v>4</v>
      </c>
      <c r="AB27" s="67">
        <f t="shared" ref="AB27:CM27" si="80">$A$27+1</f>
        <v>4</v>
      </c>
      <c r="AC27" s="67">
        <f t="shared" si="80"/>
        <v>4</v>
      </c>
      <c r="AD27" s="67">
        <f t="shared" si="80"/>
        <v>4</v>
      </c>
      <c r="AE27" s="67">
        <f t="shared" si="80"/>
        <v>4</v>
      </c>
      <c r="AF27" s="67">
        <f t="shared" si="80"/>
        <v>4</v>
      </c>
      <c r="AG27" s="67">
        <f t="shared" si="80"/>
        <v>4</v>
      </c>
      <c r="AH27" s="67">
        <f t="shared" si="80"/>
        <v>4</v>
      </c>
      <c r="AI27" s="67">
        <f t="shared" si="80"/>
        <v>4</v>
      </c>
      <c r="AJ27" s="67">
        <f t="shared" si="80"/>
        <v>4</v>
      </c>
      <c r="AK27" s="67">
        <f t="shared" si="80"/>
        <v>4</v>
      </c>
      <c r="AL27" s="67">
        <f t="shared" si="80"/>
        <v>4</v>
      </c>
      <c r="AM27" s="67">
        <f>$A$27+1</f>
        <v>4</v>
      </c>
      <c r="AN27" s="67">
        <f t="shared" si="80"/>
        <v>4</v>
      </c>
      <c r="AO27" s="67">
        <f t="shared" si="80"/>
        <v>4</v>
      </c>
      <c r="AP27" s="67">
        <f t="shared" si="80"/>
        <v>4</v>
      </c>
      <c r="AQ27" s="67">
        <f t="shared" si="80"/>
        <v>4</v>
      </c>
      <c r="AR27" s="67">
        <f t="shared" si="80"/>
        <v>4</v>
      </c>
      <c r="AS27" s="67">
        <f t="shared" si="80"/>
        <v>4</v>
      </c>
      <c r="AT27" s="67">
        <f t="shared" si="80"/>
        <v>4</v>
      </c>
      <c r="AU27" s="67">
        <f t="shared" si="80"/>
        <v>4</v>
      </c>
      <c r="AV27" s="67">
        <f t="shared" si="80"/>
        <v>4</v>
      </c>
      <c r="AW27" s="67">
        <f t="shared" si="80"/>
        <v>4</v>
      </c>
      <c r="AX27" s="67">
        <f t="shared" si="80"/>
        <v>4</v>
      </c>
    </row>
    <row r="28" spans="1:50" ht="18.75" x14ac:dyDescent="0.35">
      <c r="A28" s="93">
        <v>0.95</v>
      </c>
      <c r="B28" s="51" t="s">
        <v>41</v>
      </c>
      <c r="C28" s="73">
        <f>$A$28</f>
        <v>0.95</v>
      </c>
      <c r="D28" s="73">
        <f>$A$28</f>
        <v>0.95</v>
      </c>
      <c r="E28" s="73">
        <f>D28-0.05</f>
        <v>0.89999999999999991</v>
      </c>
      <c r="F28" s="73">
        <f>E28-0.05</f>
        <v>0.84999999999999987</v>
      </c>
      <c r="G28" s="73">
        <f t="shared" ref="G28:K28" si="81">F28-0.05</f>
        <v>0.79999999999999982</v>
      </c>
      <c r="H28" s="73">
        <f t="shared" si="81"/>
        <v>0.74999999999999978</v>
      </c>
      <c r="I28" s="73">
        <f t="shared" si="81"/>
        <v>0.69999999999999973</v>
      </c>
      <c r="J28" s="73">
        <f t="shared" si="81"/>
        <v>0.64999999999999969</v>
      </c>
      <c r="K28" s="73">
        <f t="shared" si="81"/>
        <v>0.59999999999999964</v>
      </c>
      <c r="L28" s="73">
        <f>K28</f>
        <v>0.59999999999999964</v>
      </c>
      <c r="M28" s="73">
        <f t="shared" ref="M28:AL28" si="82">L28</f>
        <v>0.59999999999999964</v>
      </c>
      <c r="N28" s="73">
        <f t="shared" si="82"/>
        <v>0.59999999999999964</v>
      </c>
      <c r="O28" s="73">
        <f t="shared" si="82"/>
        <v>0.59999999999999964</v>
      </c>
      <c r="P28" s="73">
        <f t="shared" si="82"/>
        <v>0.59999999999999964</v>
      </c>
      <c r="Q28" s="73">
        <f t="shared" si="82"/>
        <v>0.59999999999999964</v>
      </c>
      <c r="R28" s="73">
        <f t="shared" si="82"/>
        <v>0.59999999999999964</v>
      </c>
      <c r="S28" s="73">
        <f t="shared" si="82"/>
        <v>0.59999999999999964</v>
      </c>
      <c r="T28" s="73">
        <f t="shared" si="82"/>
        <v>0.59999999999999964</v>
      </c>
      <c r="U28" s="73">
        <f t="shared" si="82"/>
        <v>0.59999999999999964</v>
      </c>
      <c r="V28" s="73">
        <f t="shared" si="82"/>
        <v>0.59999999999999964</v>
      </c>
      <c r="W28" s="73">
        <f t="shared" si="82"/>
        <v>0.59999999999999964</v>
      </c>
      <c r="X28" s="73">
        <f t="shared" si="82"/>
        <v>0.59999999999999964</v>
      </c>
      <c r="Y28" s="73">
        <f t="shared" si="82"/>
        <v>0.59999999999999964</v>
      </c>
      <c r="Z28" s="73">
        <f t="shared" si="82"/>
        <v>0.59999999999999964</v>
      </c>
      <c r="AA28" s="73">
        <f t="shared" si="82"/>
        <v>0.59999999999999964</v>
      </c>
      <c r="AB28" s="73">
        <f t="shared" si="82"/>
        <v>0.59999999999999964</v>
      </c>
      <c r="AC28" s="73">
        <f t="shared" si="82"/>
        <v>0.59999999999999964</v>
      </c>
      <c r="AD28" s="73">
        <f t="shared" si="82"/>
        <v>0.59999999999999964</v>
      </c>
      <c r="AE28" s="73">
        <f t="shared" si="82"/>
        <v>0.59999999999999964</v>
      </c>
      <c r="AF28" s="73">
        <f t="shared" si="82"/>
        <v>0.59999999999999964</v>
      </c>
      <c r="AG28" s="73">
        <f t="shared" si="82"/>
        <v>0.59999999999999964</v>
      </c>
      <c r="AH28" s="73">
        <f t="shared" si="82"/>
        <v>0.59999999999999964</v>
      </c>
      <c r="AI28" s="73">
        <f t="shared" si="82"/>
        <v>0.59999999999999964</v>
      </c>
      <c r="AJ28" s="73">
        <f t="shared" si="82"/>
        <v>0.59999999999999964</v>
      </c>
      <c r="AK28" s="73">
        <f t="shared" si="82"/>
        <v>0.59999999999999964</v>
      </c>
      <c r="AL28" s="73">
        <f t="shared" si="82"/>
        <v>0.59999999999999964</v>
      </c>
      <c r="AM28" s="73">
        <f t="shared" ref="AM28" si="83">AL28</f>
        <v>0.59999999999999964</v>
      </c>
      <c r="AN28" s="73">
        <f t="shared" ref="AN28" si="84">AM28</f>
        <v>0.59999999999999964</v>
      </c>
      <c r="AO28" s="73">
        <f t="shared" ref="AO28" si="85">AN28</f>
        <v>0.59999999999999964</v>
      </c>
      <c r="AP28" s="73">
        <f t="shared" ref="AP28" si="86">AO28</f>
        <v>0.59999999999999964</v>
      </c>
      <c r="AQ28" s="73">
        <f t="shared" ref="AQ28" si="87">AP28</f>
        <v>0.59999999999999964</v>
      </c>
      <c r="AR28" s="73">
        <f t="shared" ref="AR28" si="88">AQ28</f>
        <v>0.59999999999999964</v>
      </c>
      <c r="AS28" s="73">
        <f t="shared" ref="AS28" si="89">AR28</f>
        <v>0.59999999999999964</v>
      </c>
      <c r="AT28" s="73">
        <f t="shared" ref="AT28" si="90">AS28</f>
        <v>0.59999999999999964</v>
      </c>
      <c r="AU28" s="73">
        <f t="shared" ref="AU28" si="91">AT28</f>
        <v>0.59999999999999964</v>
      </c>
      <c r="AV28" s="73">
        <f t="shared" ref="AV28" si="92">AU28</f>
        <v>0.59999999999999964</v>
      </c>
      <c r="AW28" s="73">
        <f t="shared" ref="AW28" si="93">AV28</f>
        <v>0.59999999999999964</v>
      </c>
      <c r="AX28" s="73">
        <f t="shared" ref="AX28" si="94">AW28</f>
        <v>0.59999999999999964</v>
      </c>
    </row>
    <row r="29" spans="1:50" ht="24" customHeight="1" x14ac:dyDescent="0.35">
      <c r="A29" s="94">
        <v>150</v>
      </c>
      <c r="B29" s="51" t="s">
        <v>42</v>
      </c>
      <c r="C29" s="64">
        <f ca="1">$A$29 - (ROUND($C$30,0)-ROUND(C30,0))*10</f>
        <v>150</v>
      </c>
      <c r="D29" s="64">
        <f t="shared" ref="D29:AL29" ca="1" si="95">$A$29 - (ROUND($C$30,0)-ROUND(D30,0))*10</f>
        <v>130</v>
      </c>
      <c r="E29" s="64">
        <f t="shared" ca="1" si="95"/>
        <v>120</v>
      </c>
      <c r="F29" s="64">
        <f t="shared" ca="1" si="95"/>
        <v>110</v>
      </c>
      <c r="G29" s="64">
        <f t="shared" ca="1" si="95"/>
        <v>100</v>
      </c>
      <c r="H29" s="64">
        <f t="shared" ca="1" si="95"/>
        <v>90</v>
      </c>
      <c r="I29" s="64">
        <f t="shared" ca="1" si="95"/>
        <v>80</v>
      </c>
      <c r="J29" s="64">
        <f t="shared" ca="1" si="95"/>
        <v>80</v>
      </c>
      <c r="K29" s="64">
        <f t="shared" ca="1" si="95"/>
        <v>90</v>
      </c>
      <c r="L29" s="64">
        <f t="shared" ca="1" si="95"/>
        <v>90</v>
      </c>
      <c r="M29" s="64">
        <f t="shared" ca="1" si="95"/>
        <v>90</v>
      </c>
      <c r="N29" s="64">
        <f t="shared" ca="1" si="95"/>
        <v>90</v>
      </c>
      <c r="O29" s="64">
        <f t="shared" ca="1" si="95"/>
        <v>90</v>
      </c>
      <c r="P29" s="64">
        <f t="shared" ca="1" si="95"/>
        <v>90</v>
      </c>
      <c r="Q29" s="64">
        <f t="shared" ca="1" si="95"/>
        <v>90</v>
      </c>
      <c r="R29" s="64">
        <f t="shared" ca="1" si="95"/>
        <v>90</v>
      </c>
      <c r="S29" s="64">
        <f t="shared" ca="1" si="95"/>
        <v>90</v>
      </c>
      <c r="T29" s="64">
        <f t="shared" ca="1" si="95"/>
        <v>90</v>
      </c>
      <c r="U29" s="64">
        <f t="shared" ca="1" si="95"/>
        <v>90</v>
      </c>
      <c r="V29" s="64">
        <f t="shared" ca="1" si="95"/>
        <v>90</v>
      </c>
      <c r="W29" s="64">
        <f t="shared" ca="1" si="95"/>
        <v>90</v>
      </c>
      <c r="X29" s="64">
        <f t="shared" ca="1" si="95"/>
        <v>90</v>
      </c>
      <c r="Y29" s="64">
        <f t="shared" ca="1" si="95"/>
        <v>90</v>
      </c>
      <c r="Z29" s="64">
        <f t="shared" ca="1" si="95"/>
        <v>90</v>
      </c>
      <c r="AA29" s="64">
        <f t="shared" ca="1" si="95"/>
        <v>90</v>
      </c>
      <c r="AB29" s="64">
        <f t="shared" ca="1" si="95"/>
        <v>90</v>
      </c>
      <c r="AC29" s="64">
        <f t="shared" ca="1" si="95"/>
        <v>90</v>
      </c>
      <c r="AD29" s="64">
        <f t="shared" ca="1" si="95"/>
        <v>90</v>
      </c>
      <c r="AE29" s="64">
        <f t="shared" ca="1" si="95"/>
        <v>90</v>
      </c>
      <c r="AF29" s="64">
        <f t="shared" ca="1" si="95"/>
        <v>90</v>
      </c>
      <c r="AG29" s="64">
        <f t="shared" ca="1" si="95"/>
        <v>90</v>
      </c>
      <c r="AH29" s="64">
        <f t="shared" ca="1" si="95"/>
        <v>90</v>
      </c>
      <c r="AI29" s="64">
        <f t="shared" ca="1" si="95"/>
        <v>90</v>
      </c>
      <c r="AJ29" s="64">
        <f t="shared" ca="1" si="95"/>
        <v>90</v>
      </c>
      <c r="AK29" s="64">
        <f t="shared" ca="1" si="95"/>
        <v>90</v>
      </c>
      <c r="AL29" s="64">
        <f t="shared" ca="1" si="95"/>
        <v>90</v>
      </c>
      <c r="AM29" s="64">
        <f t="shared" ref="AM29" ca="1" si="96">$A$29 - (ROUND($C$30,0)-ROUND(AM30,0))*10</f>
        <v>90</v>
      </c>
      <c r="AN29" s="64">
        <f t="shared" ref="AN29" ca="1" si="97">$A$29 - (ROUND($C$30,0)-ROUND(AN30,0))*10</f>
        <v>90</v>
      </c>
      <c r="AO29" s="64">
        <f t="shared" ref="AO29" ca="1" si="98">$A$29 - (ROUND($C$30,0)-ROUND(AO30,0))*10</f>
        <v>90</v>
      </c>
      <c r="AP29" s="64">
        <f t="shared" ref="AP29" ca="1" si="99">$A$29 - (ROUND($C$30,0)-ROUND(AP30,0))*10</f>
        <v>90</v>
      </c>
      <c r="AQ29" s="64">
        <f t="shared" ref="AQ29" ca="1" si="100">$A$29 - (ROUND($C$30,0)-ROUND(AQ30,0))*10</f>
        <v>90</v>
      </c>
      <c r="AR29" s="64">
        <f t="shared" ref="AR29" ca="1" si="101">$A$29 - (ROUND($C$30,0)-ROUND(AR30,0))*10</f>
        <v>90</v>
      </c>
      <c r="AS29" s="64">
        <f t="shared" ref="AS29" ca="1" si="102">$A$29 - (ROUND($C$30,0)-ROUND(AS30,0))*10</f>
        <v>90</v>
      </c>
      <c r="AT29" s="64">
        <f t="shared" ref="AT29" ca="1" si="103">$A$29 - (ROUND($C$30,0)-ROUND(AT30,0))*10</f>
        <v>90</v>
      </c>
      <c r="AU29" s="64">
        <f t="shared" ref="AU29" ca="1" si="104">$A$29 - (ROUND($C$30,0)-ROUND(AU30,0))*10</f>
        <v>90</v>
      </c>
      <c r="AV29" s="64">
        <f t="shared" ref="AV29" ca="1" si="105">$A$29 - (ROUND($C$30,0)-ROUND(AV30,0))*10</f>
        <v>90</v>
      </c>
      <c r="AW29" s="64">
        <f t="shared" ref="AW29" ca="1" si="106">$A$29 - (ROUND($C$30,0)-ROUND(AW30,0))*10</f>
        <v>90</v>
      </c>
      <c r="AX29" s="64">
        <f t="shared" ref="AX29" ca="1" si="107">$A$29 - (ROUND($C$30,0)-ROUND(AX30,0))*10</f>
        <v>90</v>
      </c>
    </row>
    <row r="30" spans="1:50" ht="18.75" x14ac:dyDescent="0.35">
      <c r="A30" s="57"/>
      <c r="B30" s="95" t="s">
        <v>45</v>
      </c>
      <c r="C30" s="64">
        <f t="shared" ref="C30:AL30" ca="1" si="108">(C21/C31)/31</f>
        <v>11.971655551782684</v>
      </c>
      <c r="D30" s="64">
        <f t="shared" ca="1" si="108"/>
        <v>10.390054610249392</v>
      </c>
      <c r="E30" s="64">
        <f t="shared" ca="1" si="108"/>
        <v>8.7418699523149463</v>
      </c>
      <c r="F30" s="64">
        <f t="shared" ca="1" si="108"/>
        <v>7.5624569592636766</v>
      </c>
      <c r="G30" s="64">
        <f t="shared" ca="1" si="108"/>
        <v>6.6813335221976358</v>
      </c>
      <c r="H30" s="64">
        <f t="shared" ca="1" si="108"/>
        <v>5.9937321750451309</v>
      </c>
      <c r="I30" s="64">
        <f t="shared" ca="1" si="108"/>
        <v>5.4349791606107729</v>
      </c>
      <c r="J30" s="64">
        <f t="shared" ca="1" si="108"/>
        <v>5.4613724464996221</v>
      </c>
      <c r="K30" s="64">
        <f t="shared" ca="1" si="108"/>
        <v>5.5154546762229604</v>
      </c>
      <c r="L30" s="64">
        <f t="shared" ca="1" si="108"/>
        <v>5.5888164728789613</v>
      </c>
      <c r="M30" s="64">
        <f t="shared" ca="1" si="108"/>
        <v>5.6758381134346729</v>
      </c>
      <c r="N30" s="64">
        <f t="shared" ca="1" si="108"/>
        <v>5.7727692341391146</v>
      </c>
      <c r="O30" s="64">
        <f t="shared" ca="1" si="108"/>
        <v>5.8771122389738473</v>
      </c>
      <c r="P30" s="64">
        <f t="shared" ca="1" si="108"/>
        <v>5.9872091892551325</v>
      </c>
      <c r="Q30" s="64">
        <f t="shared" ca="1" si="108"/>
        <v>6.1019650257264466</v>
      </c>
      <c r="R30" s="64">
        <f t="shared" ca="1" si="108"/>
        <v>6.2206621335407357</v>
      </c>
      <c r="S30" s="64">
        <f t="shared" ca="1" si="108"/>
        <v>6.3428361071023911</v>
      </c>
      <c r="T30" s="64">
        <f t="shared" ca="1" si="108"/>
        <v>6.4681925189413008</v>
      </c>
      <c r="U30" s="64">
        <f t="shared" ca="1" si="108"/>
        <v>6.4672070209970842</v>
      </c>
      <c r="V30" s="64">
        <f t="shared" ca="1" si="108"/>
        <v>6.4665596841121582</v>
      </c>
      <c r="W30" s="64">
        <f t="shared" ca="1" si="108"/>
        <v>6.4661344726289203</v>
      </c>
      <c r="X30" s="64">
        <f t="shared" ca="1" si="108"/>
        <v>6.4658551670467954</v>
      </c>
      <c r="Y30" s="64">
        <f t="shared" ca="1" si="108"/>
        <v>6.4656717016153982</v>
      </c>
      <c r="Z30" s="64">
        <f t="shared" ca="1" si="108"/>
        <v>6.465551190008501</v>
      </c>
      <c r="AA30" s="64">
        <f t="shared" ca="1" si="108"/>
        <v>6.4654720304235767</v>
      </c>
      <c r="AB30" s="64">
        <f t="shared" ca="1" si="108"/>
        <v>6.4654200334413225</v>
      </c>
      <c r="AC30" s="64">
        <f t="shared" ca="1" si="108"/>
        <v>6.4653858785608236</v>
      </c>
      <c r="AD30" s="64">
        <f t="shared" ca="1" si="108"/>
        <v>6.4653634434922598</v>
      </c>
      <c r="AE30" s="64">
        <f t="shared" ca="1" si="108"/>
        <v>6.4653487067315369</v>
      </c>
      <c r="AF30" s="64">
        <f t="shared" ca="1" si="108"/>
        <v>6.4653390267024333</v>
      </c>
      <c r="AG30" s="64">
        <f t="shared" ca="1" si="108"/>
        <v>6.4653326682519436</v>
      </c>
      <c r="AH30" s="64">
        <f t="shared" ca="1" si="108"/>
        <v>6.4653284916227012</v>
      </c>
      <c r="AI30" s="64">
        <f t="shared" ca="1" si="108"/>
        <v>6.4653257481505522</v>
      </c>
      <c r="AJ30" s="64">
        <f t="shared" ca="1" si="108"/>
        <v>6.4653239460659035</v>
      </c>
      <c r="AK30" s="64">
        <f t="shared" ca="1" si="108"/>
        <v>6.4653227623436367</v>
      </c>
      <c r="AL30" s="64">
        <f t="shared" ca="1" si="108"/>
        <v>6.4653219848005783</v>
      </c>
      <c r="AM30" s="64">
        <f t="shared" ref="AM30" ca="1" si="109">(AM21/AM31)/31</f>
        <v>6.4653214740615113</v>
      </c>
      <c r="AN30" s="64">
        <f t="shared" ref="AN30" ca="1" si="110">(AN21/AN31)/31</f>
        <v>6.4653211385760461</v>
      </c>
      <c r="AO30" s="64">
        <f t="shared" ref="AO30" ca="1" si="111">(AO21/AO31)/31</f>
        <v>6.4653209182081417</v>
      </c>
      <c r="AP30" s="64">
        <f t="shared" ref="AP30" ca="1" si="112">(AP21/AP31)/31</f>
        <v>6.4653207734566749</v>
      </c>
      <c r="AQ30" s="64">
        <f t="shared" ref="AQ30" ca="1" si="113">(AQ21/AQ31)/31</f>
        <v>6.4653206783748294</v>
      </c>
      <c r="AR30" s="64">
        <f t="shared" ref="AR30" ca="1" si="114">(AR21/AR31)/31</f>
        <v>6.4653206159191043</v>
      </c>
      <c r="AS30" s="64">
        <f t="shared" ref="AS30" ca="1" si="115">(AS21/AS31)/31</f>
        <v>6.4653205748942675</v>
      </c>
      <c r="AT30" s="64">
        <f t="shared" ref="AT30" ca="1" si="116">(AT21/AT31)/31</f>
        <v>6.4653205479465798</v>
      </c>
      <c r="AU30" s="64">
        <f t="shared" ref="AU30" ca="1" si="117">(AU21/AU31)/31</f>
        <v>6.4653205302456458</v>
      </c>
      <c r="AV30" s="64">
        <f t="shared" ref="AV30" ca="1" si="118">(AV21/AV31)/31</f>
        <v>6.4653205186185643</v>
      </c>
      <c r="AW30" s="64">
        <f t="shared" ref="AW30" ca="1" si="119">(AW21/AW31)/31</f>
        <v>6.4653205109811669</v>
      </c>
      <c r="AX30" s="64">
        <f t="shared" ref="AX30" ca="1" si="120">(AX21/AX31)/31</f>
        <v>6.4653205059644439</v>
      </c>
    </row>
    <row r="31" spans="1:50" ht="18.75" x14ac:dyDescent="0.35">
      <c r="A31" s="78">
        <v>95</v>
      </c>
      <c r="B31" s="76" t="s">
        <v>43</v>
      </c>
      <c r="C31" s="64">
        <f>A31</f>
        <v>95</v>
      </c>
      <c r="D31" s="64">
        <f>C31*103%</f>
        <v>97.850000000000009</v>
      </c>
      <c r="E31" s="64">
        <f>D31*110%</f>
        <v>107.63500000000002</v>
      </c>
      <c r="F31" s="64">
        <f>E31*110%</f>
        <v>118.39850000000003</v>
      </c>
      <c r="G31" s="64">
        <f t="shared" ref="G31:I31" si="121">F31*110%</f>
        <v>130.23835000000005</v>
      </c>
      <c r="H31" s="64">
        <f t="shared" si="121"/>
        <v>143.26218500000007</v>
      </c>
      <c r="I31" s="64">
        <f t="shared" si="121"/>
        <v>157.58840350000008</v>
      </c>
      <c r="J31" s="64">
        <f>I31</f>
        <v>157.58840350000008</v>
      </c>
      <c r="K31" s="64">
        <f t="shared" ref="K31:T31" si="122">J31</f>
        <v>157.58840350000008</v>
      </c>
      <c r="L31" s="64">
        <f t="shared" si="122"/>
        <v>157.58840350000008</v>
      </c>
      <c r="M31" s="64">
        <f t="shared" si="122"/>
        <v>157.58840350000008</v>
      </c>
      <c r="N31" s="64">
        <f t="shared" si="122"/>
        <v>157.58840350000008</v>
      </c>
      <c r="O31" s="64">
        <f t="shared" si="122"/>
        <v>157.58840350000008</v>
      </c>
      <c r="P31" s="64">
        <f t="shared" si="122"/>
        <v>157.58840350000008</v>
      </c>
      <c r="Q31" s="64">
        <f t="shared" si="122"/>
        <v>157.58840350000008</v>
      </c>
      <c r="R31" s="64">
        <f t="shared" si="122"/>
        <v>157.58840350000008</v>
      </c>
      <c r="S31" s="64">
        <f t="shared" si="122"/>
        <v>157.58840350000008</v>
      </c>
      <c r="T31" s="64">
        <f t="shared" si="122"/>
        <v>157.58840350000008</v>
      </c>
      <c r="U31" s="64">
        <f>T31*102%</f>
        <v>160.74017157000009</v>
      </c>
      <c r="V31" s="64">
        <f t="shared" ref="V31:AL31" si="123">U31*102%</f>
        <v>163.9549750014001</v>
      </c>
      <c r="W31" s="64">
        <f t="shared" si="123"/>
        <v>167.2340745014281</v>
      </c>
      <c r="X31" s="64">
        <f t="shared" si="123"/>
        <v>170.57875599145666</v>
      </c>
      <c r="Y31" s="64">
        <f t="shared" si="123"/>
        <v>173.9903311112858</v>
      </c>
      <c r="Z31" s="64">
        <f t="shared" si="123"/>
        <v>177.47013773351151</v>
      </c>
      <c r="AA31" s="64">
        <f t="shared" si="123"/>
        <v>181.01954048818175</v>
      </c>
      <c r="AB31" s="64">
        <f t="shared" si="123"/>
        <v>184.6399312979454</v>
      </c>
      <c r="AC31" s="64">
        <f t="shared" si="123"/>
        <v>188.33272992390431</v>
      </c>
      <c r="AD31" s="64">
        <f t="shared" si="123"/>
        <v>192.09938452238239</v>
      </c>
      <c r="AE31" s="64">
        <f t="shared" si="123"/>
        <v>195.94137221283003</v>
      </c>
      <c r="AF31" s="64">
        <f t="shared" si="123"/>
        <v>199.86019965708664</v>
      </c>
      <c r="AG31" s="64">
        <f t="shared" si="123"/>
        <v>203.85740365022838</v>
      </c>
      <c r="AH31" s="64">
        <f t="shared" si="123"/>
        <v>207.93455172323294</v>
      </c>
      <c r="AI31" s="64">
        <f t="shared" si="123"/>
        <v>212.0932427576976</v>
      </c>
      <c r="AJ31" s="64">
        <f t="shared" si="123"/>
        <v>216.33510761285154</v>
      </c>
      <c r="AK31" s="64">
        <f t="shared" si="123"/>
        <v>220.66180976510859</v>
      </c>
      <c r="AL31" s="64">
        <f t="shared" si="123"/>
        <v>225.07504596041076</v>
      </c>
      <c r="AM31" s="64">
        <f t="shared" ref="AM31" si="124">AL31*102%</f>
        <v>229.57654687961897</v>
      </c>
      <c r="AN31" s="64">
        <f t="shared" ref="AN31" si="125">AM31*102%</f>
        <v>234.16807781721135</v>
      </c>
      <c r="AO31" s="64">
        <f t="shared" ref="AO31" si="126">AN31*102%</f>
        <v>238.85143937355559</v>
      </c>
      <c r="AP31" s="64">
        <f t="shared" ref="AP31" si="127">AO31*102%</f>
        <v>243.62846816102672</v>
      </c>
      <c r="AQ31" s="64">
        <f t="shared" ref="AQ31" si="128">AP31*102%</f>
        <v>248.50103752424727</v>
      </c>
      <c r="AR31" s="64">
        <f t="shared" ref="AR31" si="129">AQ31*102%</f>
        <v>253.47105827473223</v>
      </c>
      <c r="AS31" s="64">
        <f t="shared" ref="AS31" si="130">AR31*102%</f>
        <v>258.54047944022687</v>
      </c>
      <c r="AT31" s="64">
        <f t="shared" ref="AT31" si="131">AS31*102%</f>
        <v>263.71128902903143</v>
      </c>
      <c r="AU31" s="64">
        <f t="shared" ref="AU31" si="132">AT31*102%</f>
        <v>268.98551480961208</v>
      </c>
      <c r="AV31" s="64">
        <f t="shared" ref="AV31" si="133">AU31*102%</f>
        <v>274.36522510580431</v>
      </c>
      <c r="AW31" s="64">
        <f t="shared" ref="AW31" si="134">AV31*102%</f>
        <v>279.85252960792042</v>
      </c>
      <c r="AX31" s="64">
        <f t="shared" ref="AX31" si="135">AW31*102%</f>
        <v>285.44958020007886</v>
      </c>
    </row>
    <row r="32" spans="1:50" ht="18.75" x14ac:dyDescent="0.35">
      <c r="A32" s="78">
        <v>8</v>
      </c>
      <c r="B32" s="76" t="s">
        <v>46</v>
      </c>
      <c r="C32" s="64">
        <f>$A$32</f>
        <v>8</v>
      </c>
      <c r="D32" s="64">
        <f t="shared" ref="D32:K32" si="136">$A$32</f>
        <v>8</v>
      </c>
      <c r="E32" s="64">
        <f t="shared" si="136"/>
        <v>8</v>
      </c>
      <c r="F32" s="64">
        <f t="shared" si="136"/>
        <v>8</v>
      </c>
      <c r="G32" s="64">
        <f t="shared" si="136"/>
        <v>8</v>
      </c>
      <c r="H32" s="64">
        <f t="shared" si="136"/>
        <v>8</v>
      </c>
      <c r="I32" s="64">
        <f t="shared" si="136"/>
        <v>8</v>
      </c>
      <c r="J32" s="64">
        <f t="shared" si="136"/>
        <v>8</v>
      </c>
      <c r="K32" s="64">
        <f t="shared" si="136"/>
        <v>8</v>
      </c>
      <c r="L32" s="64">
        <f>$A$32+1</f>
        <v>9</v>
      </c>
      <c r="M32" s="64">
        <f t="shared" ref="M32:P32" si="137">$A$32+1</f>
        <v>9</v>
      </c>
      <c r="N32" s="64">
        <f t="shared" si="137"/>
        <v>9</v>
      </c>
      <c r="O32" s="64">
        <f t="shared" si="137"/>
        <v>9</v>
      </c>
      <c r="P32" s="64">
        <f t="shared" si="137"/>
        <v>9</v>
      </c>
      <c r="Q32" s="64">
        <f>$A$32+2</f>
        <v>10</v>
      </c>
      <c r="R32" s="64">
        <f t="shared" ref="R32:W32" si="138">$A$32+2</f>
        <v>10</v>
      </c>
      <c r="S32" s="64">
        <f t="shared" si="138"/>
        <v>10</v>
      </c>
      <c r="T32" s="64">
        <f t="shared" si="138"/>
        <v>10</v>
      </c>
      <c r="U32" s="64">
        <f t="shared" si="138"/>
        <v>10</v>
      </c>
      <c r="V32" s="64">
        <f t="shared" si="138"/>
        <v>10</v>
      </c>
      <c r="W32" s="64">
        <f t="shared" si="138"/>
        <v>10</v>
      </c>
      <c r="X32" s="64">
        <f>$A$32+3</f>
        <v>11</v>
      </c>
      <c r="Y32" s="64">
        <f t="shared" ref="Y32:AD32" si="139">$A$32+3</f>
        <v>11</v>
      </c>
      <c r="Z32" s="64">
        <f t="shared" si="139"/>
        <v>11</v>
      </c>
      <c r="AA32" s="64">
        <f t="shared" si="139"/>
        <v>11</v>
      </c>
      <c r="AB32" s="64">
        <f t="shared" si="139"/>
        <v>11</v>
      </c>
      <c r="AC32" s="64">
        <f t="shared" si="139"/>
        <v>11</v>
      </c>
      <c r="AD32" s="64">
        <f t="shared" si="139"/>
        <v>11</v>
      </c>
      <c r="AE32" s="64">
        <f>$A$32+4</f>
        <v>12</v>
      </c>
      <c r="AF32" s="64">
        <f t="shared" ref="AF32:AL32" si="140">$A$32+4</f>
        <v>12</v>
      </c>
      <c r="AG32" s="64">
        <f t="shared" si="140"/>
        <v>12</v>
      </c>
      <c r="AH32" s="64">
        <f t="shared" si="140"/>
        <v>12</v>
      </c>
      <c r="AI32" s="64">
        <f t="shared" si="140"/>
        <v>12</v>
      </c>
      <c r="AJ32" s="64">
        <f t="shared" si="140"/>
        <v>12</v>
      </c>
      <c r="AK32" s="64">
        <f t="shared" si="140"/>
        <v>12</v>
      </c>
      <c r="AL32" s="64">
        <f t="shared" si="140"/>
        <v>12</v>
      </c>
      <c r="AM32" s="64">
        <f t="shared" ref="AM32:AR32" si="141">$A$32+3</f>
        <v>11</v>
      </c>
      <c r="AN32" s="64">
        <f t="shared" si="141"/>
        <v>11</v>
      </c>
      <c r="AO32" s="64">
        <f t="shared" si="141"/>
        <v>11</v>
      </c>
      <c r="AP32" s="64">
        <f t="shared" si="141"/>
        <v>11</v>
      </c>
      <c r="AQ32" s="64">
        <f>$A$32+4</f>
        <v>12</v>
      </c>
      <c r="AR32" s="64">
        <f t="shared" ref="AR32:AX32" si="142">$A$32+4</f>
        <v>12</v>
      </c>
      <c r="AS32" s="64">
        <f t="shared" si="142"/>
        <v>12</v>
      </c>
      <c r="AT32" s="64">
        <f t="shared" si="142"/>
        <v>12</v>
      </c>
      <c r="AU32" s="64">
        <f t="shared" si="142"/>
        <v>12</v>
      </c>
      <c r="AV32" s="64">
        <f t="shared" si="142"/>
        <v>12</v>
      </c>
      <c r="AW32" s="64">
        <f t="shared" si="142"/>
        <v>12</v>
      </c>
      <c r="AX32" s="64">
        <f t="shared" si="142"/>
        <v>12</v>
      </c>
    </row>
    <row r="33" spans="1:50" ht="18.75" x14ac:dyDescent="0.35">
      <c r="A33" s="99">
        <v>9</v>
      </c>
      <c r="B33" s="76" t="s">
        <v>47</v>
      </c>
      <c r="C33" s="64">
        <f>$A$33</f>
        <v>9</v>
      </c>
      <c r="D33" s="64">
        <f t="shared" ref="D33:N33" si="143">$A$33</f>
        <v>9</v>
      </c>
      <c r="E33" s="64">
        <f t="shared" si="143"/>
        <v>9</v>
      </c>
      <c r="F33" s="64">
        <f t="shared" si="143"/>
        <v>9</v>
      </c>
      <c r="G33" s="64">
        <f t="shared" si="143"/>
        <v>9</v>
      </c>
      <c r="H33" s="64">
        <f t="shared" si="143"/>
        <v>9</v>
      </c>
      <c r="I33" s="64">
        <f t="shared" si="143"/>
        <v>9</v>
      </c>
      <c r="J33" s="64">
        <f t="shared" si="143"/>
        <v>9</v>
      </c>
      <c r="K33" s="64">
        <f t="shared" si="143"/>
        <v>9</v>
      </c>
      <c r="L33" s="64">
        <f t="shared" si="143"/>
        <v>9</v>
      </c>
      <c r="M33" s="64">
        <f t="shared" si="143"/>
        <v>9</v>
      </c>
      <c r="N33" s="64">
        <f t="shared" si="143"/>
        <v>9</v>
      </c>
      <c r="O33" s="64">
        <f>$A$33*105%</f>
        <v>9.4500000000000011</v>
      </c>
      <c r="P33" s="64">
        <f t="shared" ref="P33:Z33" si="144">$A$33*105%</f>
        <v>9.4500000000000011</v>
      </c>
      <c r="Q33" s="64">
        <f t="shared" si="144"/>
        <v>9.4500000000000011</v>
      </c>
      <c r="R33" s="64">
        <f t="shared" si="144"/>
        <v>9.4500000000000011</v>
      </c>
      <c r="S33" s="64">
        <f t="shared" si="144"/>
        <v>9.4500000000000011</v>
      </c>
      <c r="T33" s="64">
        <f t="shared" si="144"/>
        <v>9.4500000000000011</v>
      </c>
      <c r="U33" s="64">
        <f t="shared" si="144"/>
        <v>9.4500000000000011</v>
      </c>
      <c r="V33" s="64">
        <f t="shared" si="144"/>
        <v>9.4500000000000011</v>
      </c>
      <c r="W33" s="64">
        <f t="shared" si="144"/>
        <v>9.4500000000000011</v>
      </c>
      <c r="X33" s="64">
        <f t="shared" si="144"/>
        <v>9.4500000000000011</v>
      </c>
      <c r="Y33" s="64">
        <f t="shared" si="144"/>
        <v>9.4500000000000011</v>
      </c>
      <c r="Z33" s="64">
        <f t="shared" si="144"/>
        <v>9.4500000000000011</v>
      </c>
      <c r="AA33" s="64">
        <f>$A$33*112%</f>
        <v>10.080000000000002</v>
      </c>
      <c r="AB33" s="64">
        <f t="shared" ref="AB33:CM33" si="145">$A$33*112%</f>
        <v>10.080000000000002</v>
      </c>
      <c r="AC33" s="64">
        <f t="shared" si="145"/>
        <v>10.080000000000002</v>
      </c>
      <c r="AD33" s="64">
        <f t="shared" si="145"/>
        <v>10.080000000000002</v>
      </c>
      <c r="AE33" s="64">
        <f t="shared" si="145"/>
        <v>10.080000000000002</v>
      </c>
      <c r="AF33" s="64">
        <f t="shared" si="145"/>
        <v>10.080000000000002</v>
      </c>
      <c r="AG33" s="64">
        <f t="shared" si="145"/>
        <v>10.080000000000002</v>
      </c>
      <c r="AH33" s="64">
        <f t="shared" si="145"/>
        <v>10.080000000000002</v>
      </c>
      <c r="AI33" s="64">
        <f t="shared" si="145"/>
        <v>10.080000000000002</v>
      </c>
      <c r="AJ33" s="64">
        <f t="shared" si="145"/>
        <v>10.080000000000002</v>
      </c>
      <c r="AK33" s="64">
        <f t="shared" si="145"/>
        <v>10.080000000000002</v>
      </c>
      <c r="AL33" s="64">
        <f t="shared" si="145"/>
        <v>10.080000000000002</v>
      </c>
      <c r="AM33" s="64">
        <f>$A$33*112%</f>
        <v>10.080000000000002</v>
      </c>
      <c r="AN33" s="64">
        <f t="shared" si="145"/>
        <v>10.080000000000002</v>
      </c>
      <c r="AO33" s="64">
        <f t="shared" si="145"/>
        <v>10.080000000000002</v>
      </c>
      <c r="AP33" s="64">
        <f t="shared" si="145"/>
        <v>10.080000000000002</v>
      </c>
      <c r="AQ33" s="64">
        <f t="shared" si="145"/>
        <v>10.080000000000002</v>
      </c>
      <c r="AR33" s="64">
        <f t="shared" si="145"/>
        <v>10.080000000000002</v>
      </c>
      <c r="AS33" s="64">
        <f t="shared" si="145"/>
        <v>10.080000000000002</v>
      </c>
      <c r="AT33" s="64">
        <f t="shared" si="145"/>
        <v>10.080000000000002</v>
      </c>
      <c r="AU33" s="64">
        <f t="shared" si="145"/>
        <v>10.080000000000002</v>
      </c>
      <c r="AV33" s="64">
        <f t="shared" si="145"/>
        <v>10.080000000000002</v>
      </c>
      <c r="AW33" s="64">
        <f t="shared" si="145"/>
        <v>10.080000000000002</v>
      </c>
      <c r="AX33" s="64">
        <f t="shared" si="145"/>
        <v>10.080000000000002</v>
      </c>
    </row>
    <row r="34" spans="1:50" ht="18" x14ac:dyDescent="0.35">
      <c r="A34" s="57"/>
      <c r="B34" s="57"/>
      <c r="C34" s="52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</row>
    <row r="35" spans="1:50" ht="26.45" customHeight="1" x14ac:dyDescent="0.35">
      <c r="A35" s="57"/>
      <c r="B35" s="49" t="s">
        <v>91</v>
      </c>
      <c r="C35" s="39">
        <f ca="1">SUM(C36:C41)</f>
        <v>194580.26360000001</v>
      </c>
      <c r="D35" s="39">
        <f t="shared" ref="D35:AL35" ca="1" si="146">SUM(D36:D41)</f>
        <v>183380.476612</v>
      </c>
      <c r="E35" s="39">
        <f t="shared" ca="1" si="146"/>
        <v>176975.12816894002</v>
      </c>
      <c r="F35" s="39">
        <f t="shared" ca="1" si="146"/>
        <v>173202.83024525282</v>
      </c>
      <c r="G35" s="39">
        <f t="shared" ca="1" si="146"/>
        <v>171132.98320360156</v>
      </c>
      <c r="H35" s="39">
        <f t="shared" ca="1" si="146"/>
        <v>170138.55378323214</v>
      </c>
      <c r="I35" s="39">
        <f t="shared" ca="1" si="146"/>
        <v>169792.51900280232</v>
      </c>
      <c r="J35" s="39">
        <f t="shared" ca="1" si="146"/>
        <v>170271.70980965553</v>
      </c>
      <c r="K35" s="39">
        <f t="shared" ca="1" si="146"/>
        <v>172689.06941631756</v>
      </c>
      <c r="L35" s="39">
        <f t="shared" ca="1" si="146"/>
        <v>178969.51083642768</v>
      </c>
      <c r="M35" s="39">
        <f t="shared" ca="1" si="146"/>
        <v>181042.35776277236</v>
      </c>
      <c r="N35" s="39">
        <f t="shared" ca="1" si="146"/>
        <v>183260.37540179159</v>
      </c>
      <c r="O35" s="39">
        <f t="shared" ca="1" si="146"/>
        <v>190723.43125625933</v>
      </c>
      <c r="P35" s="39">
        <f t="shared" ca="1" si="146"/>
        <v>193199.85570704215</v>
      </c>
      <c r="Q35" s="39">
        <f t="shared" ca="1" si="146"/>
        <v>200377.00191269463</v>
      </c>
      <c r="R35" s="39">
        <f t="shared" ca="1" si="146"/>
        <v>203006.19053058227</v>
      </c>
      <c r="S35" s="39">
        <f t="shared" ca="1" si="146"/>
        <v>205701.96557786956</v>
      </c>
      <c r="T35" s="39">
        <f t="shared" ca="1" si="146"/>
        <v>208461.03790632065</v>
      </c>
      <c r="U35" s="39">
        <f t="shared" ca="1" si="146"/>
        <v>211565.23660038685</v>
      </c>
      <c r="V35" s="39">
        <f t="shared" ca="1" si="146"/>
        <v>214735.73074947423</v>
      </c>
      <c r="W35" s="39">
        <f t="shared" ca="1" si="146"/>
        <v>217972.45647390705</v>
      </c>
      <c r="X35" s="39">
        <f t="shared" ca="1" si="146"/>
        <v>225895.80724671227</v>
      </c>
      <c r="Y35" s="39">
        <f t="shared" ca="1" si="146"/>
        <v>229266.49169267563</v>
      </c>
      <c r="Z35" s="39">
        <f t="shared" ca="1" si="146"/>
        <v>232705.43848821864</v>
      </c>
      <c r="AA35" s="39">
        <f t="shared" ca="1" si="146"/>
        <v>243485.15242457722</v>
      </c>
      <c r="AB35" s="39">
        <f t="shared" ca="1" si="146"/>
        <v>247155.19200117121</v>
      </c>
      <c r="AC35" s="39">
        <f t="shared" ca="1" si="146"/>
        <v>250898.88761502324</v>
      </c>
      <c r="AD35" s="39">
        <f t="shared" ca="1" si="146"/>
        <v>254717.62815578893</v>
      </c>
      <c r="AE35" s="39">
        <f t="shared" ca="1" si="146"/>
        <v>263452.85808717634</v>
      </c>
      <c r="AF35" s="39">
        <f t="shared" ca="1" si="146"/>
        <v>267426.06938566186</v>
      </c>
      <c r="AG35" s="39">
        <f t="shared" ca="1" si="146"/>
        <v>271478.79634499224</v>
      </c>
      <c r="AH35" s="39">
        <f t="shared" ca="1" si="146"/>
        <v>275612.61230487563</v>
      </c>
      <c r="AI35" s="39">
        <f t="shared" ca="1" si="146"/>
        <v>279829.12767307204</v>
      </c>
      <c r="AJ35" s="39">
        <f t="shared" ca="1" si="146"/>
        <v>284129.98881833977</v>
      </c>
      <c r="AK35" s="39">
        <f t="shared" ca="1" si="146"/>
        <v>288516.87755121681</v>
      </c>
      <c r="AL35" s="39">
        <f t="shared" ca="1" si="146"/>
        <v>292991.51100310299</v>
      </c>
      <c r="AM35" s="39">
        <f t="shared" ref="AM35:AX35" ca="1" si="147">SUM(AM36:AM41)</f>
        <v>292715.64177674253</v>
      </c>
      <c r="AN35" s="39">
        <f t="shared" ca="1" si="147"/>
        <v>297371.05828317424</v>
      </c>
      <c r="AO35" s="39">
        <f t="shared" ca="1" si="147"/>
        <v>302119.58520833863</v>
      </c>
      <c r="AP35" s="39">
        <f t="shared" ca="1" si="147"/>
        <v>306963.08407137101</v>
      </c>
      <c r="AQ35" s="39">
        <f t="shared" ca="1" si="147"/>
        <v>316743.45384923846</v>
      </c>
      <c r="AR35" s="39">
        <f t="shared" ca="1" si="147"/>
        <v>321782.63165083795</v>
      </c>
      <c r="AS35" s="39">
        <f t="shared" ca="1" si="147"/>
        <v>326922.59342934657</v>
      </c>
      <c r="AT35" s="39">
        <f t="shared" ca="1" si="147"/>
        <v>332165.35472541308</v>
      </c>
      <c r="AU35" s="39">
        <f t="shared" ca="1" si="147"/>
        <v>337512.97143633256</v>
      </c>
      <c r="AV35" s="39">
        <f t="shared" ca="1" si="147"/>
        <v>342967.54060805484</v>
      </c>
      <c r="AW35" s="39">
        <f t="shared" ca="1" si="147"/>
        <v>348531.20124802296</v>
      </c>
      <c r="AX35" s="39">
        <f t="shared" ca="1" si="147"/>
        <v>354206.13515761413</v>
      </c>
    </row>
    <row r="36" spans="1:50" ht="18.75" x14ac:dyDescent="0.35">
      <c r="A36" s="68">
        <v>5300</v>
      </c>
      <c r="B36" s="51" t="s">
        <v>95</v>
      </c>
      <c r="C36" s="47">
        <f>$A$36</f>
        <v>5300</v>
      </c>
      <c r="D36" s="47">
        <f t="shared" ref="D36:M36" si="148">$A$36</f>
        <v>5300</v>
      </c>
      <c r="E36" s="47">
        <f t="shared" si="148"/>
        <v>5300</v>
      </c>
      <c r="F36" s="47">
        <f t="shared" si="148"/>
        <v>5300</v>
      </c>
      <c r="G36" s="47">
        <f t="shared" si="148"/>
        <v>5300</v>
      </c>
      <c r="H36" s="47">
        <f t="shared" si="148"/>
        <v>5300</v>
      </c>
      <c r="I36" s="47">
        <f t="shared" si="148"/>
        <v>5300</v>
      </c>
      <c r="J36" s="47">
        <f t="shared" si="148"/>
        <v>5300</v>
      </c>
      <c r="K36" s="47">
        <f t="shared" si="148"/>
        <v>5300</v>
      </c>
      <c r="L36" s="47">
        <f t="shared" si="148"/>
        <v>5300</v>
      </c>
      <c r="M36" s="47">
        <f t="shared" si="148"/>
        <v>5300</v>
      </c>
      <c r="N36" s="47">
        <f>$A$36</f>
        <v>5300</v>
      </c>
      <c r="O36" s="47">
        <f>$A$36*110%</f>
        <v>5830.0000000000009</v>
      </c>
      <c r="P36" s="47">
        <f t="shared" ref="P36:Z36" si="149">$A$36*110%</f>
        <v>5830.0000000000009</v>
      </c>
      <c r="Q36" s="47">
        <f t="shared" si="149"/>
        <v>5830.0000000000009</v>
      </c>
      <c r="R36" s="47">
        <f t="shared" si="149"/>
        <v>5830.0000000000009</v>
      </c>
      <c r="S36" s="47">
        <f t="shared" si="149"/>
        <v>5830.0000000000009</v>
      </c>
      <c r="T36" s="47">
        <f t="shared" si="149"/>
        <v>5830.0000000000009</v>
      </c>
      <c r="U36" s="47">
        <f t="shared" si="149"/>
        <v>5830.0000000000009</v>
      </c>
      <c r="V36" s="47">
        <f t="shared" si="149"/>
        <v>5830.0000000000009</v>
      </c>
      <c r="W36" s="47">
        <f t="shared" si="149"/>
        <v>5830.0000000000009</v>
      </c>
      <c r="X36" s="47">
        <f t="shared" si="149"/>
        <v>5830.0000000000009</v>
      </c>
      <c r="Y36" s="47">
        <f t="shared" si="149"/>
        <v>5830.0000000000009</v>
      </c>
      <c r="Z36" s="47">
        <f t="shared" si="149"/>
        <v>5830.0000000000009</v>
      </c>
      <c r="AA36" s="47">
        <f>$A$36*115%</f>
        <v>6094.9999999999991</v>
      </c>
      <c r="AB36" s="47">
        <f t="shared" ref="AB36:CM36" si="150">$A$36*115%</f>
        <v>6094.9999999999991</v>
      </c>
      <c r="AC36" s="47">
        <f t="shared" si="150"/>
        <v>6094.9999999999991</v>
      </c>
      <c r="AD36" s="47">
        <f t="shared" si="150"/>
        <v>6094.9999999999991</v>
      </c>
      <c r="AE36" s="47">
        <f t="shared" si="150"/>
        <v>6094.9999999999991</v>
      </c>
      <c r="AF36" s="47">
        <f t="shared" si="150"/>
        <v>6094.9999999999991</v>
      </c>
      <c r="AG36" s="47">
        <f t="shared" si="150"/>
        <v>6094.9999999999991</v>
      </c>
      <c r="AH36" s="47">
        <f t="shared" si="150"/>
        <v>6094.9999999999991</v>
      </c>
      <c r="AI36" s="47">
        <f t="shared" si="150"/>
        <v>6094.9999999999991</v>
      </c>
      <c r="AJ36" s="47">
        <f t="shared" si="150"/>
        <v>6094.9999999999991</v>
      </c>
      <c r="AK36" s="47">
        <f t="shared" si="150"/>
        <v>6094.9999999999991</v>
      </c>
      <c r="AL36" s="47">
        <f t="shared" si="150"/>
        <v>6094.9999999999991</v>
      </c>
      <c r="AM36" s="47">
        <f>$A$36*115%</f>
        <v>6094.9999999999991</v>
      </c>
      <c r="AN36" s="47">
        <f t="shared" si="150"/>
        <v>6094.9999999999991</v>
      </c>
      <c r="AO36" s="47">
        <f t="shared" si="150"/>
        <v>6094.9999999999991</v>
      </c>
      <c r="AP36" s="47">
        <f t="shared" si="150"/>
        <v>6094.9999999999991</v>
      </c>
      <c r="AQ36" s="47">
        <f t="shared" si="150"/>
        <v>6094.9999999999991</v>
      </c>
      <c r="AR36" s="47">
        <f t="shared" si="150"/>
        <v>6094.9999999999991</v>
      </c>
      <c r="AS36" s="47">
        <f t="shared" si="150"/>
        <v>6094.9999999999991</v>
      </c>
      <c r="AT36" s="47">
        <f t="shared" si="150"/>
        <v>6094.9999999999991</v>
      </c>
      <c r="AU36" s="47">
        <f t="shared" si="150"/>
        <v>6094.9999999999991</v>
      </c>
      <c r="AV36" s="47">
        <f t="shared" si="150"/>
        <v>6094.9999999999991</v>
      </c>
      <c r="AW36" s="47">
        <f t="shared" si="150"/>
        <v>6094.9999999999991</v>
      </c>
      <c r="AX36" s="47">
        <f t="shared" si="150"/>
        <v>6094.9999999999991</v>
      </c>
    </row>
    <row r="37" spans="1:50" ht="18.75" x14ac:dyDescent="0.35">
      <c r="A37" s="68">
        <v>4000</v>
      </c>
      <c r="B37" s="51" t="s">
        <v>119</v>
      </c>
      <c r="C37" s="47">
        <f>$A$37*C32</f>
        <v>32000</v>
      </c>
      <c r="D37" s="47">
        <f t="shared" ref="D37:N37" si="151">$A$37*D32</f>
        <v>32000</v>
      </c>
      <c r="E37" s="47">
        <f t="shared" si="151"/>
        <v>32000</v>
      </c>
      <c r="F37" s="47">
        <f t="shared" si="151"/>
        <v>32000</v>
      </c>
      <c r="G37" s="47">
        <f t="shared" si="151"/>
        <v>32000</v>
      </c>
      <c r="H37" s="47">
        <f t="shared" si="151"/>
        <v>32000</v>
      </c>
      <c r="I37" s="47">
        <f t="shared" si="151"/>
        <v>32000</v>
      </c>
      <c r="J37" s="47">
        <f t="shared" si="151"/>
        <v>32000</v>
      </c>
      <c r="K37" s="47">
        <f t="shared" si="151"/>
        <v>32000</v>
      </c>
      <c r="L37" s="47">
        <f t="shared" si="151"/>
        <v>36000</v>
      </c>
      <c r="M37" s="47">
        <f t="shared" si="151"/>
        <v>36000</v>
      </c>
      <c r="N37" s="47">
        <f t="shared" si="151"/>
        <v>36000</v>
      </c>
      <c r="O37" s="47">
        <f>$A$37*O32*105%</f>
        <v>37800</v>
      </c>
      <c r="P37" s="47">
        <f t="shared" ref="P37:Z37" si="152">$A$37*P32*105%</f>
        <v>37800</v>
      </c>
      <c r="Q37" s="47">
        <f t="shared" si="152"/>
        <v>42000</v>
      </c>
      <c r="R37" s="47">
        <f t="shared" si="152"/>
        <v>42000</v>
      </c>
      <c r="S37" s="47">
        <f t="shared" si="152"/>
        <v>42000</v>
      </c>
      <c r="T37" s="47">
        <f t="shared" si="152"/>
        <v>42000</v>
      </c>
      <c r="U37" s="47">
        <f t="shared" si="152"/>
        <v>42000</v>
      </c>
      <c r="V37" s="47">
        <f t="shared" si="152"/>
        <v>42000</v>
      </c>
      <c r="W37" s="47">
        <f t="shared" si="152"/>
        <v>42000</v>
      </c>
      <c r="X37" s="47">
        <f t="shared" si="152"/>
        <v>46200</v>
      </c>
      <c r="Y37" s="47">
        <f t="shared" si="152"/>
        <v>46200</v>
      </c>
      <c r="Z37" s="47">
        <f t="shared" si="152"/>
        <v>46200</v>
      </c>
      <c r="AA37" s="47">
        <f>$A$37*AA32*110%</f>
        <v>48400.000000000007</v>
      </c>
      <c r="AB37" s="47">
        <f t="shared" ref="AB37:AM37" si="153">$A$37*AB32*110%</f>
        <v>48400.000000000007</v>
      </c>
      <c r="AC37" s="47">
        <f t="shared" si="153"/>
        <v>48400.000000000007</v>
      </c>
      <c r="AD37" s="47">
        <f t="shared" si="153"/>
        <v>48400.000000000007</v>
      </c>
      <c r="AE37" s="47">
        <f t="shared" si="153"/>
        <v>52800.000000000007</v>
      </c>
      <c r="AF37" s="47">
        <f t="shared" si="153"/>
        <v>52800.000000000007</v>
      </c>
      <c r="AG37" s="47">
        <f t="shared" si="153"/>
        <v>52800.000000000007</v>
      </c>
      <c r="AH37" s="47">
        <f t="shared" si="153"/>
        <v>52800.000000000007</v>
      </c>
      <c r="AI37" s="47">
        <f t="shared" si="153"/>
        <v>52800.000000000007</v>
      </c>
      <c r="AJ37" s="47">
        <f t="shared" si="153"/>
        <v>52800.000000000007</v>
      </c>
      <c r="AK37" s="47">
        <f t="shared" si="153"/>
        <v>52800.000000000007</v>
      </c>
      <c r="AL37" s="47">
        <f t="shared" si="153"/>
        <v>52800.000000000007</v>
      </c>
      <c r="AM37" s="47">
        <f>$A$37*AM32*110%</f>
        <v>48400.000000000007</v>
      </c>
      <c r="AN37" s="47">
        <f t="shared" ref="AN37:AX37" si="154">$A$37*AN32*110%</f>
        <v>48400.000000000007</v>
      </c>
      <c r="AO37" s="47">
        <f t="shared" si="154"/>
        <v>48400.000000000007</v>
      </c>
      <c r="AP37" s="47">
        <f t="shared" si="154"/>
        <v>48400.000000000007</v>
      </c>
      <c r="AQ37" s="47">
        <f t="shared" si="154"/>
        <v>52800.000000000007</v>
      </c>
      <c r="AR37" s="47">
        <f t="shared" si="154"/>
        <v>52800.000000000007</v>
      </c>
      <c r="AS37" s="47">
        <f t="shared" si="154"/>
        <v>52800.000000000007</v>
      </c>
      <c r="AT37" s="47">
        <f t="shared" si="154"/>
        <v>52800.000000000007</v>
      </c>
      <c r="AU37" s="47">
        <f t="shared" si="154"/>
        <v>52800.000000000007</v>
      </c>
      <c r="AV37" s="47">
        <f t="shared" si="154"/>
        <v>52800.000000000007</v>
      </c>
      <c r="AW37" s="47">
        <f t="shared" si="154"/>
        <v>52800.000000000007</v>
      </c>
      <c r="AX37" s="47">
        <f t="shared" si="154"/>
        <v>52800.000000000007</v>
      </c>
    </row>
    <row r="38" spans="1:50" ht="18.75" x14ac:dyDescent="0.35">
      <c r="A38" s="56"/>
      <c r="B38" s="51" t="s">
        <v>94</v>
      </c>
      <c r="C38" s="47">
        <f>C14*C33</f>
        <v>40500</v>
      </c>
      <c r="D38" s="47">
        <f t="shared" ref="D38:AL38" si="155">D14*D33</f>
        <v>41310</v>
      </c>
      <c r="E38" s="47">
        <f t="shared" si="155"/>
        <v>42136.200000000004</v>
      </c>
      <c r="F38" s="47">
        <f t="shared" si="155"/>
        <v>42978.924000000006</v>
      </c>
      <c r="G38" s="47">
        <f t="shared" si="155"/>
        <v>43838.502480000003</v>
      </c>
      <c r="H38" s="47">
        <f t="shared" si="155"/>
        <v>44715.272529599999</v>
      </c>
      <c r="I38" s="47">
        <f t="shared" si="155"/>
        <v>45609.577980192</v>
      </c>
      <c r="J38" s="47">
        <f t="shared" si="155"/>
        <v>46521.769539795845</v>
      </c>
      <c r="K38" s="47">
        <f t="shared" si="155"/>
        <v>47452.204930591761</v>
      </c>
      <c r="L38" s="47">
        <f t="shared" si="155"/>
        <v>48401.249029203595</v>
      </c>
      <c r="M38" s="47">
        <f t="shared" si="155"/>
        <v>49369.274009787674</v>
      </c>
      <c r="N38" s="47">
        <f t="shared" si="155"/>
        <v>50356.659489983431</v>
      </c>
      <c r="O38" s="47">
        <f t="shared" si="155"/>
        <v>53931.982313772263</v>
      </c>
      <c r="P38" s="47">
        <f t="shared" si="155"/>
        <v>55010.621960047705</v>
      </c>
      <c r="Q38" s="47">
        <f t="shared" si="155"/>
        <v>56110.834399248663</v>
      </c>
      <c r="R38" s="47">
        <f t="shared" si="155"/>
        <v>57233.051087233631</v>
      </c>
      <c r="S38" s="47">
        <f t="shared" si="155"/>
        <v>58377.712108978303</v>
      </c>
      <c r="T38" s="47">
        <f t="shared" si="155"/>
        <v>59545.266351157872</v>
      </c>
      <c r="U38" s="47">
        <f t="shared" si="155"/>
        <v>60736.171678181032</v>
      </c>
      <c r="V38" s="47">
        <f t="shared" si="155"/>
        <v>61950.895111744656</v>
      </c>
      <c r="W38" s="47">
        <f t="shared" si="155"/>
        <v>63189.913013979545</v>
      </c>
      <c r="X38" s="47">
        <f t="shared" si="155"/>
        <v>64453.711274259134</v>
      </c>
      <c r="Y38" s="47">
        <f t="shared" si="155"/>
        <v>65742.785499744321</v>
      </c>
      <c r="Z38" s="47">
        <f t="shared" si="155"/>
        <v>67057.641209739202</v>
      </c>
      <c r="AA38" s="47">
        <f t="shared" si="155"/>
        <v>72958.713636196248</v>
      </c>
      <c r="AB38" s="47">
        <f t="shared" si="155"/>
        <v>74417.887908920166</v>
      </c>
      <c r="AC38" s="47">
        <f t="shared" si="155"/>
        <v>75906.24566709857</v>
      </c>
      <c r="AD38" s="47">
        <f t="shared" si="155"/>
        <v>77424.370580440547</v>
      </c>
      <c r="AE38" s="47">
        <f t="shared" si="155"/>
        <v>78972.85799204935</v>
      </c>
      <c r="AF38" s="47">
        <f t="shared" si="155"/>
        <v>80552.315151890332</v>
      </c>
      <c r="AG38" s="47">
        <f t="shared" si="155"/>
        <v>82163.361454928148</v>
      </c>
      <c r="AH38" s="47">
        <f t="shared" si="155"/>
        <v>83806.628684026713</v>
      </c>
      <c r="AI38" s="47">
        <f t="shared" si="155"/>
        <v>85482.761257707243</v>
      </c>
      <c r="AJ38" s="47">
        <f t="shared" si="155"/>
        <v>87192.416482861387</v>
      </c>
      <c r="AK38" s="47">
        <f t="shared" si="155"/>
        <v>88936.264812518624</v>
      </c>
      <c r="AL38" s="47">
        <f t="shared" si="155"/>
        <v>90714.990108768994</v>
      </c>
      <c r="AM38" s="47">
        <f t="shared" ref="AM38:AX38" si="156">AM14*AM33</f>
        <v>92529.289910944382</v>
      </c>
      <c r="AN38" s="47">
        <f t="shared" si="156"/>
        <v>94379.875709163258</v>
      </c>
      <c r="AO38" s="47">
        <f t="shared" si="156"/>
        <v>96267.473223346533</v>
      </c>
      <c r="AP38" s="47">
        <f t="shared" si="156"/>
        <v>98192.822687813445</v>
      </c>
      <c r="AQ38" s="47">
        <f t="shared" si="156"/>
        <v>100156.67914156972</v>
      </c>
      <c r="AR38" s="47">
        <f t="shared" si="156"/>
        <v>102159.81272440111</v>
      </c>
      <c r="AS38" s="47">
        <f t="shared" si="156"/>
        <v>104203.00897888913</v>
      </c>
      <c r="AT38" s="47">
        <f t="shared" si="156"/>
        <v>106287.06915846693</v>
      </c>
      <c r="AU38" s="47">
        <f t="shared" si="156"/>
        <v>108412.81054163625</v>
      </c>
      <c r="AV38" s="47">
        <f t="shared" si="156"/>
        <v>110581.06675246898</v>
      </c>
      <c r="AW38" s="47">
        <f t="shared" si="156"/>
        <v>112792.68808751836</v>
      </c>
      <c r="AX38" s="47">
        <f t="shared" si="156"/>
        <v>115048.54184926872</v>
      </c>
    </row>
    <row r="39" spans="1:50" ht="18.75" x14ac:dyDescent="0.35">
      <c r="A39" s="56"/>
      <c r="B39" s="51" t="s">
        <v>121</v>
      </c>
      <c r="C39" s="47">
        <f>C13*C28</f>
        <v>19473.080999999998</v>
      </c>
      <c r="D39" s="47">
        <f t="shared" ref="D39:AL39" si="157">D13*D28</f>
        <v>17407.46427</v>
      </c>
      <c r="E39" s="47">
        <f t="shared" si="157"/>
        <v>15262.778899799998</v>
      </c>
      <c r="F39" s="47">
        <f t="shared" si="157"/>
        <v>13717.067914928999</v>
      </c>
      <c r="G39" s="47">
        <f t="shared" si="157"/>
        <v>12546.577425884636</v>
      </c>
      <c r="H39" s="47">
        <f t="shared" si="157"/>
        <v>11607.091656433786</v>
      </c>
      <c r="I39" s="47">
        <f t="shared" si="157"/>
        <v>10805.712936504859</v>
      </c>
      <c r="J39" s="47">
        <f t="shared" si="157"/>
        <v>10082.602697656808</v>
      </c>
      <c r="K39" s="47">
        <f t="shared" si="157"/>
        <v>9399.182304795404</v>
      </c>
      <c r="L39" s="47">
        <f t="shared" si="157"/>
        <v>9524.2020794931595</v>
      </c>
      <c r="M39" s="47">
        <f t="shared" si="157"/>
        <v>9672.50032724626</v>
      </c>
      <c r="N39" s="47">
        <f t="shared" si="157"/>
        <v>9837.6858519205543</v>
      </c>
      <c r="O39" s="47">
        <f t="shared" si="157"/>
        <v>10015.50236610564</v>
      </c>
      <c r="P39" s="47">
        <f t="shared" si="157"/>
        <v>10203.124487516028</v>
      </c>
      <c r="Q39" s="47">
        <f t="shared" si="157"/>
        <v>10398.686066905493</v>
      </c>
      <c r="R39" s="47">
        <f t="shared" si="157"/>
        <v>10600.964178301827</v>
      </c>
      <c r="S39" s="47">
        <f t="shared" si="157"/>
        <v>10809.167403206877</v>
      </c>
      <c r="T39" s="47">
        <f t="shared" si="157"/>
        <v>11022.79399196815</v>
      </c>
      <c r="U39" s="47">
        <f t="shared" si="157"/>
        <v>11241.536843074597</v>
      </c>
      <c r="V39" s="47">
        <f t="shared" si="157"/>
        <v>11465.219850685035</v>
      </c>
      <c r="W39" s="47">
        <f t="shared" si="157"/>
        <v>11693.755269100528</v>
      </c>
      <c r="X39" s="47">
        <f t="shared" si="157"/>
        <v>11927.11515882174</v>
      </c>
      <c r="Y39" s="47">
        <f t="shared" si="157"/>
        <v>12165.31226750544</v>
      </c>
      <c r="Z39" s="47">
        <f t="shared" si="157"/>
        <v>12408.387232545418</v>
      </c>
      <c r="AA39" s="47">
        <f t="shared" si="157"/>
        <v>12656.400019388535</v>
      </c>
      <c r="AB39" s="47">
        <f t="shared" si="157"/>
        <v>12909.424198045088</v>
      </c>
      <c r="AC39" s="47">
        <f t="shared" si="157"/>
        <v>13167.543121446071</v>
      </c>
      <c r="AD39" s="47">
        <f t="shared" si="157"/>
        <v>13430.847378299848</v>
      </c>
      <c r="AE39" s="47">
        <f t="shared" si="157"/>
        <v>13699.4331001305</v>
      </c>
      <c r="AF39" s="47">
        <f t="shared" si="157"/>
        <v>13973.400840890428</v>
      </c>
      <c r="AG39" s="47">
        <f t="shared" si="157"/>
        <v>14252.854840475638</v>
      </c>
      <c r="AH39" s="47">
        <f t="shared" si="157"/>
        <v>14537.902545739311</v>
      </c>
      <c r="AI39" s="47">
        <f t="shared" si="157"/>
        <v>14828.654304318383</v>
      </c>
      <c r="AJ39" s="47">
        <f t="shared" si="157"/>
        <v>15125.223174539822</v>
      </c>
      <c r="AK39" s="47">
        <f t="shared" si="157"/>
        <v>15427.724813401119</v>
      </c>
      <c r="AL39" s="47">
        <f t="shared" si="157"/>
        <v>15736.277417167377</v>
      </c>
      <c r="AM39" s="47">
        <f t="shared" ref="AM39:AX39" si="158">AM13*AM28</f>
        <v>16051.001697534542</v>
      </c>
      <c r="AN39" s="47">
        <f t="shared" si="158"/>
        <v>16372.020881941193</v>
      </c>
      <c r="AO39" s="47">
        <f t="shared" si="158"/>
        <v>16699.460730385508</v>
      </c>
      <c r="AP39" s="47">
        <f t="shared" si="158"/>
        <v>17033.449563632897</v>
      </c>
      <c r="AQ39" s="47">
        <f t="shared" si="158"/>
        <v>17374.11829939414</v>
      </c>
      <c r="AR39" s="47">
        <f t="shared" si="158"/>
        <v>17721.600494189373</v>
      </c>
      <c r="AS39" s="47">
        <f t="shared" si="158"/>
        <v>18076.032389374086</v>
      </c>
      <c r="AT39" s="47">
        <f t="shared" si="158"/>
        <v>18437.552960313187</v>
      </c>
      <c r="AU39" s="47">
        <f t="shared" si="158"/>
        <v>18806.303968031032</v>
      </c>
      <c r="AV39" s="47">
        <f t="shared" si="158"/>
        <v>19182.430012894416</v>
      </c>
      <c r="AW39" s="47">
        <f t="shared" si="158"/>
        <v>19566.078590039157</v>
      </c>
      <c r="AX39" s="47">
        <f t="shared" si="158"/>
        <v>19957.400146354128</v>
      </c>
    </row>
    <row r="40" spans="1:50" ht="18.75" x14ac:dyDescent="0.35">
      <c r="A40" s="79">
        <v>2.25</v>
      </c>
      <c r="B40" s="51" t="s">
        <v>120</v>
      </c>
      <c r="C40" s="47">
        <f ca="1">C21*$A$40 + C29*C31</f>
        <v>93577.1826</v>
      </c>
      <c r="D40" s="47">
        <f t="shared" ref="D40:AL40" ca="1" si="159">D21*$A$40 + D29*D31</f>
        <v>83633.012342000002</v>
      </c>
      <c r="E40" s="47">
        <f t="shared" ca="1" si="159"/>
        <v>78546.149269139991</v>
      </c>
      <c r="F40" s="47">
        <f t="shared" ca="1" si="159"/>
        <v>75476.838330323808</v>
      </c>
      <c r="G40" s="47">
        <f t="shared" ca="1" si="159"/>
        <v>73717.903297716941</v>
      </c>
      <c r="H40" s="47">
        <f t="shared" ca="1" si="159"/>
        <v>72786.189597198361</v>
      </c>
      <c r="I40" s="47">
        <f t="shared" ca="1" si="159"/>
        <v>72347.228086105461</v>
      </c>
      <c r="J40" s="47">
        <f t="shared" ca="1" si="159"/>
        <v>72637.337572202872</v>
      </c>
      <c r="K40" s="47">
        <f t="shared" ca="1" si="159"/>
        <v>74807.682180930395</v>
      </c>
      <c r="L40" s="47">
        <f t="shared" ca="1" si="159"/>
        <v>75614.059727730913</v>
      </c>
      <c r="M40" s="47">
        <f t="shared" ca="1" si="159"/>
        <v>76570.583425738427</v>
      </c>
      <c r="N40" s="47">
        <f t="shared" ca="1" si="159"/>
        <v>77636.03005988762</v>
      </c>
      <c r="O40" s="47">
        <f t="shared" ca="1" si="159"/>
        <v>78782.946576381437</v>
      </c>
      <c r="P40" s="47">
        <f t="shared" ca="1" si="159"/>
        <v>79993.109259478428</v>
      </c>
      <c r="Q40" s="47">
        <f t="shared" ca="1" si="159"/>
        <v>81254.481446540478</v>
      </c>
      <c r="R40" s="47">
        <f t="shared" ca="1" si="159"/>
        <v>82559.175265046826</v>
      </c>
      <c r="S40" s="47">
        <f t="shared" ca="1" si="159"/>
        <v>83902.086065684387</v>
      </c>
      <c r="T40" s="47">
        <f t="shared" ca="1" si="159"/>
        <v>85279.97756319461</v>
      </c>
      <c r="U40" s="47">
        <f t="shared" ca="1" si="159"/>
        <v>86974.528079131196</v>
      </c>
      <c r="V40" s="47">
        <f t="shared" ca="1" si="159"/>
        <v>88706.615787044531</v>
      </c>
      <c r="W40" s="47">
        <f t="shared" ca="1" si="159"/>
        <v>90475.788190826977</v>
      </c>
      <c r="X40" s="47">
        <f t="shared" ca="1" si="159"/>
        <v>92281.980813631366</v>
      </c>
      <c r="Y40" s="47">
        <f t="shared" ca="1" si="159"/>
        <v>94125.393925425858</v>
      </c>
      <c r="Z40" s="47">
        <f t="shared" ca="1" si="159"/>
        <v>96006.410045934012</v>
      </c>
      <c r="AA40" s="47">
        <f t="shared" ca="1" si="159"/>
        <v>97925.538768992454</v>
      </c>
      <c r="AB40" s="47">
        <f t="shared" ca="1" si="159"/>
        <v>99883.379894205951</v>
      </c>
      <c r="AC40" s="47">
        <f t="shared" ca="1" si="159"/>
        <v>101880.5988264786</v>
      </c>
      <c r="AD40" s="47">
        <f t="shared" ca="1" si="159"/>
        <v>103917.91019704851</v>
      </c>
      <c r="AE40" s="47">
        <f t="shared" ca="1" si="159"/>
        <v>105996.06699499648</v>
      </c>
      <c r="AF40" s="47">
        <f t="shared" ca="1" si="159"/>
        <v>108115.85339288111</v>
      </c>
      <c r="AG40" s="47">
        <f t="shared" ca="1" si="159"/>
        <v>110278.08004958848</v>
      </c>
      <c r="AH40" s="47">
        <f t="shared" ca="1" si="159"/>
        <v>112483.58107510957</v>
      </c>
      <c r="AI40" s="47">
        <f t="shared" ca="1" si="159"/>
        <v>114733.21211104642</v>
      </c>
      <c r="AJ40" s="47">
        <f t="shared" ca="1" si="159"/>
        <v>117027.84916093854</v>
      </c>
      <c r="AK40" s="47">
        <f t="shared" ca="1" si="159"/>
        <v>119368.38792529705</v>
      </c>
      <c r="AL40" s="47">
        <f t="shared" ca="1" si="159"/>
        <v>121755.7434771666</v>
      </c>
      <c r="AM40" s="47">
        <f t="shared" ref="AM40:AX40" ca="1" si="160">AM21*$A$40 + AM29*AM31</f>
        <v>124190.85016826357</v>
      </c>
      <c r="AN40" s="47">
        <f t="shared" ca="1" si="160"/>
        <v>126674.66169206979</v>
      </c>
      <c r="AO40" s="47">
        <f t="shared" ca="1" si="160"/>
        <v>129208.15125460659</v>
      </c>
      <c r="AP40" s="47">
        <f t="shared" ca="1" si="160"/>
        <v>131792.31181992465</v>
      </c>
      <c r="AQ40" s="47">
        <f t="shared" ca="1" si="160"/>
        <v>134428.15640827455</v>
      </c>
      <c r="AR40" s="47">
        <f t="shared" ca="1" si="160"/>
        <v>137116.71843224743</v>
      </c>
      <c r="AS40" s="47">
        <f t="shared" ca="1" si="160"/>
        <v>139859.05206108335</v>
      </c>
      <c r="AT40" s="47">
        <f t="shared" ca="1" si="160"/>
        <v>142656.23260663296</v>
      </c>
      <c r="AU40" s="47">
        <f t="shared" ca="1" si="160"/>
        <v>145509.35692666532</v>
      </c>
      <c r="AV40" s="47">
        <f t="shared" ca="1" si="160"/>
        <v>148419.54384269146</v>
      </c>
      <c r="AW40" s="47">
        <f t="shared" ca="1" si="160"/>
        <v>151387.93457046547</v>
      </c>
      <c r="AX40" s="47">
        <f t="shared" ca="1" si="160"/>
        <v>154415.69316199128</v>
      </c>
    </row>
    <row r="41" spans="1:50" ht="18.75" x14ac:dyDescent="0.35">
      <c r="A41" s="56"/>
      <c r="B41" s="51" t="s">
        <v>96</v>
      </c>
      <c r="C41" s="47">
        <f>SUM(C36:C37)*10%</f>
        <v>3730</v>
      </c>
      <c r="D41" s="47">
        <f t="shared" ref="D41:AL41" si="161">SUM(D36:D37)*10%</f>
        <v>3730</v>
      </c>
      <c r="E41" s="47">
        <f t="shared" si="161"/>
        <v>3730</v>
      </c>
      <c r="F41" s="47">
        <f t="shared" si="161"/>
        <v>3730</v>
      </c>
      <c r="G41" s="47">
        <f t="shared" si="161"/>
        <v>3730</v>
      </c>
      <c r="H41" s="47">
        <f t="shared" si="161"/>
        <v>3730</v>
      </c>
      <c r="I41" s="47">
        <f t="shared" si="161"/>
        <v>3730</v>
      </c>
      <c r="J41" s="47">
        <f t="shared" si="161"/>
        <v>3730</v>
      </c>
      <c r="K41" s="47">
        <f t="shared" si="161"/>
        <v>3730</v>
      </c>
      <c r="L41" s="47">
        <f t="shared" si="161"/>
        <v>4130</v>
      </c>
      <c r="M41" s="47">
        <f t="shared" si="161"/>
        <v>4130</v>
      </c>
      <c r="N41" s="47">
        <f t="shared" si="161"/>
        <v>4130</v>
      </c>
      <c r="O41" s="47">
        <f t="shared" si="161"/>
        <v>4363</v>
      </c>
      <c r="P41" s="47">
        <f t="shared" si="161"/>
        <v>4363</v>
      </c>
      <c r="Q41" s="47">
        <f t="shared" si="161"/>
        <v>4783</v>
      </c>
      <c r="R41" s="47">
        <f t="shared" si="161"/>
        <v>4783</v>
      </c>
      <c r="S41" s="47">
        <f t="shared" si="161"/>
        <v>4783</v>
      </c>
      <c r="T41" s="47">
        <f t="shared" si="161"/>
        <v>4783</v>
      </c>
      <c r="U41" s="47">
        <f t="shared" si="161"/>
        <v>4783</v>
      </c>
      <c r="V41" s="47">
        <f t="shared" si="161"/>
        <v>4783</v>
      </c>
      <c r="W41" s="47">
        <f t="shared" si="161"/>
        <v>4783</v>
      </c>
      <c r="X41" s="47">
        <f t="shared" si="161"/>
        <v>5203</v>
      </c>
      <c r="Y41" s="47">
        <f t="shared" si="161"/>
        <v>5203</v>
      </c>
      <c r="Z41" s="47">
        <f t="shared" si="161"/>
        <v>5203</v>
      </c>
      <c r="AA41" s="47">
        <f t="shared" si="161"/>
        <v>5449.5000000000009</v>
      </c>
      <c r="AB41" s="47">
        <f t="shared" si="161"/>
        <v>5449.5000000000009</v>
      </c>
      <c r="AC41" s="47">
        <f t="shared" si="161"/>
        <v>5449.5000000000009</v>
      </c>
      <c r="AD41" s="47">
        <f t="shared" si="161"/>
        <v>5449.5000000000009</v>
      </c>
      <c r="AE41" s="47">
        <f t="shared" si="161"/>
        <v>5889.5000000000009</v>
      </c>
      <c r="AF41" s="47">
        <f t="shared" si="161"/>
        <v>5889.5000000000009</v>
      </c>
      <c r="AG41" s="47">
        <f t="shared" si="161"/>
        <v>5889.5000000000009</v>
      </c>
      <c r="AH41" s="47">
        <f t="shared" si="161"/>
        <v>5889.5000000000009</v>
      </c>
      <c r="AI41" s="47">
        <f t="shared" si="161"/>
        <v>5889.5000000000009</v>
      </c>
      <c r="AJ41" s="47">
        <f t="shared" si="161"/>
        <v>5889.5000000000009</v>
      </c>
      <c r="AK41" s="47">
        <f t="shared" si="161"/>
        <v>5889.5000000000009</v>
      </c>
      <c r="AL41" s="47">
        <f t="shared" si="161"/>
        <v>5889.5000000000009</v>
      </c>
      <c r="AM41" s="47">
        <f t="shared" ref="AM41:AX41" si="162">SUM(AM36:AM37)*10%</f>
        <v>5449.5000000000009</v>
      </c>
      <c r="AN41" s="47">
        <f t="shared" si="162"/>
        <v>5449.5000000000009</v>
      </c>
      <c r="AO41" s="47">
        <f t="shared" si="162"/>
        <v>5449.5000000000009</v>
      </c>
      <c r="AP41" s="47">
        <f t="shared" si="162"/>
        <v>5449.5000000000009</v>
      </c>
      <c r="AQ41" s="47">
        <f t="shared" si="162"/>
        <v>5889.5000000000009</v>
      </c>
      <c r="AR41" s="47">
        <f t="shared" si="162"/>
        <v>5889.5000000000009</v>
      </c>
      <c r="AS41" s="47">
        <f t="shared" si="162"/>
        <v>5889.5000000000009</v>
      </c>
      <c r="AT41" s="47">
        <f t="shared" si="162"/>
        <v>5889.5000000000009</v>
      </c>
      <c r="AU41" s="47">
        <f t="shared" si="162"/>
        <v>5889.5000000000009</v>
      </c>
      <c r="AV41" s="47">
        <f t="shared" si="162"/>
        <v>5889.5000000000009</v>
      </c>
      <c r="AW41" s="47">
        <f t="shared" si="162"/>
        <v>5889.5000000000009</v>
      </c>
      <c r="AX41" s="47">
        <f t="shared" si="162"/>
        <v>5889.5000000000009</v>
      </c>
    </row>
    <row r="42" spans="1:50" ht="26.45" customHeight="1" x14ac:dyDescent="0.35">
      <c r="A42" s="57"/>
      <c r="B42" s="51" t="s">
        <v>92</v>
      </c>
      <c r="C42" s="44">
        <v>1</v>
      </c>
      <c r="D42" s="44">
        <f ca="1">(D35/C35)-100%</f>
        <v>-5.755869984338946E-2</v>
      </c>
      <c r="E42" s="44">
        <f t="shared" ref="E42:AL42" ca="1" si="163">(E35/D35)-100%</f>
        <v>-3.4929282339103862E-2</v>
      </c>
      <c r="F42" s="44">
        <f t="shared" ca="1" si="163"/>
        <v>-2.1315412864604255E-2</v>
      </c>
      <c r="G42" s="44">
        <f t="shared" ca="1" si="163"/>
        <v>-1.1950422742632916E-2</v>
      </c>
      <c r="H42" s="44">
        <f t="shared" ca="1" si="163"/>
        <v>-5.8108577420538099E-3</v>
      </c>
      <c r="I42" s="44">
        <f t="shared" ca="1" si="163"/>
        <v>-2.0338410826665765E-3</v>
      </c>
      <c r="J42" s="44">
        <f t="shared" ca="1" si="163"/>
        <v>2.8222138976883304E-3</v>
      </c>
      <c r="K42" s="44">
        <f t="shared" ca="1" si="163"/>
        <v>1.4197071312459286E-2</v>
      </c>
      <c r="L42" s="44">
        <f t="shared" ca="1" si="163"/>
        <v>3.6368494203702362E-2</v>
      </c>
      <c r="M42" s="44">
        <f t="shared" ca="1" si="163"/>
        <v>1.1582123215608364E-2</v>
      </c>
      <c r="N42" s="44">
        <f t="shared" ca="1" si="163"/>
        <v>1.2251374023340977E-2</v>
      </c>
      <c r="O42" s="44">
        <f t="shared" ca="1" si="163"/>
        <v>4.0723783513513245E-2</v>
      </c>
      <c r="P42" s="44">
        <f t="shared" ca="1" si="163"/>
        <v>1.2984374465534021E-2</v>
      </c>
      <c r="Q42" s="44">
        <f t="shared" ca="1" si="163"/>
        <v>3.7148817629219621E-2</v>
      </c>
      <c r="R42" s="44">
        <f t="shared" ca="1" si="163"/>
        <v>1.3121209484076468E-2</v>
      </c>
      <c r="S42" s="44">
        <f t="shared" ca="1" si="163"/>
        <v>1.327927508142257E-2</v>
      </c>
      <c r="T42" s="44">
        <f t="shared" ca="1" si="163"/>
        <v>1.3412960448385247E-2</v>
      </c>
      <c r="U42" s="44">
        <f t="shared" ca="1" si="163"/>
        <v>1.4891025801479385E-2</v>
      </c>
      <c r="V42" s="44">
        <f t="shared" ca="1" si="163"/>
        <v>1.4985893713133747E-2</v>
      </c>
      <c r="W42" s="44">
        <f t="shared" ca="1" si="163"/>
        <v>1.5073065451827405E-2</v>
      </c>
      <c r="X42" s="44">
        <f t="shared" ca="1" si="163"/>
        <v>3.6350238470399088E-2</v>
      </c>
      <c r="Y42" s="44">
        <f t="shared" ca="1" si="163"/>
        <v>1.4921412163626746E-2</v>
      </c>
      <c r="Z42" s="44">
        <f t="shared" ca="1" si="163"/>
        <v>1.4999779384040179E-2</v>
      </c>
      <c r="AA42" s="44">
        <f t="shared" ca="1" si="163"/>
        <v>4.6323429337919553E-2</v>
      </c>
      <c r="AB42" s="44">
        <f t="shared" ca="1" si="163"/>
        <v>1.5072950198599111E-2</v>
      </c>
      <c r="AC42" s="44">
        <f t="shared" ca="1" si="163"/>
        <v>1.5147145336256163E-2</v>
      </c>
      <c r="AD42" s="44">
        <f t="shared" ca="1" si="163"/>
        <v>1.5220237032796735E-2</v>
      </c>
      <c r="AE42" s="44">
        <f t="shared" ca="1" si="163"/>
        <v>3.4293778544627562E-2</v>
      </c>
      <c r="AF42" s="44">
        <f t="shared" ca="1" si="163"/>
        <v>1.5081298898533158E-2</v>
      </c>
      <c r="AG42" s="44">
        <f t="shared" ca="1" si="163"/>
        <v>1.5154569517625616E-2</v>
      </c>
      <c r="AH42" s="44">
        <f t="shared" ca="1" si="163"/>
        <v>1.5227030676201236E-2</v>
      </c>
      <c r="AI42" s="44">
        <f t="shared" ca="1" si="163"/>
        <v>1.5298702526473029E-2</v>
      </c>
      <c r="AJ42" s="44">
        <f t="shared" ca="1" si="163"/>
        <v>1.5369597800742429E-2</v>
      </c>
      <c r="AK42" s="44">
        <f t="shared" ca="1" si="163"/>
        <v>1.5439724441343117E-2</v>
      </c>
      <c r="AL42" s="44">
        <f t="shared" ca="1" si="163"/>
        <v>1.5509087336118998E-2</v>
      </c>
      <c r="AM42" s="44">
        <f t="shared" ref="AM42" ca="1" si="164">(AM35/AL35)-100%</f>
        <v>-9.4156047530513653E-4</v>
      </c>
      <c r="AN42" s="44">
        <f t="shared" ref="AN42" ca="1" si="165">(AN35/AM35)-100%</f>
        <v>1.5904228684787691E-2</v>
      </c>
      <c r="AO42" s="44">
        <f t="shared" ref="AO42" ca="1" si="166">(AO35/AN35)-100%</f>
        <v>1.5968356008077222E-2</v>
      </c>
      <c r="AP42" s="44">
        <f t="shared" ref="AP42" ca="1" si="167">(AP35/AO35)-100%</f>
        <v>1.6031727501851112E-2</v>
      </c>
      <c r="AQ42" s="44">
        <f t="shared" ref="AQ42" ca="1" si="168">(AQ35/AP35)-100%</f>
        <v>3.1861713298376504E-2</v>
      </c>
      <c r="AR42" s="44">
        <f t="shared" ref="AR42" ca="1" si="169">(AR35/AQ35)-100%</f>
        <v>1.5909335269160829E-2</v>
      </c>
      <c r="AS42" s="44">
        <f t="shared" ref="AS42" ca="1" si="170">(AS35/AR35)-100%</f>
        <v>1.5973397172305726E-2</v>
      </c>
      <c r="AT42" s="44">
        <f t="shared" ref="AT42" ca="1" si="171">(AT35/AS35)-100%</f>
        <v>1.6036705328533962E-2</v>
      </c>
      <c r="AU42" s="44">
        <f t="shared" ref="AU42" ca="1" si="172">(AU35/AT35)-100%</f>
        <v>1.6099260909796298E-2</v>
      </c>
      <c r="AV42" s="44">
        <f t="shared" ref="AV42" ca="1" si="173">(AV35/AU35)-100%</f>
        <v>1.6161065302200406E-2</v>
      </c>
      <c r="AW42" s="44">
        <f t="shared" ref="AW42" ca="1" si="174">(AW35/AV35)-100%</f>
        <v>1.6222120116977212E-2</v>
      </c>
      <c r="AX42" s="44">
        <f t="shared" ref="AX42" ca="1" si="175">(AX35/AW35)-100%</f>
        <v>1.6282427195241977E-2</v>
      </c>
    </row>
    <row r="43" spans="1:50" ht="18" x14ac:dyDescent="0.35">
      <c r="A43" s="57"/>
      <c r="B43" s="5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</row>
    <row r="44" spans="1:50" ht="27.95" customHeight="1" x14ac:dyDescent="0.35">
      <c r="A44" s="57"/>
      <c r="B44" s="49" t="s">
        <v>97</v>
      </c>
      <c r="C44" s="39">
        <f ca="1">C9-C35</f>
        <v>-8796.4119103999983</v>
      </c>
      <c r="D44" s="39">
        <f t="shared" ref="D44:AL44" ca="1" si="176">D9-D35</f>
        <v>-17303.73917996799</v>
      </c>
      <c r="E44" s="39">
        <f t="shared" ca="1" si="176"/>
        <v>-23270.126153478574</v>
      </c>
      <c r="F44" s="39">
        <f t="shared" ca="1" si="176"/>
        <v>-26938.219200173626</v>
      </c>
      <c r="G44" s="39">
        <f t="shared" ca="1" si="176"/>
        <v>-28987.788914784149</v>
      </c>
      <c r="H44" s="39">
        <f t="shared" ca="1" si="176"/>
        <v>-29870.410623337812</v>
      </c>
      <c r="I44" s="39">
        <f t="shared" ca="1" si="176"/>
        <v>-29881.382839558675</v>
      </c>
      <c r="J44" s="39">
        <f t="shared" ca="1" si="176"/>
        <v>-29681.138729245547</v>
      </c>
      <c r="K44" s="39">
        <f t="shared" ca="1" si="176"/>
        <v>-30706.274744385446</v>
      </c>
      <c r="L44" s="39">
        <f t="shared" ca="1" si="176"/>
        <v>-35098.184117214521</v>
      </c>
      <c r="M44" s="39">
        <f t="shared" ca="1" si="176"/>
        <v>-34930.857486100576</v>
      </c>
      <c r="N44" s="39">
        <f t="shared" ca="1" si="176"/>
        <v>-34653.604614126554</v>
      </c>
      <c r="O44" s="39">
        <f t="shared" ca="1" si="176"/>
        <v>-16039.715988222044</v>
      </c>
      <c r="P44" s="39">
        <f t="shared" ca="1" si="176"/>
        <v>-15243.76047877915</v>
      </c>
      <c r="Q44" s="39">
        <f t="shared" ca="1" si="176"/>
        <v>-19010.051991106855</v>
      </c>
      <c r="R44" s="39">
        <f t="shared" ca="1" si="176"/>
        <v>-18111.240642093908</v>
      </c>
      <c r="S44" s="39">
        <f t="shared" ca="1" si="176"/>
        <v>-17175.673842737277</v>
      </c>
      <c r="T44" s="39">
        <f t="shared" ca="1" si="176"/>
        <v>-16208.813627740019</v>
      </c>
      <c r="U44" s="39">
        <f t="shared" ca="1" si="176"/>
        <v>-15497.845341375039</v>
      </c>
      <c r="V44" s="39">
        <f t="shared" ca="1" si="176"/>
        <v>-14767.009593726165</v>
      </c>
      <c r="W44" s="39">
        <f t="shared" ca="1" si="176"/>
        <v>-14017.772907101607</v>
      </c>
      <c r="X44" s="39">
        <f t="shared" ca="1" si="176"/>
        <v>-17871.016056649212</v>
      </c>
      <c r="Y44" s="39">
        <f t="shared" ca="1" si="176"/>
        <v>-17087.225331023976</v>
      </c>
      <c r="Z44" s="39">
        <f t="shared" ca="1" si="176"/>
        <v>-16286.620636316395</v>
      </c>
      <c r="AA44" s="39">
        <f t="shared" ca="1" si="176"/>
        <v>6817.9394788661157</v>
      </c>
      <c r="AB44" s="39">
        <f t="shared" ca="1" si="176"/>
        <v>8151.9084787270112</v>
      </c>
      <c r="AC44" s="39">
        <f t="shared" ca="1" si="176"/>
        <v>9512.9791891915957</v>
      </c>
      <c r="AD44" s="39">
        <f t="shared" ca="1" si="176"/>
        <v>10901.554275371658</v>
      </c>
      <c r="AE44" s="39">
        <f t="shared" ca="1" si="176"/>
        <v>7478.0904474846902</v>
      </c>
      <c r="AF44" s="39">
        <f t="shared" ca="1" si="176"/>
        <v>8923.0843644600827</v>
      </c>
      <c r="AG44" s="39">
        <f t="shared" ca="1" si="176"/>
        <v>10397.06326412654</v>
      </c>
      <c r="AH44" s="39">
        <f t="shared" ca="1" si="176"/>
        <v>11900.578761701705</v>
      </c>
      <c r="AI44" s="39">
        <f t="shared" ca="1" si="176"/>
        <v>13434.202772571938</v>
      </c>
      <c r="AJ44" s="39">
        <f t="shared" ca="1" si="176"/>
        <v>14998.524859899539</v>
      </c>
      <c r="AK44" s="39">
        <f t="shared" ca="1" si="176"/>
        <v>16594.150538454647</v>
      </c>
      <c r="AL44" s="39">
        <f t="shared" ca="1" si="176"/>
        <v>18221.70022073295</v>
      </c>
      <c r="AM44" s="39">
        <f t="shared" ref="AM44:AX44" ca="1" si="177">AM9-AM35</f>
        <v>24721.808595058799</v>
      </c>
      <c r="AN44" s="39">
        <f t="shared" ca="1" si="177"/>
        <v>26415.124294800509</v>
      </c>
      <c r="AO44" s="39">
        <f t="shared" ca="1" si="177"/>
        <v>28142.309764349717</v>
      </c>
      <c r="AP44" s="39">
        <f t="shared" ca="1" si="177"/>
        <v>29904.041258684243</v>
      </c>
      <c r="AQ44" s="39">
        <f t="shared" ca="1" si="177"/>
        <v>26861.008934219833</v>
      </c>
      <c r="AR44" s="39">
        <f t="shared" ca="1" si="177"/>
        <v>28693.91700264666</v>
      </c>
      <c r="AS44" s="39">
        <f t="shared" ca="1" si="177"/>
        <v>30563.483928827103</v>
      </c>
      <c r="AT44" s="39">
        <f t="shared" ca="1" si="177"/>
        <v>32470.442660108965</v>
      </c>
      <c r="AU44" s="39">
        <f t="shared" ca="1" si="177"/>
        <v>34415.540878623782</v>
      </c>
      <c r="AV44" s="39">
        <f t="shared" ca="1" si="177"/>
        <v>36399.541270955699</v>
      </c>
      <c r="AW44" s="39">
        <f t="shared" ca="1" si="177"/>
        <v>38423.221811463649</v>
      </c>
      <c r="AX44" s="39">
        <f t="shared" ca="1" si="177"/>
        <v>40487.376056802401</v>
      </c>
    </row>
    <row r="45" spans="1:50" ht="24" customHeight="1" x14ac:dyDescent="0.35">
      <c r="A45" s="57"/>
      <c r="B45" s="51" t="s">
        <v>98</v>
      </c>
      <c r="C45" s="47">
        <f ca="1">C44</f>
        <v>-8796.4119103999983</v>
      </c>
      <c r="D45" s="47">
        <f ca="1">D44+C45</f>
        <v>-26100.151090367988</v>
      </c>
      <c r="E45" s="47">
        <f t="shared" ref="E45:AL45" ca="1" si="178">E44+D45</f>
        <v>-49370.277243846562</v>
      </c>
      <c r="F45" s="47">
        <f t="shared" ca="1" si="178"/>
        <v>-76308.496444020187</v>
      </c>
      <c r="G45" s="47">
        <f t="shared" ca="1" si="178"/>
        <v>-105296.28535880434</v>
      </c>
      <c r="H45" s="47">
        <f t="shared" ca="1" si="178"/>
        <v>-135166.69598214215</v>
      </c>
      <c r="I45" s="47">
        <f t="shared" ca="1" si="178"/>
        <v>-165048.07882170082</v>
      </c>
      <c r="J45" s="47">
        <f t="shared" ca="1" si="178"/>
        <v>-194729.21755094637</v>
      </c>
      <c r="K45" s="47">
        <f t="shared" ca="1" si="178"/>
        <v>-225435.49229533182</v>
      </c>
      <c r="L45" s="47">
        <f t="shared" ca="1" si="178"/>
        <v>-260533.67641254634</v>
      </c>
      <c r="M45" s="47">
        <f t="shared" ca="1" si="178"/>
        <v>-295464.53389864694</v>
      </c>
      <c r="N45" s="47">
        <f t="shared" ca="1" si="178"/>
        <v>-330118.1385127735</v>
      </c>
      <c r="O45" s="47">
        <f t="shared" ca="1" si="178"/>
        <v>-346157.85450099554</v>
      </c>
      <c r="P45" s="47">
        <f t="shared" ca="1" si="178"/>
        <v>-361401.61497977469</v>
      </c>
      <c r="Q45" s="47">
        <f t="shared" ca="1" si="178"/>
        <v>-380411.66697088152</v>
      </c>
      <c r="R45" s="47">
        <f t="shared" ca="1" si="178"/>
        <v>-398522.90761297545</v>
      </c>
      <c r="S45" s="47">
        <f t="shared" ca="1" si="178"/>
        <v>-415698.58145571273</v>
      </c>
      <c r="T45" s="47">
        <f t="shared" ca="1" si="178"/>
        <v>-431907.39508345275</v>
      </c>
      <c r="U45" s="47">
        <f t="shared" ca="1" si="178"/>
        <v>-447405.24042482779</v>
      </c>
      <c r="V45" s="47">
        <f t="shared" ca="1" si="178"/>
        <v>-462172.25001855392</v>
      </c>
      <c r="W45" s="47">
        <f t="shared" ca="1" si="178"/>
        <v>-476190.02292565553</v>
      </c>
      <c r="X45" s="47">
        <f t="shared" ca="1" si="178"/>
        <v>-494061.03898230474</v>
      </c>
      <c r="Y45" s="47">
        <f t="shared" ca="1" si="178"/>
        <v>-511148.26431332872</v>
      </c>
      <c r="Z45" s="47">
        <f t="shared" ca="1" si="178"/>
        <v>-527434.88494964514</v>
      </c>
      <c r="AA45" s="47">
        <f t="shared" ca="1" si="178"/>
        <v>-520616.94547077903</v>
      </c>
      <c r="AB45" s="47">
        <f t="shared" ca="1" si="178"/>
        <v>-512465.03699205199</v>
      </c>
      <c r="AC45" s="47">
        <f t="shared" ca="1" si="178"/>
        <v>-502952.05780286039</v>
      </c>
      <c r="AD45" s="47">
        <f t="shared" ca="1" si="178"/>
        <v>-492050.50352748873</v>
      </c>
      <c r="AE45" s="47">
        <f t="shared" ca="1" si="178"/>
        <v>-484572.41308000404</v>
      </c>
      <c r="AF45" s="47">
        <f t="shared" ca="1" si="178"/>
        <v>-475649.32871554396</v>
      </c>
      <c r="AG45" s="47">
        <f t="shared" ca="1" si="178"/>
        <v>-465252.26545141742</v>
      </c>
      <c r="AH45" s="47">
        <f t="shared" ca="1" si="178"/>
        <v>-453351.68668971572</v>
      </c>
      <c r="AI45" s="47">
        <f t="shared" ca="1" si="178"/>
        <v>-439917.48391714378</v>
      </c>
      <c r="AJ45" s="47">
        <f t="shared" ca="1" si="178"/>
        <v>-424918.95905724424</v>
      </c>
      <c r="AK45" s="47">
        <f t="shared" ca="1" si="178"/>
        <v>-408324.80851878959</v>
      </c>
      <c r="AL45" s="47">
        <f t="shared" ca="1" si="178"/>
        <v>-390103.10829805664</v>
      </c>
      <c r="AM45" s="47">
        <f t="shared" ref="AM45" ca="1" si="179">AM44+AL45</f>
        <v>-365381.29970299784</v>
      </c>
      <c r="AN45" s="47">
        <f t="shared" ref="AN45" ca="1" si="180">AN44+AM45</f>
        <v>-338966.17540819733</v>
      </c>
      <c r="AO45" s="47">
        <f t="shared" ref="AO45" ca="1" si="181">AO44+AN45</f>
        <v>-310823.86564384762</v>
      </c>
      <c r="AP45" s="47">
        <f t="shared" ref="AP45" ca="1" si="182">AP44+AO45</f>
        <v>-280919.82438516337</v>
      </c>
      <c r="AQ45" s="47">
        <f t="shared" ref="AQ45" ca="1" si="183">AQ44+AP45</f>
        <v>-254058.81545094354</v>
      </c>
      <c r="AR45" s="47">
        <f t="shared" ref="AR45" ca="1" si="184">AR44+AQ45</f>
        <v>-225364.89844829688</v>
      </c>
      <c r="AS45" s="47">
        <f t="shared" ref="AS45" ca="1" si="185">AS44+AR45</f>
        <v>-194801.41451946978</v>
      </c>
      <c r="AT45" s="47">
        <f t="shared" ref="AT45" ca="1" si="186">AT44+AS45</f>
        <v>-162330.97185936081</v>
      </c>
      <c r="AU45" s="47">
        <f t="shared" ref="AU45" ca="1" si="187">AU44+AT45</f>
        <v>-127915.43098073703</v>
      </c>
      <c r="AV45" s="47">
        <f t="shared" ref="AV45" ca="1" si="188">AV44+AU45</f>
        <v>-91515.889709781331</v>
      </c>
      <c r="AW45" s="47">
        <f t="shared" ref="AW45" ca="1" si="189">AW44+AV45</f>
        <v>-53092.667898317683</v>
      </c>
      <c r="AX45" s="47">
        <f t="shared" ref="AX45" ca="1" si="190">AX44+AW45</f>
        <v>-12605.291841515282</v>
      </c>
    </row>
    <row r="46" spans="1:50" ht="26.45" customHeight="1" x14ac:dyDescent="0.35">
      <c r="A46" s="57"/>
      <c r="B46" s="51" t="s">
        <v>99</v>
      </c>
      <c r="C46" s="44">
        <f ca="1">C44/C9</f>
        <v>-4.7347559168364535E-2</v>
      </c>
      <c r="D46" s="44">
        <f t="shared" ref="D46:AL46" ca="1" si="191">D44/D9</f>
        <v>-0.10419122778739351</v>
      </c>
      <c r="E46" s="44">
        <f t="shared" ca="1" si="191"/>
        <v>-0.1513947226723161</v>
      </c>
      <c r="F46" s="44">
        <f t="shared" ca="1" si="191"/>
        <v>-0.18417455191448318</v>
      </c>
      <c r="G46" s="44">
        <f t="shared" ca="1" si="191"/>
        <v>-0.20393084029197198</v>
      </c>
      <c r="H46" s="44">
        <f t="shared" ca="1" si="191"/>
        <v>-0.21295220675508594</v>
      </c>
      <c r="I46" s="44">
        <f t="shared" ca="1" si="191"/>
        <v>-0.21357401318429775</v>
      </c>
      <c r="J46" s="44">
        <f t="shared" ca="1" si="191"/>
        <v>-0.2111175628717632</v>
      </c>
      <c r="K46" s="44">
        <f t="shared" ca="1" si="191"/>
        <v>-0.21626757534485705</v>
      </c>
      <c r="L46" s="44">
        <f t="shared" ca="1" si="191"/>
        <v>-0.24395537955741509</v>
      </c>
      <c r="M46" s="44">
        <f t="shared" ca="1" si="191"/>
        <v>-0.23906987074909702</v>
      </c>
      <c r="N46" s="44">
        <f t="shared" ca="1" si="191"/>
        <v>-0.23318994437770896</v>
      </c>
      <c r="O46" s="44">
        <f t="shared" ca="1" si="191"/>
        <v>-9.1821472674830998E-2</v>
      </c>
      <c r="P46" s="44">
        <f t="shared" ca="1" si="191"/>
        <v>-8.5660232425453522E-2</v>
      </c>
      <c r="Q46" s="44">
        <f t="shared" ca="1" si="191"/>
        <v>-0.10481541427104368</v>
      </c>
      <c r="R46" s="44">
        <f t="shared" ca="1" si="191"/>
        <v>-9.7954220237042408E-2</v>
      </c>
      <c r="S46" s="44">
        <f t="shared" ca="1" si="191"/>
        <v>-9.110492592125044E-2</v>
      </c>
      <c r="T46" s="44">
        <f t="shared" ca="1" si="191"/>
        <v>-8.4310148756733469E-2</v>
      </c>
      <c r="U46" s="44">
        <f t="shared" ca="1" si="191"/>
        <v>-7.904346174985237E-2</v>
      </c>
      <c r="V46" s="44">
        <f t="shared" ca="1" si="191"/>
        <v>-7.3846597149684723E-2</v>
      </c>
      <c r="W46" s="44">
        <f t="shared" ca="1" si="191"/>
        <v>-6.872984067811358E-2</v>
      </c>
      <c r="X46" s="44">
        <f t="shared" ca="1" si="191"/>
        <v>-8.59081071751744E-2</v>
      </c>
      <c r="Y46" s="44">
        <f t="shared" ca="1" si="191"/>
        <v>-8.0532021926682684E-2</v>
      </c>
      <c r="Z46" s="44">
        <f t="shared" ca="1" si="191"/>
        <v>-7.525510395986687E-2</v>
      </c>
      <c r="AA46" s="44">
        <f t="shared" ca="1" si="191"/>
        <v>2.7238734555848784E-2</v>
      </c>
      <c r="AB46" s="44">
        <f t="shared" ca="1" si="191"/>
        <v>3.1929814969516905E-2</v>
      </c>
      <c r="AC46" s="44">
        <f t="shared" ca="1" si="191"/>
        <v>3.6530513397623803E-2</v>
      </c>
      <c r="AD46" s="44">
        <f t="shared" ca="1" si="191"/>
        <v>4.1042044386974834E-2</v>
      </c>
      <c r="AE46" s="44">
        <f t="shared" ca="1" si="191"/>
        <v>2.7601462615955058E-2</v>
      </c>
      <c r="AF46" s="44">
        <f t="shared" ca="1" si="191"/>
        <v>3.2289168406603619E-2</v>
      </c>
      <c r="AG46" s="44">
        <f t="shared" ca="1" si="191"/>
        <v>3.6885256078843694E-2</v>
      </c>
      <c r="AH46" s="44">
        <f t="shared" ca="1" si="191"/>
        <v>4.1391418312163544E-2</v>
      </c>
      <c r="AI46" s="44">
        <f t="shared" ca="1" si="191"/>
        <v>4.5809350770712715E-2</v>
      </c>
      <c r="AJ46" s="44">
        <f t="shared" ca="1" si="191"/>
        <v>5.0140739428247413E-2</v>
      </c>
      <c r="AK46" s="44">
        <f t="shared" ca="1" si="191"/>
        <v>5.4387252543286191E-2</v>
      </c>
      <c r="AL46" s="44">
        <f t="shared" ca="1" si="191"/>
        <v>5.8550535657135826E-2</v>
      </c>
      <c r="AM46" s="44">
        <f t="shared" ref="AM46:AX46" ca="1" si="192">AM44/AM9</f>
        <v>7.7879306824393812E-2</v>
      </c>
      <c r="AN46" s="44">
        <f t="shared" ca="1" si="192"/>
        <v>8.1581999838548316E-2</v>
      </c>
      <c r="AO46" s="44">
        <f t="shared" ca="1" si="192"/>
        <v>8.5212100435253055E-2</v>
      </c>
      <c r="AP46" s="44">
        <f t="shared" ca="1" si="192"/>
        <v>8.8771028723520884E-2</v>
      </c>
      <c r="AQ46" s="44">
        <f t="shared" ca="1" si="192"/>
        <v>7.8174214376103168E-2</v>
      </c>
      <c r="AR46" s="44">
        <f t="shared" ca="1" si="192"/>
        <v>8.1871146908081061E-2</v>
      </c>
      <c r="AS46" s="44">
        <f t="shared" ca="1" si="192"/>
        <v>8.5495592317025637E-2</v>
      </c>
      <c r="AT46" s="44">
        <f t="shared" ca="1" si="192"/>
        <v>8.9048971310347308E-2</v>
      </c>
      <c r="AU46" s="44">
        <f t="shared" ca="1" si="192"/>
        <v>9.2532676950241519E-2</v>
      </c>
      <c r="AV46" s="44">
        <f t="shared" ca="1" si="192"/>
        <v>9.5948075122038137E-2</v>
      </c>
      <c r="AW46" s="44">
        <f t="shared" ca="1" si="192"/>
        <v>9.9296505019033823E-2</v>
      </c>
      <c r="AX46" s="44">
        <f t="shared" ca="1" si="192"/>
        <v>0.1025792796345408</v>
      </c>
    </row>
    <row r="47" spans="1:50" ht="18" x14ac:dyDescent="0.35">
      <c r="A47" s="57"/>
      <c r="B47" s="5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</row>
    <row r="48" spans="1:50" ht="24.6" customHeight="1" x14ac:dyDescent="0.35">
      <c r="A48" s="57"/>
      <c r="B48" s="49" t="s">
        <v>100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</row>
    <row r="49" spans="1:50" ht="18.75" x14ac:dyDescent="0.35">
      <c r="A49" s="38">
        <v>0.21</v>
      </c>
      <c r="B49" s="54" t="s">
        <v>101</v>
      </c>
      <c r="C49" s="47">
        <f ca="1">IF(C44&gt;0, C44*$A$49, 0)</f>
        <v>0</v>
      </c>
      <c r="D49" s="47">
        <f t="shared" ref="D49:AL49" ca="1" si="193">IF(D44&gt;0, D44*$A$49, 0)</f>
        <v>0</v>
      </c>
      <c r="E49" s="47">
        <f t="shared" ca="1" si="193"/>
        <v>0</v>
      </c>
      <c r="F49" s="47">
        <f t="shared" ca="1" si="193"/>
        <v>0</v>
      </c>
      <c r="G49" s="47">
        <f t="shared" ca="1" si="193"/>
        <v>0</v>
      </c>
      <c r="H49" s="47">
        <f t="shared" ca="1" si="193"/>
        <v>0</v>
      </c>
      <c r="I49" s="47">
        <f t="shared" ca="1" si="193"/>
        <v>0</v>
      </c>
      <c r="J49" s="47">
        <f t="shared" ca="1" si="193"/>
        <v>0</v>
      </c>
      <c r="K49" s="47">
        <f t="shared" ca="1" si="193"/>
        <v>0</v>
      </c>
      <c r="L49" s="47">
        <f t="shared" ca="1" si="193"/>
        <v>0</v>
      </c>
      <c r="M49" s="47">
        <f t="shared" ca="1" si="193"/>
        <v>0</v>
      </c>
      <c r="N49" s="47">
        <f t="shared" ca="1" si="193"/>
        <v>0</v>
      </c>
      <c r="O49" s="47">
        <f t="shared" ca="1" si="193"/>
        <v>0</v>
      </c>
      <c r="P49" s="47">
        <f t="shared" ca="1" si="193"/>
        <v>0</v>
      </c>
      <c r="Q49" s="47">
        <f t="shared" ca="1" si="193"/>
        <v>0</v>
      </c>
      <c r="R49" s="47">
        <f t="shared" ca="1" si="193"/>
        <v>0</v>
      </c>
      <c r="S49" s="47">
        <f t="shared" ca="1" si="193"/>
        <v>0</v>
      </c>
      <c r="T49" s="47">
        <f t="shared" ca="1" si="193"/>
        <v>0</v>
      </c>
      <c r="U49" s="47">
        <f t="shared" ca="1" si="193"/>
        <v>0</v>
      </c>
      <c r="V49" s="47">
        <f t="shared" ca="1" si="193"/>
        <v>0</v>
      </c>
      <c r="W49" s="47">
        <f t="shared" ca="1" si="193"/>
        <v>0</v>
      </c>
      <c r="X49" s="47">
        <f t="shared" ca="1" si="193"/>
        <v>0</v>
      </c>
      <c r="Y49" s="47">
        <f t="shared" ca="1" si="193"/>
        <v>0</v>
      </c>
      <c r="Z49" s="47">
        <f t="shared" ca="1" si="193"/>
        <v>0</v>
      </c>
      <c r="AA49" s="47">
        <f t="shared" ca="1" si="193"/>
        <v>1431.7672905618842</v>
      </c>
      <c r="AB49" s="47">
        <f t="shared" ca="1" si="193"/>
        <v>1711.9007805326723</v>
      </c>
      <c r="AC49" s="47">
        <f t="shared" ca="1" si="193"/>
        <v>1997.7256297302349</v>
      </c>
      <c r="AD49" s="47">
        <f t="shared" ca="1" si="193"/>
        <v>2289.3263978280479</v>
      </c>
      <c r="AE49" s="47">
        <f t="shared" ca="1" si="193"/>
        <v>1570.3989939717849</v>
      </c>
      <c r="AF49" s="47">
        <f t="shared" ca="1" si="193"/>
        <v>1873.8477165366173</v>
      </c>
      <c r="AG49" s="47">
        <f t="shared" ca="1" si="193"/>
        <v>2183.3832854665734</v>
      </c>
      <c r="AH49" s="47">
        <f t="shared" ca="1" si="193"/>
        <v>2499.121539957358</v>
      </c>
      <c r="AI49" s="47">
        <f t="shared" ca="1" si="193"/>
        <v>2821.182582240107</v>
      </c>
      <c r="AJ49" s="47">
        <f t="shared" ca="1" si="193"/>
        <v>3149.6902205789029</v>
      </c>
      <c r="AK49" s="47">
        <f t="shared" ca="1" si="193"/>
        <v>3484.7716130754757</v>
      </c>
      <c r="AL49" s="47">
        <f t="shared" ca="1" si="193"/>
        <v>3826.5570463539193</v>
      </c>
      <c r="AM49" s="47">
        <f t="shared" ref="AM49:AX49" ca="1" si="194">IF(AM44&gt;0, AM44*$A$49, 0)</f>
        <v>5191.5798049623472</v>
      </c>
      <c r="AN49" s="47">
        <f t="shared" ca="1" si="194"/>
        <v>5547.1761019081068</v>
      </c>
      <c r="AO49" s="47">
        <f t="shared" ca="1" si="194"/>
        <v>5909.8850505134405</v>
      </c>
      <c r="AP49" s="47">
        <f t="shared" ca="1" si="194"/>
        <v>6279.8486643236911</v>
      </c>
      <c r="AQ49" s="47">
        <f t="shared" ca="1" si="194"/>
        <v>5640.8118761861651</v>
      </c>
      <c r="AR49" s="47">
        <f t="shared" ca="1" si="194"/>
        <v>6025.7225705557985</v>
      </c>
      <c r="AS49" s="47">
        <f t="shared" ca="1" si="194"/>
        <v>6418.3316250536918</v>
      </c>
      <c r="AT49" s="47">
        <f t="shared" ca="1" si="194"/>
        <v>6818.7929586228829</v>
      </c>
      <c r="AU49" s="47">
        <f t="shared" ca="1" si="194"/>
        <v>7227.2635845109944</v>
      </c>
      <c r="AV49" s="47">
        <f t="shared" ca="1" si="194"/>
        <v>7643.9036669006964</v>
      </c>
      <c r="AW49" s="47">
        <f t="shared" ca="1" si="194"/>
        <v>8068.8765804073664</v>
      </c>
      <c r="AX49" s="47">
        <f t="shared" ca="1" si="194"/>
        <v>8502.3489719285044</v>
      </c>
    </row>
    <row r="50" spans="1:50" ht="18.75" x14ac:dyDescent="0.35">
      <c r="A50" s="57"/>
      <c r="B50" s="5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</row>
    <row r="51" spans="1:50" ht="21" customHeight="1" x14ac:dyDescent="0.35">
      <c r="A51" s="57"/>
      <c r="B51" s="49" t="s">
        <v>102</v>
      </c>
      <c r="C51" s="39">
        <f ca="1">C44-C49</f>
        <v>-8796.4119103999983</v>
      </c>
      <c r="D51" s="39">
        <f t="shared" ref="D51:AL51" ca="1" si="195">D44-D49</f>
        <v>-17303.73917996799</v>
      </c>
      <c r="E51" s="39">
        <f t="shared" ca="1" si="195"/>
        <v>-23270.126153478574</v>
      </c>
      <c r="F51" s="39">
        <f t="shared" ca="1" si="195"/>
        <v>-26938.219200173626</v>
      </c>
      <c r="G51" s="39">
        <f t="shared" ca="1" si="195"/>
        <v>-28987.788914784149</v>
      </c>
      <c r="H51" s="39">
        <f t="shared" ca="1" si="195"/>
        <v>-29870.410623337812</v>
      </c>
      <c r="I51" s="39">
        <f t="shared" ca="1" si="195"/>
        <v>-29881.382839558675</v>
      </c>
      <c r="J51" s="39">
        <f t="shared" ca="1" si="195"/>
        <v>-29681.138729245547</v>
      </c>
      <c r="K51" s="39">
        <f t="shared" ca="1" si="195"/>
        <v>-30706.274744385446</v>
      </c>
      <c r="L51" s="39">
        <f t="shared" ca="1" si="195"/>
        <v>-35098.184117214521</v>
      </c>
      <c r="M51" s="39">
        <f t="shared" ca="1" si="195"/>
        <v>-34930.857486100576</v>
      </c>
      <c r="N51" s="39">
        <f t="shared" ca="1" si="195"/>
        <v>-34653.604614126554</v>
      </c>
      <c r="O51" s="39">
        <f t="shared" ca="1" si="195"/>
        <v>-16039.715988222044</v>
      </c>
      <c r="P51" s="39">
        <f t="shared" ca="1" si="195"/>
        <v>-15243.76047877915</v>
      </c>
      <c r="Q51" s="39">
        <f t="shared" ca="1" si="195"/>
        <v>-19010.051991106855</v>
      </c>
      <c r="R51" s="39">
        <f t="shared" ca="1" si="195"/>
        <v>-18111.240642093908</v>
      </c>
      <c r="S51" s="39">
        <f t="shared" ca="1" si="195"/>
        <v>-17175.673842737277</v>
      </c>
      <c r="T51" s="39">
        <f t="shared" ca="1" si="195"/>
        <v>-16208.813627740019</v>
      </c>
      <c r="U51" s="39">
        <f t="shared" ca="1" si="195"/>
        <v>-15497.845341375039</v>
      </c>
      <c r="V51" s="39">
        <f t="shared" ca="1" si="195"/>
        <v>-14767.009593726165</v>
      </c>
      <c r="W51" s="39">
        <f t="shared" ca="1" si="195"/>
        <v>-14017.772907101607</v>
      </c>
      <c r="X51" s="39">
        <f t="shared" ca="1" si="195"/>
        <v>-17871.016056649212</v>
      </c>
      <c r="Y51" s="39">
        <f t="shared" ca="1" si="195"/>
        <v>-17087.225331023976</v>
      </c>
      <c r="Z51" s="39">
        <f t="shared" ca="1" si="195"/>
        <v>-16286.620636316395</v>
      </c>
      <c r="AA51" s="39">
        <f t="shared" ca="1" si="195"/>
        <v>5386.1721883042319</v>
      </c>
      <c r="AB51" s="39">
        <f t="shared" ca="1" si="195"/>
        <v>6440.0076981943384</v>
      </c>
      <c r="AC51" s="39">
        <f t="shared" ca="1" si="195"/>
        <v>7515.253559461361</v>
      </c>
      <c r="AD51" s="39">
        <f t="shared" ca="1" si="195"/>
        <v>8612.2278775436098</v>
      </c>
      <c r="AE51" s="39">
        <f t="shared" ca="1" si="195"/>
        <v>5907.6914535129054</v>
      </c>
      <c r="AF51" s="39">
        <f t="shared" ca="1" si="195"/>
        <v>7049.2366479234652</v>
      </c>
      <c r="AG51" s="39">
        <f t="shared" ca="1" si="195"/>
        <v>8213.6799786599659</v>
      </c>
      <c r="AH51" s="39">
        <f t="shared" ca="1" si="195"/>
        <v>9401.4572217443474</v>
      </c>
      <c r="AI51" s="39">
        <f t="shared" ca="1" si="195"/>
        <v>10613.02019033183</v>
      </c>
      <c r="AJ51" s="39">
        <f t="shared" ca="1" si="195"/>
        <v>11848.834639320636</v>
      </c>
      <c r="AK51" s="39">
        <f t="shared" ca="1" si="195"/>
        <v>13109.378925379171</v>
      </c>
      <c r="AL51" s="39">
        <f t="shared" ca="1" si="195"/>
        <v>14395.143174379031</v>
      </c>
      <c r="AM51" s="39">
        <f t="shared" ref="AM51:AX51" ca="1" si="196">AM44-AM49</f>
        <v>19530.228790096451</v>
      </c>
      <c r="AN51" s="39">
        <f t="shared" ca="1" si="196"/>
        <v>20867.948192892403</v>
      </c>
      <c r="AO51" s="39">
        <f t="shared" ca="1" si="196"/>
        <v>22232.424713836277</v>
      </c>
      <c r="AP51" s="39">
        <f t="shared" ca="1" si="196"/>
        <v>23624.192594360553</v>
      </c>
      <c r="AQ51" s="39">
        <f t="shared" ca="1" si="196"/>
        <v>21220.197058033667</v>
      </c>
      <c r="AR51" s="39">
        <f t="shared" ca="1" si="196"/>
        <v>22668.194432090862</v>
      </c>
      <c r="AS51" s="39">
        <f t="shared" ca="1" si="196"/>
        <v>24145.152303773411</v>
      </c>
      <c r="AT51" s="39">
        <f t="shared" ca="1" si="196"/>
        <v>25651.649701486083</v>
      </c>
      <c r="AU51" s="39">
        <f t="shared" ca="1" si="196"/>
        <v>27188.277294112788</v>
      </c>
      <c r="AV51" s="39">
        <f t="shared" ca="1" si="196"/>
        <v>28755.637604055002</v>
      </c>
      <c r="AW51" s="39">
        <f t="shared" ca="1" si="196"/>
        <v>30354.345231056283</v>
      </c>
      <c r="AX51" s="39">
        <f t="shared" ca="1" si="196"/>
        <v>31985.027084873895</v>
      </c>
    </row>
    <row r="52" spans="1:50" ht="24" customHeight="1" x14ac:dyDescent="0.35">
      <c r="A52" s="57"/>
      <c r="B52" s="51" t="s">
        <v>103</v>
      </c>
      <c r="C52" s="47">
        <f ca="1">C51</f>
        <v>-8796.4119103999983</v>
      </c>
      <c r="D52" s="47">
        <f ca="1">C52+D51</f>
        <v>-26100.151090367988</v>
      </c>
      <c r="E52" s="47">
        <f t="shared" ref="E52:AL52" ca="1" si="197">D52+E51</f>
        <v>-49370.277243846562</v>
      </c>
      <c r="F52" s="47">
        <f t="shared" ca="1" si="197"/>
        <v>-76308.496444020187</v>
      </c>
      <c r="G52" s="47">
        <f t="shared" ca="1" si="197"/>
        <v>-105296.28535880434</v>
      </c>
      <c r="H52" s="47">
        <f t="shared" ca="1" si="197"/>
        <v>-135166.69598214215</v>
      </c>
      <c r="I52" s="47">
        <f t="shared" ca="1" si="197"/>
        <v>-165048.07882170082</v>
      </c>
      <c r="J52" s="47">
        <f t="shared" ca="1" si="197"/>
        <v>-194729.21755094637</v>
      </c>
      <c r="K52" s="47">
        <f t="shared" ca="1" si="197"/>
        <v>-225435.49229533182</v>
      </c>
      <c r="L52" s="47">
        <f t="shared" ca="1" si="197"/>
        <v>-260533.67641254634</v>
      </c>
      <c r="M52" s="47">
        <f t="shared" ca="1" si="197"/>
        <v>-295464.53389864694</v>
      </c>
      <c r="N52" s="47">
        <f t="shared" ca="1" si="197"/>
        <v>-330118.1385127735</v>
      </c>
      <c r="O52" s="47">
        <f t="shared" ca="1" si="197"/>
        <v>-346157.85450099554</v>
      </c>
      <c r="P52" s="47">
        <f t="shared" ca="1" si="197"/>
        <v>-361401.61497977469</v>
      </c>
      <c r="Q52" s="47">
        <f t="shared" ca="1" si="197"/>
        <v>-380411.66697088152</v>
      </c>
      <c r="R52" s="47">
        <f t="shared" ca="1" si="197"/>
        <v>-398522.90761297545</v>
      </c>
      <c r="S52" s="47">
        <f t="shared" ca="1" si="197"/>
        <v>-415698.58145571273</v>
      </c>
      <c r="T52" s="47">
        <f t="shared" ca="1" si="197"/>
        <v>-431907.39508345275</v>
      </c>
      <c r="U52" s="47">
        <f t="shared" ca="1" si="197"/>
        <v>-447405.24042482779</v>
      </c>
      <c r="V52" s="47">
        <f t="shared" ca="1" si="197"/>
        <v>-462172.25001855392</v>
      </c>
      <c r="W52" s="47">
        <f t="shared" ca="1" si="197"/>
        <v>-476190.02292565553</v>
      </c>
      <c r="X52" s="47">
        <f t="shared" ca="1" si="197"/>
        <v>-494061.03898230474</v>
      </c>
      <c r="Y52" s="47">
        <f t="shared" ca="1" si="197"/>
        <v>-511148.26431332872</v>
      </c>
      <c r="Z52" s="47">
        <f t="shared" ca="1" si="197"/>
        <v>-527434.88494964514</v>
      </c>
      <c r="AA52" s="47">
        <f t="shared" ca="1" si="197"/>
        <v>-522048.7127613409</v>
      </c>
      <c r="AB52" s="47">
        <f t="shared" ca="1" si="197"/>
        <v>-515608.70506314654</v>
      </c>
      <c r="AC52" s="47">
        <f t="shared" ca="1" si="197"/>
        <v>-508093.45150368515</v>
      </c>
      <c r="AD52" s="47">
        <f t="shared" ca="1" si="197"/>
        <v>-499481.22362614155</v>
      </c>
      <c r="AE52" s="47">
        <f t="shared" ca="1" si="197"/>
        <v>-493573.53217262862</v>
      </c>
      <c r="AF52" s="47">
        <f t="shared" ca="1" si="197"/>
        <v>-486524.29552470514</v>
      </c>
      <c r="AG52" s="47">
        <f t="shared" ca="1" si="197"/>
        <v>-478310.61554604518</v>
      </c>
      <c r="AH52" s="47">
        <f t="shared" ca="1" si="197"/>
        <v>-468909.15832430084</v>
      </c>
      <c r="AI52" s="47">
        <f t="shared" ca="1" si="197"/>
        <v>-458296.13813396898</v>
      </c>
      <c r="AJ52" s="47">
        <f t="shared" ca="1" si="197"/>
        <v>-446447.30349464837</v>
      </c>
      <c r="AK52" s="47">
        <f t="shared" ca="1" si="197"/>
        <v>-433337.92456926918</v>
      </c>
      <c r="AL52" s="47">
        <f t="shared" ca="1" si="197"/>
        <v>-418942.78139489016</v>
      </c>
      <c r="AM52" s="47">
        <f t="shared" ref="AM52" ca="1" si="198">AL52+AM51</f>
        <v>-399412.55260479369</v>
      </c>
      <c r="AN52" s="47">
        <f t="shared" ref="AN52" ca="1" si="199">AM52+AN51</f>
        <v>-378544.60441190127</v>
      </c>
      <c r="AO52" s="47">
        <f t="shared" ref="AO52" ca="1" si="200">AN52+AO51</f>
        <v>-356312.17969806498</v>
      </c>
      <c r="AP52" s="47">
        <f t="shared" ref="AP52" ca="1" si="201">AO52+AP51</f>
        <v>-332687.98710370442</v>
      </c>
      <c r="AQ52" s="47">
        <f t="shared" ref="AQ52" ca="1" si="202">AP52+AQ51</f>
        <v>-311467.79004567076</v>
      </c>
      <c r="AR52" s="47">
        <f t="shared" ref="AR52" ca="1" si="203">AQ52+AR51</f>
        <v>-288799.59561357991</v>
      </c>
      <c r="AS52" s="47">
        <f t="shared" ref="AS52" ca="1" si="204">AR52+AS51</f>
        <v>-264654.44330980652</v>
      </c>
      <c r="AT52" s="47">
        <f t="shared" ref="AT52" ca="1" si="205">AS52+AT51</f>
        <v>-239002.79360832044</v>
      </c>
      <c r="AU52" s="47">
        <f t="shared" ref="AU52" ca="1" si="206">AT52+AU51</f>
        <v>-211814.51631420766</v>
      </c>
      <c r="AV52" s="47">
        <f t="shared" ref="AV52" ca="1" si="207">AU52+AV51</f>
        <v>-183058.87871015267</v>
      </c>
      <c r="AW52" s="47">
        <f t="shared" ref="AW52" ca="1" si="208">AV52+AW51</f>
        <v>-152704.5334790964</v>
      </c>
      <c r="AX52" s="47">
        <f t="shared" ref="AX52" ca="1" si="209">AW52+AX51</f>
        <v>-120719.5063942225</v>
      </c>
    </row>
    <row r="53" spans="1:50" ht="20.45" customHeight="1" x14ac:dyDescent="0.35">
      <c r="A53" s="57"/>
      <c r="B53" s="51" t="s">
        <v>104</v>
      </c>
      <c r="C53" s="44">
        <f ca="1">C51/C9</f>
        <v>-4.7347559168364535E-2</v>
      </c>
      <c r="D53" s="44">
        <f t="shared" ref="D53:AL53" ca="1" si="210">D51/D9</f>
        <v>-0.10419122778739351</v>
      </c>
      <c r="E53" s="44">
        <f t="shared" ca="1" si="210"/>
        <v>-0.1513947226723161</v>
      </c>
      <c r="F53" s="44">
        <f t="shared" ca="1" si="210"/>
        <v>-0.18417455191448318</v>
      </c>
      <c r="G53" s="44">
        <f t="shared" ca="1" si="210"/>
        <v>-0.20393084029197198</v>
      </c>
      <c r="H53" s="44">
        <f t="shared" ca="1" si="210"/>
        <v>-0.21295220675508594</v>
      </c>
      <c r="I53" s="44">
        <f t="shared" ca="1" si="210"/>
        <v>-0.21357401318429775</v>
      </c>
      <c r="J53" s="44">
        <f t="shared" ca="1" si="210"/>
        <v>-0.2111175628717632</v>
      </c>
      <c r="K53" s="44">
        <f t="shared" ca="1" si="210"/>
        <v>-0.21626757534485705</v>
      </c>
      <c r="L53" s="44">
        <f t="shared" ca="1" si="210"/>
        <v>-0.24395537955741509</v>
      </c>
      <c r="M53" s="44">
        <f t="shared" ca="1" si="210"/>
        <v>-0.23906987074909702</v>
      </c>
      <c r="N53" s="44">
        <f t="shared" ca="1" si="210"/>
        <v>-0.23318994437770896</v>
      </c>
      <c r="O53" s="44">
        <f t="shared" ca="1" si="210"/>
        <v>-9.1821472674830998E-2</v>
      </c>
      <c r="P53" s="44">
        <f t="shared" ca="1" si="210"/>
        <v>-8.5660232425453522E-2</v>
      </c>
      <c r="Q53" s="44">
        <f t="shared" ca="1" si="210"/>
        <v>-0.10481541427104368</v>
      </c>
      <c r="R53" s="44">
        <f t="shared" ca="1" si="210"/>
        <v>-9.7954220237042408E-2</v>
      </c>
      <c r="S53" s="44">
        <f t="shared" ca="1" si="210"/>
        <v>-9.110492592125044E-2</v>
      </c>
      <c r="T53" s="44">
        <f t="shared" ca="1" si="210"/>
        <v>-8.4310148756733469E-2</v>
      </c>
      <c r="U53" s="44">
        <f t="shared" ca="1" si="210"/>
        <v>-7.904346174985237E-2</v>
      </c>
      <c r="V53" s="44">
        <f t="shared" ca="1" si="210"/>
        <v>-7.3846597149684723E-2</v>
      </c>
      <c r="W53" s="44">
        <f t="shared" ca="1" si="210"/>
        <v>-6.872984067811358E-2</v>
      </c>
      <c r="X53" s="44">
        <f t="shared" ca="1" si="210"/>
        <v>-8.59081071751744E-2</v>
      </c>
      <c r="Y53" s="44">
        <f t="shared" ca="1" si="210"/>
        <v>-8.0532021926682684E-2</v>
      </c>
      <c r="Z53" s="44">
        <f t="shared" ca="1" si="210"/>
        <v>-7.525510395986687E-2</v>
      </c>
      <c r="AA53" s="44">
        <f t="shared" ca="1" si="210"/>
        <v>2.151860029912054E-2</v>
      </c>
      <c r="AB53" s="44">
        <f t="shared" ca="1" si="210"/>
        <v>2.5224553825918355E-2</v>
      </c>
      <c r="AC53" s="44">
        <f t="shared" ca="1" si="210"/>
        <v>2.8859105584122809E-2</v>
      </c>
      <c r="AD53" s="44">
        <f t="shared" ca="1" si="210"/>
        <v>3.2423215065710116E-2</v>
      </c>
      <c r="AE53" s="44">
        <f t="shared" ca="1" si="210"/>
        <v>2.1805155466604498E-2</v>
      </c>
      <c r="AF53" s="44">
        <f t="shared" ca="1" si="210"/>
        <v>2.5508443041216855E-2</v>
      </c>
      <c r="AG53" s="44">
        <f t="shared" ca="1" si="210"/>
        <v>2.9139352302286516E-2</v>
      </c>
      <c r="AH53" s="44">
        <f t="shared" ca="1" si="210"/>
        <v>3.2699220466609204E-2</v>
      </c>
      <c r="AI53" s="44">
        <f t="shared" ca="1" si="210"/>
        <v>3.618938710886304E-2</v>
      </c>
      <c r="AJ53" s="44">
        <f t="shared" ca="1" si="210"/>
        <v>3.9611184148315458E-2</v>
      </c>
      <c r="AK53" s="44">
        <f t="shared" ca="1" si="210"/>
        <v>4.2965929509196088E-2</v>
      </c>
      <c r="AL53" s="44">
        <f t="shared" ca="1" si="210"/>
        <v>4.6254923169137305E-2</v>
      </c>
      <c r="AM53" s="44">
        <f t="shared" ref="AM53:AX53" ca="1" si="211">AM51/AM9</f>
        <v>6.1524652391271112E-2</v>
      </c>
      <c r="AN53" s="44">
        <f t="shared" ca="1" si="211"/>
        <v>6.4449779872453164E-2</v>
      </c>
      <c r="AO53" s="44">
        <f t="shared" ca="1" si="211"/>
        <v>6.731755934384992E-2</v>
      </c>
      <c r="AP53" s="44">
        <f t="shared" ca="1" si="211"/>
        <v>7.0129112691581494E-2</v>
      </c>
      <c r="AQ53" s="44">
        <f t="shared" ca="1" si="211"/>
        <v>6.1757629357121507E-2</v>
      </c>
      <c r="AR53" s="44">
        <f t="shared" ca="1" si="211"/>
        <v>6.4678206057384044E-2</v>
      </c>
      <c r="AS53" s="44">
        <f t="shared" ca="1" si="211"/>
        <v>6.7541517930450254E-2</v>
      </c>
      <c r="AT53" s="44">
        <f t="shared" ca="1" si="211"/>
        <v>7.0348687335174367E-2</v>
      </c>
      <c r="AU53" s="44">
        <f t="shared" ca="1" si="211"/>
        <v>7.3100814790690805E-2</v>
      </c>
      <c r="AV53" s="44">
        <f t="shared" ca="1" si="211"/>
        <v>7.5798979346410139E-2</v>
      </c>
      <c r="AW53" s="44">
        <f t="shared" ca="1" si="211"/>
        <v>7.8444238965036717E-2</v>
      </c>
      <c r="AX53" s="44">
        <f t="shared" ca="1" si="211"/>
        <v>8.1037630911287226E-2</v>
      </c>
    </row>
    <row r="56" spans="1:50" ht="18.75" x14ac:dyDescent="0.35">
      <c r="C56" s="47"/>
      <c r="D56" s="47"/>
      <c r="E56" s="47"/>
      <c r="F56" s="47"/>
    </row>
    <row r="57" spans="1:50" ht="18.75" x14ac:dyDescent="0.35">
      <c r="B57" s="152"/>
      <c r="C57" s="155" t="s">
        <v>123</v>
      </c>
      <c r="D57" s="146" t="s">
        <v>124</v>
      </c>
      <c r="E57" s="146" t="s">
        <v>125</v>
      </c>
      <c r="F57" s="147" t="s">
        <v>126</v>
      </c>
      <c r="G57" s="147" t="s">
        <v>135</v>
      </c>
    </row>
    <row r="58" spans="1:50" ht="18.75" x14ac:dyDescent="0.35">
      <c r="B58" s="153" t="s">
        <v>127</v>
      </c>
      <c r="C58" s="156">
        <v>-1477422</v>
      </c>
      <c r="D58" s="74">
        <f ca="1">SUM(C51:N51)</f>
        <v>-330118.1385127735</v>
      </c>
      <c r="E58" s="74">
        <f ca="1">SUM(O51:Z51)</f>
        <v>-197316.74643687165</v>
      </c>
      <c r="F58" s="148">
        <f ca="1">SUM(AA51:AL51)</f>
        <v>108492.10355475488</v>
      </c>
      <c r="G58" s="148">
        <f ca="1">SUM(AM51:AX51)</f>
        <v>298223.27500066761</v>
      </c>
    </row>
    <row r="59" spans="1:50" ht="18.75" x14ac:dyDescent="0.35">
      <c r="B59" s="153" t="s">
        <v>128</v>
      </c>
      <c r="C59" s="157"/>
      <c r="D59" s="47"/>
      <c r="E59" s="47"/>
      <c r="F59" s="149">
        <f ca="1">C58 + NPV(0.15, D58:F58)</f>
        <v>-1842345.7399725753</v>
      </c>
      <c r="G59" s="149">
        <f ca="1">C58 + NPV(0.15, D58:G58)</f>
        <v>-1671835.6145795598</v>
      </c>
    </row>
    <row r="60" spans="1:50" ht="18.75" x14ac:dyDescent="0.35">
      <c r="B60" s="154" t="s">
        <v>129</v>
      </c>
      <c r="C60" s="158"/>
      <c r="D60" s="150"/>
      <c r="E60" s="150"/>
      <c r="F60" s="151">
        <f ca="1">IRR(C58:F58)</f>
        <v>-0.727055081352592</v>
      </c>
      <c r="G60" s="151">
        <f ca="1">IRR(C58:G58)</f>
        <v>-0.38384749006931851</v>
      </c>
    </row>
    <row r="61" spans="1:50" ht="18.75" x14ac:dyDescent="0.35">
      <c r="C61" s="47"/>
      <c r="D61" s="47"/>
      <c r="E61" s="47"/>
      <c r="F61" s="47"/>
    </row>
    <row r="62" spans="1:50" ht="18.75" x14ac:dyDescent="0.35">
      <c r="C62" s="47"/>
      <c r="D62" s="47"/>
      <c r="E62" s="47"/>
      <c r="F62" s="47"/>
    </row>
  </sheetData>
  <mergeCells count="4">
    <mergeCell ref="C2:N2"/>
    <mergeCell ref="O2:Z2"/>
    <mergeCell ref="AA2:AL2"/>
    <mergeCell ref="AM2:AX2"/>
  </mergeCells>
  <phoneticPr fontId="31" type="noConversion"/>
  <conditionalFormatting sqref="C11:AX1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1:AX5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C9:AX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3CB0-EF09-490F-9CCB-CD30A22C1F67}">
  <dimension ref="A1:AM62"/>
  <sheetViews>
    <sheetView showGridLines="0" zoomScale="50" zoomScaleNormal="50" workbookViewId="0">
      <selection activeCell="B65" sqref="B65"/>
    </sheetView>
  </sheetViews>
  <sheetFormatPr defaultRowHeight="15" x14ac:dyDescent="0.25"/>
  <cols>
    <col min="1" max="1" width="15.140625" customWidth="1"/>
    <col min="2" max="2" width="64.5703125" customWidth="1"/>
    <col min="3" max="3" width="17" customWidth="1"/>
    <col min="4" max="4" width="15.28515625" bestFit="1" customWidth="1"/>
    <col min="5" max="6" width="15.7109375" bestFit="1" customWidth="1"/>
    <col min="7" max="7" width="13.85546875" customWidth="1"/>
    <col min="8" max="8" width="13.85546875" bestFit="1" customWidth="1"/>
    <col min="9" max="10" width="13.28515625" bestFit="1" customWidth="1"/>
    <col min="11" max="11" width="15" bestFit="1" customWidth="1"/>
    <col min="12" max="15" width="13.85546875" bestFit="1" customWidth="1"/>
    <col min="16" max="16" width="14.140625" bestFit="1" customWidth="1"/>
    <col min="17" max="19" width="13.85546875" bestFit="1" customWidth="1"/>
    <col min="20" max="22" width="14.42578125" bestFit="1" customWidth="1"/>
    <col min="23" max="23" width="15" bestFit="1" customWidth="1"/>
    <col min="24" max="24" width="13.85546875" bestFit="1" customWidth="1"/>
    <col min="25" max="25" width="14.42578125" bestFit="1" customWidth="1"/>
    <col min="26" max="26" width="13.85546875" bestFit="1" customWidth="1"/>
    <col min="27" max="27" width="14.42578125" bestFit="1" customWidth="1"/>
    <col min="28" max="28" width="14.140625" bestFit="1" customWidth="1"/>
    <col min="29" max="30" width="14.42578125" bestFit="1" customWidth="1"/>
    <col min="31" max="31" width="13.85546875" bestFit="1" customWidth="1"/>
    <col min="32" max="34" width="14.42578125" bestFit="1" customWidth="1"/>
    <col min="35" max="35" width="15" bestFit="1" customWidth="1"/>
    <col min="36" max="36" width="13.85546875" bestFit="1" customWidth="1"/>
    <col min="37" max="38" width="14.42578125" bestFit="1" customWidth="1"/>
  </cols>
  <sheetData>
    <row r="1" spans="1:38" ht="90" customHeight="1" x14ac:dyDescent="0.65">
      <c r="B1" s="98" t="s">
        <v>133</v>
      </c>
      <c r="C1" s="98" t="s">
        <v>132</v>
      </c>
    </row>
    <row r="2" spans="1:38" ht="95.45" customHeight="1" x14ac:dyDescent="0.6">
      <c r="A2" s="34"/>
      <c r="B2" s="82" t="s">
        <v>122</v>
      </c>
      <c r="C2" s="87">
        <v>2026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>
        <v>2027</v>
      </c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9">
        <v>2028</v>
      </c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</row>
    <row r="3" spans="1:38" ht="18.75" x14ac:dyDescent="0.35">
      <c r="A3" s="34"/>
      <c r="B3" s="35" t="s">
        <v>77</v>
      </c>
      <c r="C3" s="36" t="s">
        <v>78</v>
      </c>
      <c r="D3" s="36" t="s">
        <v>79</v>
      </c>
      <c r="E3" s="36" t="s">
        <v>80</v>
      </c>
      <c r="F3" s="36" t="s">
        <v>81</v>
      </c>
      <c r="G3" s="36" t="s">
        <v>82</v>
      </c>
      <c r="H3" s="36" t="s">
        <v>83</v>
      </c>
      <c r="I3" s="36" t="s">
        <v>84</v>
      </c>
      <c r="J3" s="36" t="s">
        <v>85</v>
      </c>
      <c r="K3" s="36" t="s">
        <v>86</v>
      </c>
      <c r="L3" s="36" t="s">
        <v>87</v>
      </c>
      <c r="M3" s="36" t="s">
        <v>88</v>
      </c>
      <c r="N3" s="36" t="s">
        <v>89</v>
      </c>
      <c r="O3" s="36" t="s">
        <v>78</v>
      </c>
      <c r="P3" s="36" t="s">
        <v>79</v>
      </c>
      <c r="Q3" s="36" t="s">
        <v>80</v>
      </c>
      <c r="R3" s="36" t="s">
        <v>81</v>
      </c>
      <c r="S3" s="36" t="s">
        <v>82</v>
      </c>
      <c r="T3" s="36" t="s">
        <v>83</v>
      </c>
      <c r="U3" s="36" t="s">
        <v>84</v>
      </c>
      <c r="V3" s="36" t="s">
        <v>85</v>
      </c>
      <c r="W3" s="36" t="s">
        <v>86</v>
      </c>
      <c r="X3" s="36" t="s">
        <v>87</v>
      </c>
      <c r="Y3" s="36" t="s">
        <v>88</v>
      </c>
      <c r="Z3" s="36" t="s">
        <v>89</v>
      </c>
      <c r="AA3" s="36" t="s">
        <v>78</v>
      </c>
      <c r="AB3" s="36" t="s">
        <v>79</v>
      </c>
      <c r="AC3" s="36" t="s">
        <v>80</v>
      </c>
      <c r="AD3" s="36" t="s">
        <v>81</v>
      </c>
      <c r="AE3" s="36" t="s">
        <v>82</v>
      </c>
      <c r="AF3" s="36" t="s">
        <v>83</v>
      </c>
      <c r="AG3" s="36" t="s">
        <v>84</v>
      </c>
      <c r="AH3" s="36" t="s">
        <v>85</v>
      </c>
      <c r="AI3" s="36" t="s">
        <v>86</v>
      </c>
      <c r="AJ3" s="36" t="s">
        <v>87</v>
      </c>
      <c r="AK3" s="36" t="s">
        <v>88</v>
      </c>
      <c r="AL3" s="36" t="s">
        <v>89</v>
      </c>
    </row>
    <row r="4" spans="1:38" ht="18" x14ac:dyDescent="0.35">
      <c r="A4" s="34"/>
      <c r="B4" s="50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</row>
    <row r="5" spans="1:38" ht="32.1" customHeight="1" x14ac:dyDescent="0.35">
      <c r="A5" s="38">
        <v>1.03</v>
      </c>
      <c r="B5" s="49" t="s">
        <v>114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1:38" ht="27.6" customHeight="1" x14ac:dyDescent="0.35">
      <c r="A6" s="40">
        <v>3900</v>
      </c>
      <c r="B6" s="51" t="s">
        <v>115</v>
      </c>
      <c r="C6" s="74">
        <f ca="1">C21*C24*C25</f>
        <v>15727.763519999999</v>
      </c>
      <c r="D6" s="74">
        <f t="shared" ref="D6:AL6" ca="1" si="0">D21*D24*D25</f>
        <v>12058.466111999998</v>
      </c>
      <c r="E6" s="74">
        <f t="shared" ca="1" si="0"/>
        <v>9909.3238271999999</v>
      </c>
      <c r="F6" s="74">
        <f t="shared" ca="1" si="0"/>
        <v>8673.3233395199986</v>
      </c>
      <c r="G6" s="74">
        <f t="shared" ca="1" si="0"/>
        <v>7986.2776277759995</v>
      </c>
      <c r="H6" s="74">
        <f t="shared" ca="1" si="0"/>
        <v>7629.6958732108778</v>
      </c>
      <c r="I6" s="74">
        <f t="shared" ca="1" si="0"/>
        <v>7472.5054064027127</v>
      </c>
      <c r="J6" s="74">
        <f t="shared" ca="1" si="0"/>
        <v>7436.0848839673354</v>
      </c>
      <c r="K6" s="74">
        <f t="shared" ca="1" si="0"/>
        <v>7473.2842033086235</v>
      </c>
      <c r="L6" s="74">
        <f t="shared" ca="1" si="0"/>
        <v>7555.836460371961</v>
      </c>
      <c r="M6" s="74">
        <f t="shared" ca="1" si="0"/>
        <v>7666.8051333777012</v>
      </c>
      <c r="N6" s="74">
        <f t="shared" ca="1" si="0"/>
        <v>7796.0524023242351</v>
      </c>
      <c r="O6" s="74">
        <f t="shared" ca="1" si="0"/>
        <v>8170.9766251421697</v>
      </c>
      <c r="P6" s="74">
        <f t="shared" ca="1" si="0"/>
        <v>8325.4691192660466</v>
      </c>
      <c r="Q6" s="74">
        <f t="shared" ca="1" si="0"/>
        <v>8486.6222786239869</v>
      </c>
      <c r="R6" s="74">
        <f t="shared" ca="1" si="0"/>
        <v>8653.1409903800395</v>
      </c>
      <c r="S6" s="74">
        <f t="shared" ca="1" si="0"/>
        <v>8824.2755698977835</v>
      </c>
      <c r="T6" s="74">
        <f t="shared" ca="1" si="0"/>
        <v>8999.6041371218253</v>
      </c>
      <c r="U6" s="74">
        <f t="shared" ca="1" si="0"/>
        <v>9178.9020533599123</v>
      </c>
      <c r="V6" s="74">
        <f t="shared" ca="1" si="0"/>
        <v>9362.0635945245012</v>
      </c>
      <c r="W6" s="74">
        <f t="shared" ca="1" si="0"/>
        <v>9549.0549664734262</v>
      </c>
      <c r="X6" s="74">
        <f t="shared" ca="1" si="0"/>
        <v>9739.8861258379548</v>
      </c>
      <c r="Y6" s="74">
        <f t="shared" ca="1" si="0"/>
        <v>9934.5938843757485</v>
      </c>
      <c r="Z6" s="74">
        <f t="shared" ca="1" si="0"/>
        <v>10133.231783675885</v>
      </c>
      <c r="AA6" s="74">
        <f t="shared" ca="1" si="0"/>
        <v>10631.174433240318</v>
      </c>
      <c r="AB6" s="74">
        <f t="shared" ca="1" si="0"/>
        <v>10843.7779344794</v>
      </c>
      <c r="AC6" s="74">
        <f t="shared" ca="1" si="0"/>
        <v>11060.641500713553</v>
      </c>
      <c r="AD6" s="74">
        <f t="shared" ca="1" si="0"/>
        <v>11281.847135254562</v>
      </c>
      <c r="AE6" s="74">
        <f t="shared" ca="1" si="0"/>
        <v>11507.479760675693</v>
      </c>
      <c r="AF6" s="74">
        <f t="shared" ca="1" si="0"/>
        <v>11737.626765518833</v>
      </c>
      <c r="AG6" s="74">
        <f t="shared" ca="1" si="0"/>
        <v>11972.377746606986</v>
      </c>
      <c r="AH6" s="74">
        <f t="shared" ca="1" si="0"/>
        <v>12211.824369005792</v>
      </c>
      <c r="AI6" s="74">
        <f t="shared" ca="1" si="0"/>
        <v>12456.06029686591</v>
      </c>
      <c r="AJ6" s="74">
        <f t="shared" ca="1" si="0"/>
        <v>12705.18116709123</v>
      </c>
      <c r="AK6" s="74">
        <f t="shared" ca="1" si="0"/>
        <v>12959.284589005854</v>
      </c>
      <c r="AL6" s="74">
        <f t="shared" ca="1" si="0"/>
        <v>13218.47015992965</v>
      </c>
    </row>
    <row r="7" spans="1:38" ht="25.5" customHeight="1" x14ac:dyDescent="0.35">
      <c r="A7" s="56"/>
      <c r="B7" s="51" t="s">
        <v>116</v>
      </c>
      <c r="C7" s="75">
        <f>C13*C26</f>
        <v>36712.800000000003</v>
      </c>
      <c r="D7" s="75">
        <f t="shared" ref="D7:AL7" si="1">D13*D26</f>
        <v>28147.68</v>
      </c>
      <c r="E7" s="75">
        <f t="shared" si="1"/>
        <v>23131.008000000002</v>
      </c>
      <c r="F7" s="75">
        <f t="shared" si="1"/>
        <v>20245.852800000001</v>
      </c>
      <c r="G7" s="75">
        <f t="shared" si="1"/>
        <v>18642.104640000001</v>
      </c>
      <c r="H7" s="75">
        <f t="shared" si="1"/>
        <v>17809.747603199998</v>
      </c>
      <c r="I7" s="75">
        <f t="shared" si="1"/>
        <v>17442.823077503999</v>
      </c>
      <c r="J7" s="75">
        <f t="shared" si="1"/>
        <v>17357.80785239808</v>
      </c>
      <c r="K7" s="75">
        <f t="shared" si="1"/>
        <v>17444.640997452439</v>
      </c>
      <c r="L7" s="75">
        <f t="shared" si="1"/>
        <v>17637.340010205327</v>
      </c>
      <c r="M7" s="75">
        <f t="shared" si="1"/>
        <v>17896.370526091741</v>
      </c>
      <c r="N7" s="75">
        <f t="shared" si="1"/>
        <v>18198.06816602296</v>
      </c>
      <c r="O7" s="75">
        <f t="shared" si="1"/>
        <v>23160.364583736315</v>
      </c>
      <c r="P7" s="75">
        <f t="shared" si="1"/>
        <v>23598.268478645259</v>
      </c>
      <c r="Q7" s="75">
        <f t="shared" si="1"/>
        <v>24055.051810158693</v>
      </c>
      <c r="R7" s="75">
        <f t="shared" si="1"/>
        <v>24527.043623526188</v>
      </c>
      <c r="S7" s="75">
        <f t="shared" si="1"/>
        <v>25012.118962295302</v>
      </c>
      <c r="T7" s="75">
        <f t="shared" si="1"/>
        <v>25509.08202132037</v>
      </c>
      <c r="U7" s="75">
        <f t="shared" si="1"/>
        <v>26017.296069614269</v>
      </c>
      <c r="V7" s="75">
        <f t="shared" si="1"/>
        <v>26536.461435727048</v>
      </c>
      <c r="W7" s="75">
        <f t="shared" si="1"/>
        <v>27066.482331273881</v>
      </c>
      <c r="X7" s="75">
        <f t="shared" si="1"/>
        <v>27607.38697799874</v>
      </c>
      <c r="Y7" s="75">
        <f t="shared" si="1"/>
        <v>28159.279717618338</v>
      </c>
      <c r="Z7" s="75">
        <f t="shared" si="1"/>
        <v>28722.312312006477</v>
      </c>
      <c r="AA7" s="75">
        <f t="shared" si="1"/>
        <v>35156.00010992169</v>
      </c>
      <c r="AB7" s="75">
        <f t="shared" si="1"/>
        <v>35859.054016135582</v>
      </c>
      <c r="AC7" s="75">
        <f t="shared" si="1"/>
        <v>36576.195438867573</v>
      </c>
      <c r="AD7" s="75">
        <f t="shared" si="1"/>
        <v>37307.695553090489</v>
      </c>
      <c r="AE7" s="75">
        <f t="shared" si="1"/>
        <v>38053.835187419631</v>
      </c>
      <c r="AF7" s="75">
        <f t="shared" si="1"/>
        <v>38814.903325128427</v>
      </c>
      <c r="AG7" s="75">
        <f t="shared" si="1"/>
        <v>39591.196252007227</v>
      </c>
      <c r="AH7" s="75">
        <f t="shared" si="1"/>
        <v>40383.017093273127</v>
      </c>
      <c r="AI7" s="75">
        <f t="shared" si="1"/>
        <v>41190.675584874043</v>
      </c>
      <c r="AJ7" s="75">
        <f t="shared" si="1"/>
        <v>42014.487986412802</v>
      </c>
      <c r="AK7" s="75">
        <f t="shared" si="1"/>
        <v>42854.777080045817</v>
      </c>
      <c r="AL7" s="75">
        <f t="shared" si="1"/>
        <v>43711.872221989586</v>
      </c>
    </row>
    <row r="8" spans="1:38" ht="36.950000000000003" customHeight="1" x14ac:dyDescent="0.35">
      <c r="A8" s="56"/>
      <c r="B8" s="51" t="s">
        <v>117</v>
      </c>
      <c r="C8" s="75">
        <f ca="1">C21*C27</f>
        <v>64247.399999999994</v>
      </c>
      <c r="D8" s="75">
        <f t="shared" ref="D8:AL8" ca="1" si="2">D21*D27</f>
        <v>49258.44</v>
      </c>
      <c r="E8" s="75">
        <f t="shared" ca="1" si="2"/>
        <v>40479.263999999996</v>
      </c>
      <c r="F8" s="75">
        <f t="shared" ca="1" si="2"/>
        <v>35430.242399999996</v>
      </c>
      <c r="G8" s="75">
        <f t="shared" ca="1" si="2"/>
        <v>32623.683120000002</v>
      </c>
      <c r="H8" s="75">
        <f t="shared" ca="1" si="2"/>
        <v>31167.058305599996</v>
      </c>
      <c r="I8" s="75">
        <f t="shared" ca="1" si="2"/>
        <v>30524.940385631999</v>
      </c>
      <c r="J8" s="75">
        <f t="shared" ca="1" si="2"/>
        <v>30376.163741696637</v>
      </c>
      <c r="K8" s="75">
        <f t="shared" ca="1" si="2"/>
        <v>30528.121745541765</v>
      </c>
      <c r="L8" s="75">
        <f t="shared" ca="1" si="2"/>
        <v>30865.345017859323</v>
      </c>
      <c r="M8" s="75">
        <f t="shared" ca="1" si="2"/>
        <v>31318.648420660546</v>
      </c>
      <c r="N8" s="75">
        <f t="shared" ca="1" si="2"/>
        <v>31846.61929054018</v>
      </c>
      <c r="O8" s="75">
        <f t="shared" ca="1" si="2"/>
        <v>38909.412500677005</v>
      </c>
      <c r="P8" s="75">
        <f t="shared" ca="1" si="2"/>
        <v>39645.091044124034</v>
      </c>
      <c r="Q8" s="75">
        <f t="shared" ca="1" si="2"/>
        <v>40412.487041066604</v>
      </c>
      <c r="R8" s="75">
        <f t="shared" ca="1" si="2"/>
        <v>41205.433287523992</v>
      </c>
      <c r="S8" s="75">
        <f t="shared" ca="1" si="2"/>
        <v>42020.359856656112</v>
      </c>
      <c r="T8" s="75">
        <f t="shared" ca="1" si="2"/>
        <v>42855.257795818216</v>
      </c>
      <c r="U8" s="75">
        <f t="shared" ca="1" si="2"/>
        <v>43709.057396951961</v>
      </c>
      <c r="V8" s="75">
        <f t="shared" ca="1" si="2"/>
        <v>44581.255212021439</v>
      </c>
      <c r="W8" s="75">
        <f t="shared" ca="1" si="2"/>
        <v>45471.690316540124</v>
      </c>
      <c r="X8" s="75">
        <f t="shared" ca="1" si="2"/>
        <v>46380.41012303788</v>
      </c>
      <c r="Y8" s="75">
        <f t="shared" ca="1" si="2"/>
        <v>47307.589925598804</v>
      </c>
      <c r="Z8" s="75">
        <f t="shared" ca="1" si="2"/>
        <v>48253.484684170886</v>
      </c>
      <c r="AA8" s="75">
        <f t="shared" ca="1" si="2"/>
        <v>57421.466846205425</v>
      </c>
      <c r="AB8" s="75">
        <f t="shared" ca="1" si="2"/>
        <v>58569.78822635478</v>
      </c>
      <c r="AC8" s="75">
        <f t="shared" ca="1" si="2"/>
        <v>59741.119216817031</v>
      </c>
      <c r="AD8" s="75">
        <f t="shared" ca="1" si="2"/>
        <v>60935.902736714459</v>
      </c>
      <c r="AE8" s="75">
        <f t="shared" ca="1" si="2"/>
        <v>62154.59747278539</v>
      </c>
      <c r="AF8" s="75">
        <f t="shared" ca="1" si="2"/>
        <v>63397.675431043084</v>
      </c>
      <c r="AG8" s="75">
        <f t="shared" ca="1" si="2"/>
        <v>64665.620544945145</v>
      </c>
      <c r="AH8" s="75">
        <f t="shared" ca="1" si="2"/>
        <v>65958.927919012756</v>
      </c>
      <c r="AI8" s="75">
        <f t="shared" ca="1" si="2"/>
        <v>67278.103455294258</v>
      </c>
      <c r="AJ8" s="75">
        <f t="shared" ca="1" si="2"/>
        <v>68623.663711140893</v>
      </c>
      <c r="AK8" s="75">
        <f t="shared" ca="1" si="2"/>
        <v>69996.135897408152</v>
      </c>
      <c r="AL8" s="75">
        <f t="shared" ca="1" si="2"/>
        <v>71396.057962582985</v>
      </c>
    </row>
    <row r="9" spans="1:38" ht="26.45" customHeight="1" x14ac:dyDescent="0.35">
      <c r="A9" s="56"/>
      <c r="B9" s="81" t="s">
        <v>118</v>
      </c>
      <c r="C9" s="75">
        <f ca="1">SUM(C6:C8)</f>
        <v>116687.96351999999</v>
      </c>
      <c r="D9" s="75">
        <f t="shared" ref="D9:AL9" ca="1" si="3">SUM(D6:D8)</f>
        <v>89464.586112000005</v>
      </c>
      <c r="E9" s="75">
        <f t="shared" ca="1" si="3"/>
        <v>73519.595827199999</v>
      </c>
      <c r="F9" s="75">
        <f t="shared" ca="1" si="3"/>
        <v>64349.418539519997</v>
      </c>
      <c r="G9" s="75">
        <f t="shared" ca="1" si="3"/>
        <v>59252.065387776005</v>
      </c>
      <c r="H9" s="75">
        <f t="shared" ca="1" si="3"/>
        <v>56606.50178201087</v>
      </c>
      <c r="I9" s="75">
        <f t="shared" ca="1" si="3"/>
        <v>55440.268869538711</v>
      </c>
      <c r="J9" s="75">
        <f t="shared" ca="1" si="3"/>
        <v>55170.056478062048</v>
      </c>
      <c r="K9" s="75">
        <f t="shared" ca="1" si="3"/>
        <v>55446.046946302828</v>
      </c>
      <c r="L9" s="75">
        <f t="shared" ca="1" si="3"/>
        <v>56058.521488436614</v>
      </c>
      <c r="M9" s="75">
        <f t="shared" ca="1" si="3"/>
        <v>56881.824080129983</v>
      </c>
      <c r="N9" s="75">
        <f t="shared" ca="1" si="3"/>
        <v>57840.739858887377</v>
      </c>
      <c r="O9" s="75">
        <f t="shared" ca="1" si="3"/>
        <v>70240.753709555487</v>
      </c>
      <c r="P9" s="75">
        <f t="shared" ca="1" si="3"/>
        <v>71568.82864203534</v>
      </c>
      <c r="Q9" s="75">
        <f t="shared" ca="1" si="3"/>
        <v>72954.161129849294</v>
      </c>
      <c r="R9" s="75">
        <f t="shared" ca="1" si="3"/>
        <v>74385.617901430218</v>
      </c>
      <c r="S9" s="75">
        <f t="shared" ca="1" si="3"/>
        <v>75856.754388849193</v>
      </c>
      <c r="T9" s="75">
        <f t="shared" ca="1" si="3"/>
        <v>77363.943954260409</v>
      </c>
      <c r="U9" s="75">
        <f t="shared" ca="1" si="3"/>
        <v>78905.255519926141</v>
      </c>
      <c r="V9" s="75">
        <f t="shared" ca="1" si="3"/>
        <v>80479.780242272987</v>
      </c>
      <c r="W9" s="75">
        <f t="shared" ca="1" si="3"/>
        <v>82087.227614287433</v>
      </c>
      <c r="X9" s="75">
        <f t="shared" ca="1" si="3"/>
        <v>83727.683226874564</v>
      </c>
      <c r="Y9" s="75">
        <f t="shared" ca="1" si="3"/>
        <v>85401.463527592889</v>
      </c>
      <c r="Z9" s="75">
        <f t="shared" ca="1" si="3"/>
        <v>87109.028779853252</v>
      </c>
      <c r="AA9" s="75">
        <f t="shared" ca="1" si="3"/>
        <v>103208.64138936743</v>
      </c>
      <c r="AB9" s="75">
        <f t="shared" ca="1" si="3"/>
        <v>105272.62017696977</v>
      </c>
      <c r="AC9" s="75">
        <f t="shared" ca="1" si="3"/>
        <v>107377.95615639816</v>
      </c>
      <c r="AD9" s="75">
        <f t="shared" ca="1" si="3"/>
        <v>109525.4454250595</v>
      </c>
      <c r="AE9" s="75">
        <f t="shared" ca="1" si="3"/>
        <v>111715.91242088072</v>
      </c>
      <c r="AF9" s="75">
        <f t="shared" ca="1" si="3"/>
        <v>113950.20552169034</v>
      </c>
      <c r="AG9" s="75">
        <f t="shared" ca="1" si="3"/>
        <v>116229.19454355937</v>
      </c>
      <c r="AH9" s="75">
        <f t="shared" ca="1" si="3"/>
        <v>118553.76938129167</v>
      </c>
      <c r="AI9" s="75">
        <f t="shared" ca="1" si="3"/>
        <v>120924.83933703421</v>
      </c>
      <c r="AJ9" s="75">
        <f t="shared" ca="1" si="3"/>
        <v>123343.33286464492</v>
      </c>
      <c r="AK9" s="75">
        <f t="shared" ca="1" si="3"/>
        <v>125810.19756645983</v>
      </c>
      <c r="AL9" s="75">
        <f t="shared" ca="1" si="3"/>
        <v>128326.40034450222</v>
      </c>
    </row>
    <row r="10" spans="1:38" ht="18.75" x14ac:dyDescent="0.35">
      <c r="A10" s="57"/>
      <c r="B10" s="51" t="s">
        <v>90</v>
      </c>
      <c r="C10" s="44">
        <v>1</v>
      </c>
      <c r="D10" s="44">
        <f ca="1">(D9/C9*100%)-100%</f>
        <v>-0.23330064718572263</v>
      </c>
      <c r="E10" s="44">
        <f ca="1">(E9/D9*100%)-100%</f>
        <v>-0.17822683787793525</v>
      </c>
      <c r="F10" s="44">
        <f t="shared" ref="F10:AL10" ca="1" si="4">(F9/E9*100%)-100%</f>
        <v>-0.12473106230389963</v>
      </c>
      <c r="G10" s="44">
        <f t="shared" ca="1" si="4"/>
        <v>-7.921366295817367E-2</v>
      </c>
      <c r="H10" s="44">
        <f t="shared" ca="1" si="4"/>
        <v>-4.4649306120406185E-2</v>
      </c>
      <c r="I10" s="44">
        <f t="shared" ca="1" si="4"/>
        <v>-2.0602455120142693E-2</v>
      </c>
      <c r="J10" s="44">
        <f t="shared" ca="1" si="4"/>
        <v>-4.8739372478968646E-3</v>
      </c>
      <c r="K10" s="44">
        <f t="shared" ca="1" si="4"/>
        <v>5.0025409771063956E-3</v>
      </c>
      <c r="L10" s="44">
        <f t="shared" ca="1" si="4"/>
        <v>1.104631575857784E-2</v>
      </c>
      <c r="M10" s="44">
        <f t="shared" ca="1" si="4"/>
        <v>1.4686484228150665E-2</v>
      </c>
      <c r="N10" s="44">
        <f t="shared" ca="1" si="4"/>
        <v>1.6858034956940937E-2</v>
      </c>
      <c r="O10" s="44">
        <f t="shared" ca="1" si="4"/>
        <v>0.2143820061935604</v>
      </c>
      <c r="P10" s="44">
        <f t="shared" ca="1" si="4"/>
        <v>1.8907469842528002E-2</v>
      </c>
      <c r="Q10" s="44">
        <f t="shared" ca="1" si="4"/>
        <v>1.9356646099979447E-2</v>
      </c>
      <c r="R10" s="44">
        <f t="shared" ca="1" si="4"/>
        <v>1.9621317679646921E-2</v>
      </c>
      <c r="S10" s="44">
        <f t="shared" ca="1" si="4"/>
        <v>1.977716296406129E-2</v>
      </c>
      <c r="T10" s="44">
        <f t="shared" ca="1" si="4"/>
        <v>1.9868890747489765E-2</v>
      </c>
      <c r="U10" s="44">
        <f t="shared" ca="1" si="4"/>
        <v>1.9922866995728539E-2</v>
      </c>
      <c r="V10" s="44">
        <f t="shared" ca="1" si="4"/>
        <v>1.9954624213202488E-2</v>
      </c>
      <c r="W10" s="44">
        <f t="shared" ca="1" si="4"/>
        <v>1.9973307173248411E-2</v>
      </c>
      <c r="X10" s="44">
        <f t="shared" ca="1" si="4"/>
        <v>1.9984297926290306E-2</v>
      </c>
      <c r="Y10" s="44">
        <f t="shared" ca="1" si="4"/>
        <v>1.9990763343862294E-2</v>
      </c>
      <c r="Z10" s="44">
        <f t="shared" ca="1" si="4"/>
        <v>1.9994566623658061E-2</v>
      </c>
      <c r="AA10" s="44">
        <f t="shared" ca="1" si="4"/>
        <v>0.18482139951533627</v>
      </c>
      <c r="AB10" s="44">
        <f t="shared" ca="1" si="4"/>
        <v>1.9998119923076096E-2</v>
      </c>
      <c r="AC10" s="44">
        <f t="shared" ca="1" si="4"/>
        <v>1.9998894070359263E-2</v>
      </c>
      <c r="AD10" s="44">
        <f t="shared" ca="1" si="4"/>
        <v>1.9999349452447079E-2</v>
      </c>
      <c r="AE10" s="44">
        <f t="shared" ca="1" si="4"/>
        <v>1.9999617324724772E-2</v>
      </c>
      <c r="AF10" s="44">
        <f t="shared" ca="1" si="4"/>
        <v>1.9999774896812372E-2</v>
      </c>
      <c r="AG10" s="44">
        <f t="shared" ca="1" si="4"/>
        <v>1.9999867586331099E-2</v>
      </c>
      <c r="AH10" s="44">
        <f t="shared" ca="1" si="4"/>
        <v>1.9999922109596335E-2</v>
      </c>
      <c r="AI10" s="44">
        <f t="shared" ca="1" si="4"/>
        <v>1.9999954182112312E-2</v>
      </c>
      <c r="AJ10" s="44">
        <f t="shared" ca="1" si="4"/>
        <v>1.9999973048300257E-2</v>
      </c>
      <c r="AK10" s="44">
        <f t="shared" ca="1" si="4"/>
        <v>1.9999984146058525E-2</v>
      </c>
      <c r="AL10" s="44">
        <f t="shared" ca="1" si="4"/>
        <v>1.9999990674151924E-2</v>
      </c>
    </row>
    <row r="11" spans="1:38" ht="23.1" customHeight="1" x14ac:dyDescent="0.35">
      <c r="A11" s="57"/>
      <c r="B11" s="52"/>
      <c r="C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 spans="1:38" ht="22.5" customHeight="1" x14ac:dyDescent="0.35">
      <c r="A12" s="58"/>
      <c r="B12" s="49" t="s">
        <v>93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</row>
    <row r="13" spans="1:38" ht="29.45" customHeight="1" x14ac:dyDescent="0.35">
      <c r="A13" s="38">
        <v>0.02</v>
      </c>
      <c r="B13" s="51" t="s">
        <v>106</v>
      </c>
      <c r="C13" s="72">
        <f>30594-30594*C15</f>
        <v>18356.400000000001</v>
      </c>
      <c r="D13" s="69">
        <f>C13+D14-(C13*D15)</f>
        <v>14073.84</v>
      </c>
      <c r="E13" s="69">
        <f t="shared" ref="E13:AL13" si="5">D13+E14-(D13*E15)</f>
        <v>11565.504000000001</v>
      </c>
      <c r="F13" s="69">
        <f t="shared" si="5"/>
        <v>10122.9264</v>
      </c>
      <c r="G13" s="69">
        <f t="shared" si="5"/>
        <v>9321.0523200000007</v>
      </c>
      <c r="H13" s="69">
        <f t="shared" si="5"/>
        <v>8904.8738015999988</v>
      </c>
      <c r="I13" s="69">
        <f t="shared" si="5"/>
        <v>8721.4115387519996</v>
      </c>
      <c r="J13" s="69">
        <f t="shared" si="5"/>
        <v>8678.9039261990401</v>
      </c>
      <c r="K13" s="69">
        <f t="shared" si="5"/>
        <v>8722.3204987262197</v>
      </c>
      <c r="L13" s="69">
        <f t="shared" si="5"/>
        <v>8818.6700051026637</v>
      </c>
      <c r="M13" s="69">
        <f t="shared" si="5"/>
        <v>8948.1852630458707</v>
      </c>
      <c r="N13" s="69">
        <f t="shared" si="5"/>
        <v>9099.0340830114801</v>
      </c>
      <c r="O13" s="69">
        <f t="shared" si="5"/>
        <v>9264.1458334945255</v>
      </c>
      <c r="P13" s="69">
        <f t="shared" si="5"/>
        <v>9439.3073914581037</v>
      </c>
      <c r="Q13" s="69">
        <f t="shared" si="5"/>
        <v>9622.0207240634772</v>
      </c>
      <c r="R13" s="69">
        <f t="shared" si="5"/>
        <v>9810.8174494104751</v>
      </c>
      <c r="S13" s="69">
        <f t="shared" si="5"/>
        <v>10004.847584918121</v>
      </c>
      <c r="T13" s="69">
        <f t="shared" si="5"/>
        <v>10203.632808528148</v>
      </c>
      <c r="U13" s="69">
        <f t="shared" si="5"/>
        <v>10406.918427845707</v>
      </c>
      <c r="V13" s="69">
        <f t="shared" si="5"/>
        <v>10614.584574290819</v>
      </c>
      <c r="W13" s="69">
        <f t="shared" si="5"/>
        <v>10826.592932509553</v>
      </c>
      <c r="X13" s="69">
        <f t="shared" si="5"/>
        <v>11042.954791199496</v>
      </c>
      <c r="Y13" s="69">
        <f t="shared" si="5"/>
        <v>11263.711887047335</v>
      </c>
      <c r="Z13" s="69">
        <f t="shared" si="5"/>
        <v>11488.924924802592</v>
      </c>
      <c r="AA13" s="69">
        <f t="shared" si="5"/>
        <v>11718.66670330723</v>
      </c>
      <c r="AB13" s="69">
        <f t="shared" si="5"/>
        <v>11953.018005378528</v>
      </c>
      <c r="AC13" s="69">
        <f t="shared" si="5"/>
        <v>12192.065146289191</v>
      </c>
      <c r="AD13" s="69">
        <f t="shared" si="5"/>
        <v>12435.898517696829</v>
      </c>
      <c r="AE13" s="69">
        <f t="shared" si="5"/>
        <v>12684.611729139877</v>
      </c>
      <c r="AF13" s="69">
        <f t="shared" si="5"/>
        <v>12938.301108376141</v>
      </c>
      <c r="AG13" s="69">
        <f t="shared" si="5"/>
        <v>13197.065417335743</v>
      </c>
      <c r="AH13" s="69">
        <f t="shared" si="5"/>
        <v>13461.005697757708</v>
      </c>
      <c r="AI13" s="69">
        <f t="shared" si="5"/>
        <v>13730.225194958013</v>
      </c>
      <c r="AJ13" s="69">
        <f t="shared" si="5"/>
        <v>14004.829328804266</v>
      </c>
      <c r="AK13" s="69">
        <f t="shared" si="5"/>
        <v>14284.925693348605</v>
      </c>
      <c r="AL13" s="69">
        <f t="shared" si="5"/>
        <v>14570.624073996529</v>
      </c>
    </row>
    <row r="14" spans="1:38" ht="24.6" customHeight="1" x14ac:dyDescent="0.35">
      <c r="A14" s="100">
        <v>3000</v>
      </c>
      <c r="B14" s="51" t="s">
        <v>105</v>
      </c>
      <c r="C14" s="70">
        <f>$A$14</f>
        <v>3000</v>
      </c>
      <c r="D14" s="69">
        <f>C14+C14*$A$13</f>
        <v>3060</v>
      </c>
      <c r="E14" s="69">
        <f t="shared" ref="E14:AL14" si="6">D14+D14*$A$13</f>
        <v>3121.2</v>
      </c>
      <c r="F14" s="69">
        <f t="shared" si="6"/>
        <v>3183.6239999999998</v>
      </c>
      <c r="G14" s="69">
        <f t="shared" si="6"/>
        <v>3247.29648</v>
      </c>
      <c r="H14" s="69">
        <f t="shared" si="6"/>
        <v>3312.2424096</v>
      </c>
      <c r="I14" s="69">
        <f t="shared" si="6"/>
        <v>3378.487257792</v>
      </c>
      <c r="J14" s="69">
        <f t="shared" si="6"/>
        <v>3446.0570029478399</v>
      </c>
      <c r="K14" s="69">
        <f t="shared" si="6"/>
        <v>3514.9781430067969</v>
      </c>
      <c r="L14" s="69">
        <f t="shared" si="6"/>
        <v>3585.277705866933</v>
      </c>
      <c r="M14" s="69">
        <f t="shared" si="6"/>
        <v>3656.9832599842716</v>
      </c>
      <c r="N14" s="69">
        <f t="shared" si="6"/>
        <v>3730.1229251839572</v>
      </c>
      <c r="O14" s="69">
        <f t="shared" si="6"/>
        <v>3804.7253836876362</v>
      </c>
      <c r="P14" s="69">
        <f t="shared" si="6"/>
        <v>3880.8198913613887</v>
      </c>
      <c r="Q14" s="69">
        <f t="shared" si="6"/>
        <v>3958.4362891886167</v>
      </c>
      <c r="R14" s="69">
        <f t="shared" si="6"/>
        <v>4037.6050149723892</v>
      </c>
      <c r="S14" s="69">
        <f t="shared" si="6"/>
        <v>4118.3571152718368</v>
      </c>
      <c r="T14" s="69">
        <f t="shared" si="6"/>
        <v>4200.7242575772734</v>
      </c>
      <c r="U14" s="69">
        <f t="shared" si="6"/>
        <v>4284.7387427288186</v>
      </c>
      <c r="V14" s="69">
        <f t="shared" si="6"/>
        <v>4370.4335175833949</v>
      </c>
      <c r="W14" s="69">
        <f t="shared" si="6"/>
        <v>4457.8421879350626</v>
      </c>
      <c r="X14" s="69">
        <f t="shared" si="6"/>
        <v>4546.9990316937638</v>
      </c>
      <c r="Y14" s="69">
        <f t="shared" si="6"/>
        <v>4637.9390123276389</v>
      </c>
      <c r="Z14" s="69">
        <f t="shared" si="6"/>
        <v>4730.6977925741921</v>
      </c>
      <c r="AA14" s="69">
        <f t="shared" si="6"/>
        <v>4825.3117484256763</v>
      </c>
      <c r="AB14" s="69">
        <f t="shared" si="6"/>
        <v>4921.8179833941895</v>
      </c>
      <c r="AC14" s="69">
        <f t="shared" si="6"/>
        <v>5020.2543430620735</v>
      </c>
      <c r="AD14" s="69">
        <f t="shared" si="6"/>
        <v>5120.6594299233147</v>
      </c>
      <c r="AE14" s="69">
        <f t="shared" si="6"/>
        <v>5223.0726185217809</v>
      </c>
      <c r="AF14" s="69">
        <f t="shared" si="6"/>
        <v>5327.5340708922167</v>
      </c>
      <c r="AG14" s="69">
        <f t="shared" si="6"/>
        <v>5434.084752310061</v>
      </c>
      <c r="AH14" s="69">
        <f t="shared" si="6"/>
        <v>5542.7664473562627</v>
      </c>
      <c r="AI14" s="69">
        <f t="shared" si="6"/>
        <v>5653.6217763033883</v>
      </c>
      <c r="AJ14" s="69">
        <f t="shared" si="6"/>
        <v>5766.6942118294564</v>
      </c>
      <c r="AK14" s="69">
        <f t="shared" si="6"/>
        <v>5882.0280960660457</v>
      </c>
      <c r="AL14" s="69">
        <f t="shared" si="6"/>
        <v>5999.6686579873667</v>
      </c>
    </row>
    <row r="15" spans="1:38" ht="22.5" customHeight="1" x14ac:dyDescent="0.35">
      <c r="A15" s="101">
        <v>0.4</v>
      </c>
      <c r="B15" s="51" t="s">
        <v>27</v>
      </c>
      <c r="C15" s="63">
        <f>$A$15</f>
        <v>0.4</v>
      </c>
      <c r="D15" s="63">
        <f t="shared" ref="D15:AL15" si="7">$A$15</f>
        <v>0.4</v>
      </c>
      <c r="E15" s="63">
        <f t="shared" si="7"/>
        <v>0.4</v>
      </c>
      <c r="F15" s="63">
        <f t="shared" si="7"/>
        <v>0.4</v>
      </c>
      <c r="G15" s="63">
        <f t="shared" si="7"/>
        <v>0.4</v>
      </c>
      <c r="H15" s="63">
        <f t="shared" si="7"/>
        <v>0.4</v>
      </c>
      <c r="I15" s="63">
        <f t="shared" si="7"/>
        <v>0.4</v>
      </c>
      <c r="J15" s="63">
        <f t="shared" si="7"/>
        <v>0.4</v>
      </c>
      <c r="K15" s="63">
        <f t="shared" si="7"/>
        <v>0.4</v>
      </c>
      <c r="L15" s="63">
        <f t="shared" si="7"/>
        <v>0.4</v>
      </c>
      <c r="M15" s="63">
        <f t="shared" si="7"/>
        <v>0.4</v>
      </c>
      <c r="N15" s="63">
        <f t="shared" si="7"/>
        <v>0.4</v>
      </c>
      <c r="O15" s="63">
        <f t="shared" si="7"/>
        <v>0.4</v>
      </c>
      <c r="P15" s="63">
        <f t="shared" si="7"/>
        <v>0.4</v>
      </c>
      <c r="Q15" s="63">
        <f t="shared" si="7"/>
        <v>0.4</v>
      </c>
      <c r="R15" s="63">
        <f t="shared" si="7"/>
        <v>0.4</v>
      </c>
      <c r="S15" s="63">
        <f t="shared" si="7"/>
        <v>0.4</v>
      </c>
      <c r="T15" s="63">
        <f t="shared" si="7"/>
        <v>0.4</v>
      </c>
      <c r="U15" s="63">
        <f t="shared" si="7"/>
        <v>0.4</v>
      </c>
      <c r="V15" s="63">
        <f t="shared" si="7"/>
        <v>0.4</v>
      </c>
      <c r="W15" s="63">
        <f t="shared" si="7"/>
        <v>0.4</v>
      </c>
      <c r="X15" s="63">
        <f t="shared" si="7"/>
        <v>0.4</v>
      </c>
      <c r="Y15" s="63">
        <f t="shared" si="7"/>
        <v>0.4</v>
      </c>
      <c r="Z15" s="63">
        <f t="shared" si="7"/>
        <v>0.4</v>
      </c>
      <c r="AA15" s="63">
        <f t="shared" si="7"/>
        <v>0.4</v>
      </c>
      <c r="AB15" s="63">
        <f t="shared" si="7"/>
        <v>0.4</v>
      </c>
      <c r="AC15" s="63">
        <f t="shared" si="7"/>
        <v>0.4</v>
      </c>
      <c r="AD15" s="63">
        <f t="shared" si="7"/>
        <v>0.4</v>
      </c>
      <c r="AE15" s="63">
        <f t="shared" si="7"/>
        <v>0.4</v>
      </c>
      <c r="AF15" s="63">
        <f t="shared" si="7"/>
        <v>0.4</v>
      </c>
      <c r="AG15" s="63">
        <f t="shared" si="7"/>
        <v>0.4</v>
      </c>
      <c r="AH15" s="63">
        <f t="shared" si="7"/>
        <v>0.4</v>
      </c>
      <c r="AI15" s="63">
        <f t="shared" si="7"/>
        <v>0.4</v>
      </c>
      <c r="AJ15" s="63">
        <f t="shared" si="7"/>
        <v>0.4</v>
      </c>
      <c r="AK15" s="63">
        <f t="shared" si="7"/>
        <v>0.4</v>
      </c>
      <c r="AL15" s="63">
        <f t="shared" si="7"/>
        <v>0.4</v>
      </c>
    </row>
    <row r="16" spans="1:38" ht="24" customHeight="1" x14ac:dyDescent="0.35">
      <c r="A16" s="71">
        <v>495</v>
      </c>
      <c r="B16" s="51" t="s">
        <v>107</v>
      </c>
      <c r="C16" s="64">
        <f>$A$16</f>
        <v>495</v>
      </c>
      <c r="D16" s="64">
        <f>C16+(D14/18)-(C16*15%)</f>
        <v>590.75</v>
      </c>
      <c r="E16" s="64">
        <f t="shared" ref="E16:AL16" si="8">D16+(E14/18)-(D16*15%)</f>
        <v>675.53750000000002</v>
      </c>
      <c r="F16" s="64">
        <f t="shared" si="8"/>
        <v>751.07487500000002</v>
      </c>
      <c r="G16" s="64">
        <f t="shared" si="8"/>
        <v>818.81900374999998</v>
      </c>
      <c r="H16" s="64">
        <f t="shared" si="8"/>
        <v>880.00962038750004</v>
      </c>
      <c r="I16" s="64">
        <f t="shared" si="8"/>
        <v>935.70191387337491</v>
      </c>
      <c r="J16" s="64">
        <f t="shared" si="8"/>
        <v>986.79423806724867</v>
      </c>
      <c r="K16" s="64">
        <f t="shared" si="8"/>
        <v>1034.0516658575391</v>
      </c>
      <c r="L16" s="64">
        <f t="shared" si="8"/>
        <v>1078.1260107492935</v>
      </c>
      <c r="M16" s="64">
        <f t="shared" si="8"/>
        <v>1119.5728458026922</v>
      </c>
      <c r="N16" s="64">
        <f t="shared" si="8"/>
        <v>1158.8659703313972</v>
      </c>
      <c r="O16" s="64">
        <f t="shared" si="8"/>
        <v>1196.4097072087786</v>
      </c>
      <c r="P16" s="64">
        <f t="shared" si="8"/>
        <v>1232.5493562030945</v>
      </c>
      <c r="Q16" s="64">
        <f t="shared" si="8"/>
        <v>1267.5800799497758</v>
      </c>
      <c r="R16" s="64">
        <f t="shared" si="8"/>
        <v>1301.7544576779978</v>
      </c>
      <c r="S16" s="64">
        <f t="shared" si="8"/>
        <v>1335.2889065414001</v>
      </c>
      <c r="T16" s="64">
        <f t="shared" si="8"/>
        <v>1368.3691404255942</v>
      </c>
      <c r="U16" s="64">
        <f t="shared" si="8"/>
        <v>1401.154810624467</v>
      </c>
      <c r="V16" s="64">
        <f t="shared" si="8"/>
        <v>1433.7834511187634</v>
      </c>
      <c r="W16" s="64">
        <f t="shared" si="8"/>
        <v>1466.3738327806745</v>
      </c>
      <c r="X16" s="64">
        <f t="shared" si="8"/>
        <v>1499.0288151798936</v>
      </c>
      <c r="Y16" s="64">
        <f t="shared" si="8"/>
        <v>1531.8377713655561</v>
      </c>
      <c r="Z16" s="64">
        <f t="shared" si="8"/>
        <v>1564.8786496926223</v>
      </c>
      <c r="AA16" s="64">
        <f t="shared" si="8"/>
        <v>1598.2197271512666</v>
      </c>
      <c r="AB16" s="64">
        <f t="shared" si="8"/>
        <v>1631.921100489365</v>
      </c>
      <c r="AC16" s="64">
        <f t="shared" si="8"/>
        <v>1666.0359544749642</v>
      </c>
      <c r="AD16" s="64">
        <f t="shared" si="8"/>
        <v>1700.6116407439038</v>
      </c>
      <c r="AE16" s="64">
        <f t="shared" si="8"/>
        <v>1735.6905956613061</v>
      </c>
      <c r="AF16" s="64">
        <f t="shared" si="8"/>
        <v>1771.311121361678</v>
      </c>
      <c r="AG16" s="64">
        <f t="shared" si="8"/>
        <v>1807.5080505079854</v>
      </c>
      <c r="AH16" s="64">
        <f t="shared" si="8"/>
        <v>1844.3133122293575</v>
      </c>
      <c r="AI16" s="64">
        <f t="shared" si="8"/>
        <v>1881.7564140784752</v>
      </c>
      <c r="AJ16" s="64">
        <f t="shared" si="8"/>
        <v>1919.8648526238958</v>
      </c>
      <c r="AK16" s="64">
        <f t="shared" si="8"/>
        <v>1958.6644634006475</v>
      </c>
      <c r="AL16" s="64">
        <f t="shared" si="8"/>
        <v>1998.1797193342929</v>
      </c>
    </row>
    <row r="17" spans="1:39" ht="18.75" x14ac:dyDescent="0.35">
      <c r="A17" s="59"/>
      <c r="B17" s="95" t="s">
        <v>108</v>
      </c>
      <c r="C17" s="64">
        <f>C13/C16</f>
        <v>37.083636363636366</v>
      </c>
      <c r="D17" s="64">
        <f>D13/D16</f>
        <v>23.823681760473974</v>
      </c>
      <c r="E17" s="64">
        <f t="shared" ref="E17:AL17" si="9">E13/E16</f>
        <v>17.120447051422016</v>
      </c>
      <c r="F17" s="64">
        <f t="shared" si="9"/>
        <v>13.477919095616134</v>
      </c>
      <c r="G17" s="64">
        <f t="shared" si="9"/>
        <v>11.383531986082096</v>
      </c>
      <c r="H17" s="64">
        <f t="shared" si="9"/>
        <v>10.119064150320153</v>
      </c>
      <c r="I17" s="64">
        <f t="shared" si="9"/>
        <v>9.3207157209387042</v>
      </c>
      <c r="J17" s="64">
        <f t="shared" si="9"/>
        <v>8.7950492528185844</v>
      </c>
      <c r="K17" s="64">
        <f t="shared" si="9"/>
        <v>8.4350915788069436</v>
      </c>
      <c r="L17" s="64">
        <f t="shared" si="9"/>
        <v>8.1796282783064669</v>
      </c>
      <c r="M17" s="64">
        <f t="shared" si="9"/>
        <v>7.992499368480444</v>
      </c>
      <c r="N17" s="64">
        <f t="shared" si="9"/>
        <v>7.851670785025691</v>
      </c>
      <c r="O17" s="64">
        <f t="shared" si="9"/>
        <v>7.7432887560798536</v>
      </c>
      <c r="P17" s="64">
        <f t="shared" si="9"/>
        <v>7.6583605710818556</v>
      </c>
      <c r="Q17" s="64">
        <f t="shared" si="9"/>
        <v>7.5908582631282133</v>
      </c>
      <c r="R17" s="64">
        <f t="shared" si="9"/>
        <v>7.5366113720943222</v>
      </c>
      <c r="S17" s="64">
        <f t="shared" si="9"/>
        <v>7.4926463748075216</v>
      </c>
      <c r="T17" s="64">
        <f t="shared" si="9"/>
        <v>7.4567837779172539</v>
      </c>
      <c r="U17" s="64">
        <f t="shared" si="9"/>
        <v>7.4273865735132789</v>
      </c>
      <c r="V17" s="64">
        <f t="shared" si="9"/>
        <v>7.4031992530032271</v>
      </c>
      <c r="W17" s="64">
        <f t="shared" si="9"/>
        <v>7.3832420427055494</v>
      </c>
      <c r="X17" s="64">
        <f t="shared" si="9"/>
        <v>7.3667395045199759</v>
      </c>
      <c r="Y17" s="64">
        <f t="shared" si="9"/>
        <v>7.3530709958968457</v>
      </c>
      <c r="Z17" s="64">
        <f t="shared" si="9"/>
        <v>7.3417353652689155</v>
      </c>
      <c r="AA17" s="64">
        <f t="shared" si="9"/>
        <v>7.332325151683035</v>
      </c>
      <c r="AB17" s="64">
        <f t="shared" si="9"/>
        <v>7.3245072949875887</v>
      </c>
      <c r="AC17" s="64">
        <f t="shared" si="9"/>
        <v>7.3180084220519763</v>
      </c>
      <c r="AD17" s="64">
        <f t="shared" si="9"/>
        <v>7.3126034302910901</v>
      </c>
      <c r="AE17" s="64">
        <f t="shared" si="9"/>
        <v>7.308106502879899</v>
      </c>
      <c r="AF17" s="64">
        <f t="shared" si="9"/>
        <v>7.3043639552321835</v>
      </c>
      <c r="AG17" s="64">
        <f t="shared" si="9"/>
        <v>7.3012484860727538</v>
      </c>
      <c r="AH17" s="64">
        <f t="shared" si="9"/>
        <v>7.2986545227971042</v>
      </c>
      <c r="AI17" s="64">
        <f t="shared" si="9"/>
        <v>7.2964944305407951</v>
      </c>
      <c r="AJ17" s="64">
        <f t="shared" si="9"/>
        <v>7.2946954102856489</v>
      </c>
      <c r="AK17" s="64">
        <f t="shared" si="9"/>
        <v>7.2931969514303709</v>
      </c>
      <c r="AL17" s="64">
        <f t="shared" si="9"/>
        <v>7.2919487336458557</v>
      </c>
    </row>
    <row r="18" spans="1:39" ht="21.95" customHeight="1" x14ac:dyDescent="0.35">
      <c r="A18" s="38">
        <v>0.7</v>
      </c>
      <c r="B18" s="51" t="s">
        <v>34</v>
      </c>
      <c r="C18" s="63">
        <f>$A$18</f>
        <v>0.7</v>
      </c>
      <c r="D18" s="63">
        <f t="shared" ref="D18:AL18" si="10">$A$18</f>
        <v>0.7</v>
      </c>
      <c r="E18" s="63">
        <f t="shared" si="10"/>
        <v>0.7</v>
      </c>
      <c r="F18" s="63">
        <f t="shared" si="10"/>
        <v>0.7</v>
      </c>
      <c r="G18" s="63">
        <f t="shared" si="10"/>
        <v>0.7</v>
      </c>
      <c r="H18" s="63">
        <f t="shared" si="10"/>
        <v>0.7</v>
      </c>
      <c r="I18" s="63">
        <f t="shared" si="10"/>
        <v>0.7</v>
      </c>
      <c r="J18" s="63">
        <f t="shared" si="10"/>
        <v>0.7</v>
      </c>
      <c r="K18" s="63">
        <f t="shared" si="10"/>
        <v>0.7</v>
      </c>
      <c r="L18" s="63">
        <f t="shared" si="10"/>
        <v>0.7</v>
      </c>
      <c r="M18" s="63">
        <f t="shared" si="10"/>
        <v>0.7</v>
      </c>
      <c r="N18" s="63">
        <f t="shared" si="10"/>
        <v>0.7</v>
      </c>
      <c r="O18" s="63">
        <f t="shared" si="10"/>
        <v>0.7</v>
      </c>
      <c r="P18" s="63">
        <f t="shared" si="10"/>
        <v>0.7</v>
      </c>
      <c r="Q18" s="63">
        <f t="shared" si="10"/>
        <v>0.7</v>
      </c>
      <c r="R18" s="63">
        <f t="shared" si="10"/>
        <v>0.7</v>
      </c>
      <c r="S18" s="63">
        <f t="shared" si="10"/>
        <v>0.7</v>
      </c>
      <c r="T18" s="63">
        <f t="shared" si="10"/>
        <v>0.7</v>
      </c>
      <c r="U18" s="63">
        <f t="shared" si="10"/>
        <v>0.7</v>
      </c>
      <c r="V18" s="63">
        <f t="shared" si="10"/>
        <v>0.7</v>
      </c>
      <c r="W18" s="63">
        <f t="shared" si="10"/>
        <v>0.7</v>
      </c>
      <c r="X18" s="63">
        <f t="shared" si="10"/>
        <v>0.7</v>
      </c>
      <c r="Y18" s="63">
        <f t="shared" si="10"/>
        <v>0.7</v>
      </c>
      <c r="Z18" s="63">
        <f t="shared" si="10"/>
        <v>0.7</v>
      </c>
      <c r="AA18" s="63">
        <f t="shared" si="10"/>
        <v>0.7</v>
      </c>
      <c r="AB18" s="63">
        <f t="shared" si="10"/>
        <v>0.7</v>
      </c>
      <c r="AC18" s="63">
        <f t="shared" si="10"/>
        <v>0.7</v>
      </c>
      <c r="AD18" s="63">
        <f t="shared" si="10"/>
        <v>0.7</v>
      </c>
      <c r="AE18" s="63">
        <f t="shared" si="10"/>
        <v>0.7</v>
      </c>
      <c r="AF18" s="63">
        <f t="shared" si="10"/>
        <v>0.7</v>
      </c>
      <c r="AG18" s="63">
        <f t="shared" si="10"/>
        <v>0.7</v>
      </c>
      <c r="AH18" s="63">
        <f t="shared" si="10"/>
        <v>0.7</v>
      </c>
      <c r="AI18" s="63">
        <f t="shared" si="10"/>
        <v>0.7</v>
      </c>
      <c r="AJ18" s="63">
        <f t="shared" si="10"/>
        <v>0.7</v>
      </c>
      <c r="AK18" s="63">
        <f t="shared" si="10"/>
        <v>0.7</v>
      </c>
      <c r="AL18" s="63">
        <f t="shared" si="10"/>
        <v>0.7</v>
      </c>
    </row>
    <row r="19" spans="1:39" ht="26.45" customHeight="1" x14ac:dyDescent="0.35">
      <c r="A19" s="71">
        <v>2</v>
      </c>
      <c r="B19" s="51" t="s">
        <v>109</v>
      </c>
      <c r="C19" s="67">
        <f ca="1">$A$19+RANDBETWEEN(-0.4, 0.1)</f>
        <v>2</v>
      </c>
      <c r="D19" s="67">
        <f t="shared" ref="D19:AL19" ca="1" si="11">$A$19+RANDBETWEEN(-0.4, 0.1)</f>
        <v>2</v>
      </c>
      <c r="E19" s="67">
        <f t="shared" ca="1" si="11"/>
        <v>2</v>
      </c>
      <c r="F19" s="67">
        <f t="shared" ca="1" si="11"/>
        <v>2</v>
      </c>
      <c r="G19" s="67">
        <f t="shared" ca="1" si="11"/>
        <v>2</v>
      </c>
      <c r="H19" s="67">
        <f t="shared" ca="1" si="11"/>
        <v>2</v>
      </c>
      <c r="I19" s="67">
        <f t="shared" ca="1" si="11"/>
        <v>2</v>
      </c>
      <c r="J19" s="67">
        <f t="shared" ca="1" si="11"/>
        <v>2</v>
      </c>
      <c r="K19" s="67">
        <f t="shared" ca="1" si="11"/>
        <v>2</v>
      </c>
      <c r="L19" s="67">
        <f t="shared" ca="1" si="11"/>
        <v>2</v>
      </c>
      <c r="M19" s="67">
        <f t="shared" ca="1" si="11"/>
        <v>2</v>
      </c>
      <c r="N19" s="67">
        <f t="shared" ca="1" si="11"/>
        <v>2</v>
      </c>
      <c r="O19" s="67">
        <f t="shared" ca="1" si="11"/>
        <v>2</v>
      </c>
      <c r="P19" s="67">
        <f t="shared" ca="1" si="11"/>
        <v>2</v>
      </c>
      <c r="Q19" s="67">
        <f t="shared" ca="1" si="11"/>
        <v>2</v>
      </c>
      <c r="R19" s="67">
        <f t="shared" ca="1" si="11"/>
        <v>2</v>
      </c>
      <c r="S19" s="67">
        <f t="shared" ca="1" si="11"/>
        <v>2</v>
      </c>
      <c r="T19" s="67">
        <f t="shared" ca="1" si="11"/>
        <v>2</v>
      </c>
      <c r="U19" s="67">
        <f t="shared" ca="1" si="11"/>
        <v>2</v>
      </c>
      <c r="V19" s="67">
        <f t="shared" ca="1" si="11"/>
        <v>2</v>
      </c>
      <c r="W19" s="67">
        <f t="shared" ca="1" si="11"/>
        <v>2</v>
      </c>
      <c r="X19" s="67">
        <f t="shared" ca="1" si="11"/>
        <v>2</v>
      </c>
      <c r="Y19" s="67">
        <f t="shared" ca="1" si="11"/>
        <v>2</v>
      </c>
      <c r="Z19" s="67">
        <f t="shared" ca="1" si="11"/>
        <v>2</v>
      </c>
      <c r="AA19" s="67">
        <f t="shared" ca="1" si="11"/>
        <v>2</v>
      </c>
      <c r="AB19" s="67">
        <f t="shared" ca="1" si="11"/>
        <v>2</v>
      </c>
      <c r="AC19" s="67">
        <f t="shared" ca="1" si="11"/>
        <v>2</v>
      </c>
      <c r="AD19" s="67">
        <f t="shared" ca="1" si="11"/>
        <v>2</v>
      </c>
      <c r="AE19" s="67">
        <f t="shared" ca="1" si="11"/>
        <v>2</v>
      </c>
      <c r="AF19" s="67">
        <f t="shared" ca="1" si="11"/>
        <v>2</v>
      </c>
      <c r="AG19" s="67">
        <f t="shared" ca="1" si="11"/>
        <v>2</v>
      </c>
      <c r="AH19" s="67">
        <f t="shared" ca="1" si="11"/>
        <v>2</v>
      </c>
      <c r="AI19" s="67">
        <f t="shared" ca="1" si="11"/>
        <v>2</v>
      </c>
      <c r="AJ19" s="67">
        <f t="shared" ca="1" si="11"/>
        <v>2</v>
      </c>
      <c r="AK19" s="67">
        <f t="shared" ca="1" si="11"/>
        <v>2</v>
      </c>
      <c r="AL19" s="67">
        <f t="shared" ca="1" si="11"/>
        <v>2</v>
      </c>
    </row>
    <row r="20" spans="1:39" ht="18.75" x14ac:dyDescent="0.35">
      <c r="A20" s="60"/>
      <c r="B20" s="48" t="s">
        <v>110</v>
      </c>
      <c r="C20" s="64">
        <f ca="1">C13*C19</f>
        <v>36712.800000000003</v>
      </c>
      <c r="D20" s="64">
        <f t="shared" ref="D20:AL20" ca="1" si="12">D13*D19</f>
        <v>28147.68</v>
      </c>
      <c r="E20" s="64">
        <f t="shared" ca="1" si="12"/>
        <v>23131.008000000002</v>
      </c>
      <c r="F20" s="64">
        <f t="shared" ca="1" si="12"/>
        <v>20245.852800000001</v>
      </c>
      <c r="G20" s="64">
        <f t="shared" ca="1" si="12"/>
        <v>18642.104640000001</v>
      </c>
      <c r="H20" s="64">
        <f t="shared" ca="1" si="12"/>
        <v>17809.747603199998</v>
      </c>
      <c r="I20" s="64">
        <f t="shared" ca="1" si="12"/>
        <v>17442.823077503999</v>
      </c>
      <c r="J20" s="64">
        <f t="shared" ca="1" si="12"/>
        <v>17357.80785239808</v>
      </c>
      <c r="K20" s="64">
        <f t="shared" ca="1" si="12"/>
        <v>17444.640997452439</v>
      </c>
      <c r="L20" s="64">
        <f t="shared" ca="1" si="12"/>
        <v>17637.340010205327</v>
      </c>
      <c r="M20" s="64">
        <f t="shared" ca="1" si="12"/>
        <v>17896.370526091741</v>
      </c>
      <c r="N20" s="64">
        <f t="shared" ca="1" si="12"/>
        <v>18198.06816602296</v>
      </c>
      <c r="O20" s="64">
        <f t="shared" ca="1" si="12"/>
        <v>18528.291666989051</v>
      </c>
      <c r="P20" s="64">
        <f t="shared" ca="1" si="12"/>
        <v>18878.614782916207</v>
      </c>
      <c r="Q20" s="64">
        <f t="shared" ca="1" si="12"/>
        <v>19244.041448126954</v>
      </c>
      <c r="R20" s="64">
        <f t="shared" ca="1" si="12"/>
        <v>19621.63489882095</v>
      </c>
      <c r="S20" s="64">
        <f t="shared" ca="1" si="12"/>
        <v>20009.695169836243</v>
      </c>
      <c r="T20" s="64">
        <f t="shared" ca="1" si="12"/>
        <v>20407.265617056295</v>
      </c>
      <c r="U20" s="64">
        <f t="shared" ca="1" si="12"/>
        <v>20813.836855691414</v>
      </c>
      <c r="V20" s="64">
        <f t="shared" ca="1" si="12"/>
        <v>21229.169148581637</v>
      </c>
      <c r="W20" s="64">
        <f t="shared" ca="1" si="12"/>
        <v>21653.185865019106</v>
      </c>
      <c r="X20" s="64">
        <f t="shared" ca="1" si="12"/>
        <v>22085.909582398992</v>
      </c>
      <c r="Y20" s="64">
        <f t="shared" ca="1" si="12"/>
        <v>22527.42377409467</v>
      </c>
      <c r="Z20" s="64">
        <f t="shared" ca="1" si="12"/>
        <v>22977.849849605183</v>
      </c>
      <c r="AA20" s="64">
        <f t="shared" ca="1" si="12"/>
        <v>23437.33340661446</v>
      </c>
      <c r="AB20" s="64">
        <f t="shared" ca="1" si="12"/>
        <v>23906.036010757056</v>
      </c>
      <c r="AC20" s="64">
        <f t="shared" ca="1" si="12"/>
        <v>24384.130292578382</v>
      </c>
      <c r="AD20" s="64">
        <f t="shared" ca="1" si="12"/>
        <v>24871.797035393658</v>
      </c>
      <c r="AE20" s="64">
        <f t="shared" ca="1" si="12"/>
        <v>25369.223458279754</v>
      </c>
      <c r="AF20" s="64">
        <f t="shared" ca="1" si="12"/>
        <v>25876.602216752282</v>
      </c>
      <c r="AG20" s="64">
        <f t="shared" ca="1" si="12"/>
        <v>26394.130834671487</v>
      </c>
      <c r="AH20" s="64">
        <f t="shared" ca="1" si="12"/>
        <v>26922.011395515416</v>
      </c>
      <c r="AI20" s="64">
        <f t="shared" ca="1" si="12"/>
        <v>27460.450389916026</v>
      </c>
      <c r="AJ20" s="64">
        <f t="shared" ca="1" si="12"/>
        <v>28009.658657608532</v>
      </c>
      <c r="AK20" s="64">
        <f t="shared" ca="1" si="12"/>
        <v>28569.85138669721</v>
      </c>
      <c r="AL20" s="64">
        <f t="shared" ca="1" si="12"/>
        <v>29141.248147993058</v>
      </c>
    </row>
    <row r="21" spans="1:39" ht="24" customHeight="1" x14ac:dyDescent="0.35">
      <c r="A21" s="61"/>
      <c r="B21" s="48" t="s">
        <v>111</v>
      </c>
      <c r="C21" s="64">
        <f ca="1">C20*C18</f>
        <v>25698.959999999999</v>
      </c>
      <c r="D21" s="64">
        <f ca="1">D20*D18</f>
        <v>19703.376</v>
      </c>
      <c r="E21" s="64">
        <f t="shared" ref="E21:AL21" ca="1" si="13">E20*E18</f>
        <v>16191.705599999999</v>
      </c>
      <c r="F21" s="64">
        <f t="shared" ca="1" si="13"/>
        <v>14172.096959999999</v>
      </c>
      <c r="G21" s="64">
        <f t="shared" ca="1" si="13"/>
        <v>13049.473248</v>
      </c>
      <c r="H21" s="64">
        <f t="shared" ca="1" si="13"/>
        <v>12466.823322239998</v>
      </c>
      <c r="I21" s="64">
        <f t="shared" ca="1" si="13"/>
        <v>12209.976154252799</v>
      </c>
      <c r="J21" s="64">
        <f t="shared" ca="1" si="13"/>
        <v>12150.465496678655</v>
      </c>
      <c r="K21" s="64">
        <f t="shared" ca="1" si="13"/>
        <v>12211.248698216707</v>
      </c>
      <c r="L21" s="64">
        <f t="shared" ca="1" si="13"/>
        <v>12346.138007143729</v>
      </c>
      <c r="M21" s="64">
        <f t="shared" ca="1" si="13"/>
        <v>12527.459368264219</v>
      </c>
      <c r="N21" s="64">
        <f t="shared" ca="1" si="13"/>
        <v>12738.647716216072</v>
      </c>
      <c r="O21" s="64">
        <f t="shared" ca="1" si="13"/>
        <v>12969.804166892334</v>
      </c>
      <c r="P21" s="64">
        <f t="shared" ca="1" si="13"/>
        <v>13215.030348041344</v>
      </c>
      <c r="Q21" s="64">
        <f t="shared" ca="1" si="13"/>
        <v>13470.829013688868</v>
      </c>
      <c r="R21" s="64">
        <f t="shared" ca="1" si="13"/>
        <v>13735.144429174665</v>
      </c>
      <c r="S21" s="64">
        <f t="shared" ca="1" si="13"/>
        <v>14006.78661888537</v>
      </c>
      <c r="T21" s="64">
        <f t="shared" ca="1" si="13"/>
        <v>14285.085931939406</v>
      </c>
      <c r="U21" s="64">
        <f t="shared" ca="1" si="13"/>
        <v>14569.685798983988</v>
      </c>
      <c r="V21" s="64">
        <f t="shared" ca="1" si="13"/>
        <v>14860.418404007145</v>
      </c>
      <c r="W21" s="64">
        <f t="shared" ca="1" si="13"/>
        <v>15157.230105513374</v>
      </c>
      <c r="X21" s="64">
        <f t="shared" ca="1" si="13"/>
        <v>15460.136707679294</v>
      </c>
      <c r="Y21" s="64">
        <f t="shared" ca="1" si="13"/>
        <v>15769.196641866269</v>
      </c>
      <c r="Z21" s="64">
        <f t="shared" ca="1" si="13"/>
        <v>16084.494894723628</v>
      </c>
      <c r="AA21" s="64">
        <f t="shared" ca="1" si="13"/>
        <v>16406.13338463012</v>
      </c>
      <c r="AB21" s="64">
        <f t="shared" ca="1" si="13"/>
        <v>16734.225207529937</v>
      </c>
      <c r="AC21" s="64">
        <f t="shared" ca="1" si="13"/>
        <v>17068.891204804866</v>
      </c>
      <c r="AD21" s="64">
        <f t="shared" ca="1" si="13"/>
        <v>17410.25792477556</v>
      </c>
      <c r="AE21" s="64">
        <f t="shared" ca="1" si="13"/>
        <v>17758.456420795825</v>
      </c>
      <c r="AF21" s="64">
        <f t="shared" ca="1" si="13"/>
        <v>18113.621551726595</v>
      </c>
      <c r="AG21" s="64">
        <f t="shared" ca="1" si="13"/>
        <v>18475.891584270041</v>
      </c>
      <c r="AH21" s="64">
        <f t="shared" ca="1" si="13"/>
        <v>18845.407976860788</v>
      </c>
      <c r="AI21" s="64">
        <f t="shared" ca="1" si="13"/>
        <v>19222.315272941218</v>
      </c>
      <c r="AJ21" s="64">
        <f t="shared" ca="1" si="13"/>
        <v>19606.761060325971</v>
      </c>
      <c r="AK21" s="64">
        <f t="shared" ca="1" si="13"/>
        <v>19998.895970688045</v>
      </c>
      <c r="AL21" s="64">
        <f t="shared" ca="1" si="13"/>
        <v>20398.873703595138</v>
      </c>
    </row>
    <row r="22" spans="1:39" ht="21.95" customHeight="1" x14ac:dyDescent="0.35">
      <c r="A22" s="62"/>
      <c r="B22" s="51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</row>
    <row r="23" spans="1:39" ht="18.75" x14ac:dyDescent="0.35">
      <c r="A23" s="62"/>
      <c r="B23" s="55" t="s">
        <v>112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</row>
    <row r="24" spans="1:39" ht="18.75" x14ac:dyDescent="0.35">
      <c r="A24" s="68">
        <v>6.8</v>
      </c>
      <c r="B24" s="51" t="s">
        <v>113</v>
      </c>
      <c r="C24" s="67">
        <f>$A$24</f>
        <v>6.8</v>
      </c>
      <c r="D24" s="67">
        <f t="shared" ref="D24:N24" si="14">$A$24</f>
        <v>6.8</v>
      </c>
      <c r="E24" s="67">
        <f t="shared" si="14"/>
        <v>6.8</v>
      </c>
      <c r="F24" s="67">
        <f t="shared" si="14"/>
        <v>6.8</v>
      </c>
      <c r="G24" s="67">
        <f t="shared" si="14"/>
        <v>6.8</v>
      </c>
      <c r="H24" s="67">
        <f t="shared" si="14"/>
        <v>6.8</v>
      </c>
      <c r="I24" s="67">
        <f t="shared" si="14"/>
        <v>6.8</v>
      </c>
      <c r="J24" s="67">
        <f t="shared" si="14"/>
        <v>6.8</v>
      </c>
      <c r="K24" s="67">
        <f t="shared" si="14"/>
        <v>6.8</v>
      </c>
      <c r="L24" s="67">
        <f t="shared" si="14"/>
        <v>6.8</v>
      </c>
      <c r="M24" s="67">
        <f t="shared" si="14"/>
        <v>6.8</v>
      </c>
      <c r="N24" s="67">
        <f t="shared" si="14"/>
        <v>6.8</v>
      </c>
      <c r="O24" s="67">
        <f>$A$24+0.2</f>
        <v>7</v>
      </c>
      <c r="P24" s="67">
        <f t="shared" ref="P24:Z24" si="15">$A$24+0.2</f>
        <v>7</v>
      </c>
      <c r="Q24" s="67">
        <f t="shared" si="15"/>
        <v>7</v>
      </c>
      <c r="R24" s="67">
        <f t="shared" si="15"/>
        <v>7</v>
      </c>
      <c r="S24" s="67">
        <f t="shared" si="15"/>
        <v>7</v>
      </c>
      <c r="T24" s="67">
        <f t="shared" si="15"/>
        <v>7</v>
      </c>
      <c r="U24" s="67">
        <f t="shared" si="15"/>
        <v>7</v>
      </c>
      <c r="V24" s="67">
        <f t="shared" si="15"/>
        <v>7</v>
      </c>
      <c r="W24" s="67">
        <f t="shared" si="15"/>
        <v>7</v>
      </c>
      <c r="X24" s="67">
        <f t="shared" si="15"/>
        <v>7</v>
      </c>
      <c r="Y24" s="67">
        <f t="shared" si="15"/>
        <v>7</v>
      </c>
      <c r="Z24" s="67">
        <f t="shared" si="15"/>
        <v>7</v>
      </c>
      <c r="AA24" s="67">
        <f>$A$24+0.4</f>
        <v>7.2</v>
      </c>
      <c r="AB24" s="67">
        <f t="shared" ref="AB24:AL24" si="16">$A$24+0.4</f>
        <v>7.2</v>
      </c>
      <c r="AC24" s="67">
        <f t="shared" si="16"/>
        <v>7.2</v>
      </c>
      <c r="AD24" s="67">
        <f t="shared" si="16"/>
        <v>7.2</v>
      </c>
      <c r="AE24" s="67">
        <f t="shared" si="16"/>
        <v>7.2</v>
      </c>
      <c r="AF24" s="67">
        <f t="shared" si="16"/>
        <v>7.2</v>
      </c>
      <c r="AG24" s="67">
        <f t="shared" si="16"/>
        <v>7.2</v>
      </c>
      <c r="AH24" s="67">
        <f t="shared" si="16"/>
        <v>7.2</v>
      </c>
      <c r="AI24" s="67">
        <f t="shared" si="16"/>
        <v>7.2</v>
      </c>
      <c r="AJ24" s="67">
        <f t="shared" si="16"/>
        <v>7.2</v>
      </c>
      <c r="AK24" s="67">
        <f t="shared" si="16"/>
        <v>7.2</v>
      </c>
      <c r="AL24" s="67">
        <f t="shared" si="16"/>
        <v>7.2</v>
      </c>
    </row>
    <row r="25" spans="1:39" ht="32.1" customHeight="1" x14ac:dyDescent="0.35">
      <c r="A25" s="101">
        <v>0.09</v>
      </c>
      <c r="B25" s="76" t="s">
        <v>37</v>
      </c>
      <c r="C25" s="63">
        <f>$A$25</f>
        <v>0.09</v>
      </c>
      <c r="D25" s="63">
        <f t="shared" ref="D25:AL25" si="17">$A$25</f>
        <v>0.09</v>
      </c>
      <c r="E25" s="63">
        <f t="shared" si="17"/>
        <v>0.09</v>
      </c>
      <c r="F25" s="63">
        <f t="shared" si="17"/>
        <v>0.09</v>
      </c>
      <c r="G25" s="63">
        <f t="shared" si="17"/>
        <v>0.09</v>
      </c>
      <c r="H25" s="63">
        <f t="shared" si="17"/>
        <v>0.09</v>
      </c>
      <c r="I25" s="63">
        <f t="shared" si="17"/>
        <v>0.09</v>
      </c>
      <c r="J25" s="63">
        <f t="shared" si="17"/>
        <v>0.09</v>
      </c>
      <c r="K25" s="63">
        <f t="shared" si="17"/>
        <v>0.09</v>
      </c>
      <c r="L25" s="63">
        <f t="shared" si="17"/>
        <v>0.09</v>
      </c>
      <c r="M25" s="63">
        <f t="shared" si="17"/>
        <v>0.09</v>
      </c>
      <c r="N25" s="63">
        <f t="shared" si="17"/>
        <v>0.09</v>
      </c>
      <c r="O25" s="63">
        <f t="shared" si="17"/>
        <v>0.09</v>
      </c>
      <c r="P25" s="63">
        <f t="shared" si="17"/>
        <v>0.09</v>
      </c>
      <c r="Q25" s="63">
        <f t="shared" si="17"/>
        <v>0.09</v>
      </c>
      <c r="R25" s="63">
        <f t="shared" si="17"/>
        <v>0.09</v>
      </c>
      <c r="S25" s="63">
        <f t="shared" si="17"/>
        <v>0.09</v>
      </c>
      <c r="T25" s="63">
        <f t="shared" si="17"/>
        <v>0.09</v>
      </c>
      <c r="U25" s="63">
        <f t="shared" si="17"/>
        <v>0.09</v>
      </c>
      <c r="V25" s="63">
        <f t="shared" si="17"/>
        <v>0.09</v>
      </c>
      <c r="W25" s="63">
        <f t="shared" si="17"/>
        <v>0.09</v>
      </c>
      <c r="X25" s="63">
        <f t="shared" si="17"/>
        <v>0.09</v>
      </c>
      <c r="Y25" s="63">
        <f t="shared" si="17"/>
        <v>0.09</v>
      </c>
      <c r="Z25" s="63">
        <f t="shared" si="17"/>
        <v>0.09</v>
      </c>
      <c r="AA25" s="63">
        <f t="shared" si="17"/>
        <v>0.09</v>
      </c>
      <c r="AB25" s="63">
        <f t="shared" si="17"/>
        <v>0.09</v>
      </c>
      <c r="AC25" s="63">
        <f t="shared" si="17"/>
        <v>0.09</v>
      </c>
      <c r="AD25" s="63">
        <f t="shared" si="17"/>
        <v>0.09</v>
      </c>
      <c r="AE25" s="63">
        <f t="shared" si="17"/>
        <v>0.09</v>
      </c>
      <c r="AF25" s="63">
        <f t="shared" si="17"/>
        <v>0.09</v>
      </c>
      <c r="AG25" s="63">
        <f t="shared" si="17"/>
        <v>0.09</v>
      </c>
      <c r="AH25" s="63">
        <f t="shared" si="17"/>
        <v>0.09</v>
      </c>
      <c r="AI25" s="63">
        <f t="shared" si="17"/>
        <v>0.09</v>
      </c>
      <c r="AJ25" s="63">
        <f t="shared" si="17"/>
        <v>0.09</v>
      </c>
      <c r="AK25" s="63">
        <f t="shared" si="17"/>
        <v>0.09</v>
      </c>
      <c r="AL25" s="63">
        <f t="shared" si="17"/>
        <v>0.09</v>
      </c>
    </row>
    <row r="26" spans="1:39" ht="24.95" customHeight="1" x14ac:dyDescent="0.35">
      <c r="A26" s="102">
        <v>2</v>
      </c>
      <c r="B26" s="51" t="s">
        <v>35</v>
      </c>
      <c r="C26" s="67">
        <f>$A$26</f>
        <v>2</v>
      </c>
      <c r="D26" s="67">
        <f t="shared" ref="D26:T26" si="18">$A$26</f>
        <v>2</v>
      </c>
      <c r="E26" s="67">
        <f t="shared" si="18"/>
        <v>2</v>
      </c>
      <c r="F26" s="67">
        <f t="shared" si="18"/>
        <v>2</v>
      </c>
      <c r="G26" s="67">
        <f t="shared" si="18"/>
        <v>2</v>
      </c>
      <c r="H26" s="67">
        <f t="shared" si="18"/>
        <v>2</v>
      </c>
      <c r="I26" s="67">
        <f t="shared" si="18"/>
        <v>2</v>
      </c>
      <c r="J26" s="67">
        <f t="shared" si="18"/>
        <v>2</v>
      </c>
      <c r="K26" s="67">
        <f t="shared" si="18"/>
        <v>2</v>
      </c>
      <c r="L26" s="67">
        <f t="shared" si="18"/>
        <v>2</v>
      </c>
      <c r="M26" s="67">
        <f t="shared" si="18"/>
        <v>2</v>
      </c>
      <c r="N26" s="67">
        <f t="shared" si="18"/>
        <v>2</v>
      </c>
      <c r="O26" s="67">
        <f t="shared" ref="O26:T26" si="19">$A$26+0.5</f>
        <v>2.5</v>
      </c>
      <c r="P26" s="67">
        <f t="shared" si="19"/>
        <v>2.5</v>
      </c>
      <c r="Q26" s="67">
        <f t="shared" si="19"/>
        <v>2.5</v>
      </c>
      <c r="R26" s="67">
        <f t="shared" si="19"/>
        <v>2.5</v>
      </c>
      <c r="S26" s="67">
        <f t="shared" si="19"/>
        <v>2.5</v>
      </c>
      <c r="T26" s="67">
        <f t="shared" si="19"/>
        <v>2.5</v>
      </c>
      <c r="U26" s="67">
        <f>$A$26+0.5</f>
        <v>2.5</v>
      </c>
      <c r="V26" s="67">
        <f t="shared" ref="V26:AL26" si="20">$A$26+0.5</f>
        <v>2.5</v>
      </c>
      <c r="W26" s="67">
        <f t="shared" si="20"/>
        <v>2.5</v>
      </c>
      <c r="X26" s="67">
        <f t="shared" si="20"/>
        <v>2.5</v>
      </c>
      <c r="Y26" s="67">
        <f t="shared" si="20"/>
        <v>2.5</v>
      </c>
      <c r="Z26" s="67">
        <f t="shared" si="20"/>
        <v>2.5</v>
      </c>
      <c r="AA26" s="67">
        <f>$A$26+1</f>
        <v>3</v>
      </c>
      <c r="AB26" s="67">
        <f t="shared" ref="AB26:AL26" si="21">$A$26+1</f>
        <v>3</v>
      </c>
      <c r="AC26" s="67">
        <f t="shared" si="21"/>
        <v>3</v>
      </c>
      <c r="AD26" s="67">
        <f t="shared" si="21"/>
        <v>3</v>
      </c>
      <c r="AE26" s="67">
        <f t="shared" si="21"/>
        <v>3</v>
      </c>
      <c r="AF26" s="67">
        <f t="shared" si="21"/>
        <v>3</v>
      </c>
      <c r="AG26" s="67">
        <f t="shared" si="21"/>
        <v>3</v>
      </c>
      <c r="AH26" s="67">
        <f t="shared" si="21"/>
        <v>3</v>
      </c>
      <c r="AI26" s="67">
        <f t="shared" si="21"/>
        <v>3</v>
      </c>
      <c r="AJ26" s="67">
        <f t="shared" si="21"/>
        <v>3</v>
      </c>
      <c r="AK26" s="67">
        <f t="shared" si="21"/>
        <v>3</v>
      </c>
      <c r="AL26" s="67">
        <f t="shared" si="21"/>
        <v>3</v>
      </c>
    </row>
    <row r="27" spans="1:39" ht="23.45" customHeight="1" x14ac:dyDescent="0.35">
      <c r="A27" s="102">
        <v>2.5</v>
      </c>
      <c r="B27" s="51" t="s">
        <v>38</v>
      </c>
      <c r="C27" s="67">
        <f>$A$27</f>
        <v>2.5</v>
      </c>
      <c r="D27" s="67">
        <f t="shared" ref="D27:T27" si="22">$A$27</f>
        <v>2.5</v>
      </c>
      <c r="E27" s="67">
        <f t="shared" si="22"/>
        <v>2.5</v>
      </c>
      <c r="F27" s="67">
        <f t="shared" si="22"/>
        <v>2.5</v>
      </c>
      <c r="G27" s="67">
        <f t="shared" si="22"/>
        <v>2.5</v>
      </c>
      <c r="H27" s="67">
        <f t="shared" si="22"/>
        <v>2.5</v>
      </c>
      <c r="I27" s="67">
        <f t="shared" si="22"/>
        <v>2.5</v>
      </c>
      <c r="J27" s="67">
        <f t="shared" si="22"/>
        <v>2.5</v>
      </c>
      <c r="K27" s="67">
        <f t="shared" si="22"/>
        <v>2.5</v>
      </c>
      <c r="L27" s="67">
        <f t="shared" si="22"/>
        <v>2.5</v>
      </c>
      <c r="M27" s="67">
        <f t="shared" si="22"/>
        <v>2.5</v>
      </c>
      <c r="N27" s="67">
        <f t="shared" si="22"/>
        <v>2.5</v>
      </c>
      <c r="O27" s="67">
        <f t="shared" ref="O27:T27" si="23">$A$27+0.5</f>
        <v>3</v>
      </c>
      <c r="P27" s="67">
        <f t="shared" si="23"/>
        <v>3</v>
      </c>
      <c r="Q27" s="67">
        <f t="shared" si="23"/>
        <v>3</v>
      </c>
      <c r="R27" s="67">
        <f t="shared" si="23"/>
        <v>3</v>
      </c>
      <c r="S27" s="67">
        <f t="shared" si="23"/>
        <v>3</v>
      </c>
      <c r="T27" s="67">
        <f t="shared" si="23"/>
        <v>3</v>
      </c>
      <c r="U27" s="67">
        <f>$A$27+0.5</f>
        <v>3</v>
      </c>
      <c r="V27" s="67">
        <f t="shared" ref="V27:AL27" si="24">$A$27+0.5</f>
        <v>3</v>
      </c>
      <c r="W27" s="67">
        <f t="shared" si="24"/>
        <v>3</v>
      </c>
      <c r="X27" s="67">
        <f t="shared" si="24"/>
        <v>3</v>
      </c>
      <c r="Y27" s="67">
        <f t="shared" si="24"/>
        <v>3</v>
      </c>
      <c r="Z27" s="67">
        <f t="shared" si="24"/>
        <v>3</v>
      </c>
      <c r="AA27" s="67">
        <f>$A$27+1</f>
        <v>3.5</v>
      </c>
      <c r="AB27" s="67">
        <f t="shared" ref="AB27:AL27" si="25">$A$27+1</f>
        <v>3.5</v>
      </c>
      <c r="AC27" s="67">
        <f t="shared" si="25"/>
        <v>3.5</v>
      </c>
      <c r="AD27" s="67">
        <f t="shared" si="25"/>
        <v>3.5</v>
      </c>
      <c r="AE27" s="67">
        <f t="shared" si="25"/>
        <v>3.5</v>
      </c>
      <c r="AF27" s="67">
        <f t="shared" si="25"/>
        <v>3.5</v>
      </c>
      <c r="AG27" s="67">
        <f t="shared" si="25"/>
        <v>3.5</v>
      </c>
      <c r="AH27" s="67">
        <f t="shared" si="25"/>
        <v>3.5</v>
      </c>
      <c r="AI27" s="67">
        <f t="shared" si="25"/>
        <v>3.5</v>
      </c>
      <c r="AJ27" s="67">
        <f t="shared" si="25"/>
        <v>3.5</v>
      </c>
      <c r="AK27" s="67">
        <f t="shared" si="25"/>
        <v>3.5</v>
      </c>
      <c r="AL27" s="67">
        <f t="shared" si="25"/>
        <v>3.5</v>
      </c>
    </row>
    <row r="28" spans="1:39" ht="18.75" x14ac:dyDescent="0.35">
      <c r="A28" s="102">
        <v>1.5</v>
      </c>
      <c r="B28" s="51" t="s">
        <v>41</v>
      </c>
      <c r="C28" s="73">
        <f>$A$28</f>
        <v>1.5</v>
      </c>
      <c r="D28" s="73">
        <f>$A$28</f>
        <v>1.5</v>
      </c>
      <c r="E28" s="73">
        <f>D28-0.05</f>
        <v>1.45</v>
      </c>
      <c r="F28" s="73">
        <f>E28-0.05</f>
        <v>1.4</v>
      </c>
      <c r="G28" s="73">
        <f t="shared" ref="G28:K28" si="26">F28-0.05</f>
        <v>1.3499999999999999</v>
      </c>
      <c r="H28" s="73">
        <f t="shared" si="26"/>
        <v>1.2999999999999998</v>
      </c>
      <c r="I28" s="73">
        <f t="shared" si="26"/>
        <v>1.2499999999999998</v>
      </c>
      <c r="J28" s="73">
        <f t="shared" si="26"/>
        <v>1.1999999999999997</v>
      </c>
      <c r="K28" s="73">
        <f t="shared" si="26"/>
        <v>1.1499999999999997</v>
      </c>
      <c r="L28" s="73">
        <f>K28</f>
        <v>1.1499999999999997</v>
      </c>
      <c r="M28" s="73">
        <f t="shared" ref="M28:AL28" si="27">L28</f>
        <v>1.1499999999999997</v>
      </c>
      <c r="N28" s="73">
        <f t="shared" si="27"/>
        <v>1.1499999999999997</v>
      </c>
      <c r="O28" s="73">
        <f t="shared" si="27"/>
        <v>1.1499999999999997</v>
      </c>
      <c r="P28" s="73">
        <f t="shared" si="27"/>
        <v>1.1499999999999997</v>
      </c>
      <c r="Q28" s="73">
        <f t="shared" si="27"/>
        <v>1.1499999999999997</v>
      </c>
      <c r="R28" s="73">
        <f t="shared" si="27"/>
        <v>1.1499999999999997</v>
      </c>
      <c r="S28" s="73">
        <f t="shared" si="27"/>
        <v>1.1499999999999997</v>
      </c>
      <c r="T28" s="73">
        <f t="shared" si="27"/>
        <v>1.1499999999999997</v>
      </c>
      <c r="U28" s="73">
        <f t="shared" si="27"/>
        <v>1.1499999999999997</v>
      </c>
      <c r="V28" s="73">
        <f t="shared" si="27"/>
        <v>1.1499999999999997</v>
      </c>
      <c r="W28" s="73">
        <f t="shared" si="27"/>
        <v>1.1499999999999997</v>
      </c>
      <c r="X28" s="73">
        <f t="shared" si="27"/>
        <v>1.1499999999999997</v>
      </c>
      <c r="Y28" s="73">
        <f t="shared" si="27"/>
        <v>1.1499999999999997</v>
      </c>
      <c r="Z28" s="73">
        <f t="shared" si="27"/>
        <v>1.1499999999999997</v>
      </c>
      <c r="AA28" s="73">
        <f t="shared" si="27"/>
        <v>1.1499999999999997</v>
      </c>
      <c r="AB28" s="73">
        <f t="shared" si="27"/>
        <v>1.1499999999999997</v>
      </c>
      <c r="AC28" s="73">
        <f t="shared" si="27"/>
        <v>1.1499999999999997</v>
      </c>
      <c r="AD28" s="73">
        <f t="shared" si="27"/>
        <v>1.1499999999999997</v>
      </c>
      <c r="AE28" s="73">
        <f t="shared" si="27"/>
        <v>1.1499999999999997</v>
      </c>
      <c r="AF28" s="73">
        <f t="shared" si="27"/>
        <v>1.1499999999999997</v>
      </c>
      <c r="AG28" s="73">
        <f t="shared" si="27"/>
        <v>1.1499999999999997</v>
      </c>
      <c r="AH28" s="73">
        <f t="shared" si="27"/>
        <v>1.1499999999999997</v>
      </c>
      <c r="AI28" s="73">
        <f t="shared" si="27"/>
        <v>1.1499999999999997</v>
      </c>
      <c r="AJ28" s="73">
        <f t="shared" si="27"/>
        <v>1.1499999999999997</v>
      </c>
      <c r="AK28" s="73">
        <f t="shared" si="27"/>
        <v>1.1499999999999997</v>
      </c>
      <c r="AL28" s="73">
        <f t="shared" si="27"/>
        <v>1.1499999999999997</v>
      </c>
      <c r="AM28" s="45"/>
    </row>
    <row r="29" spans="1:39" ht="24" customHeight="1" x14ac:dyDescent="0.35">
      <c r="A29" s="103">
        <v>200</v>
      </c>
      <c r="B29" s="51" t="s">
        <v>42</v>
      </c>
      <c r="C29" s="64">
        <f ca="1">$A$29 - (ROUND($C$30,0)-ROUND(C30,0))*10</f>
        <v>200</v>
      </c>
      <c r="D29" s="64">
        <f t="shared" ref="D29:AL29" ca="1" si="28">$A$29 - (ROUND($C$30,0)-ROUND(D30,0))*10</f>
        <v>170</v>
      </c>
      <c r="E29" s="64">
        <f t="shared" ca="1" si="28"/>
        <v>160</v>
      </c>
      <c r="F29" s="64">
        <f t="shared" ca="1" si="28"/>
        <v>150</v>
      </c>
      <c r="G29" s="64">
        <f t="shared" ca="1" si="28"/>
        <v>140</v>
      </c>
      <c r="H29" s="64">
        <f t="shared" ca="1" si="28"/>
        <v>140</v>
      </c>
      <c r="I29" s="64">
        <f t="shared" ca="1" si="28"/>
        <v>130</v>
      </c>
      <c r="J29" s="64">
        <f t="shared" ca="1" si="28"/>
        <v>130</v>
      </c>
      <c r="K29" s="64">
        <f t="shared" ca="1" si="28"/>
        <v>130</v>
      </c>
      <c r="L29" s="64">
        <f t="shared" ca="1" si="28"/>
        <v>140</v>
      </c>
      <c r="M29" s="64">
        <f t="shared" ca="1" si="28"/>
        <v>140</v>
      </c>
      <c r="N29" s="64">
        <f t="shared" ca="1" si="28"/>
        <v>140</v>
      </c>
      <c r="O29" s="64">
        <f t="shared" ca="1" si="28"/>
        <v>140</v>
      </c>
      <c r="P29" s="64">
        <f t="shared" ca="1" si="28"/>
        <v>140</v>
      </c>
      <c r="Q29" s="64">
        <f t="shared" ca="1" si="28"/>
        <v>140</v>
      </c>
      <c r="R29" s="64">
        <f t="shared" ca="1" si="28"/>
        <v>140</v>
      </c>
      <c r="S29" s="64">
        <f t="shared" ca="1" si="28"/>
        <v>140</v>
      </c>
      <c r="T29" s="64">
        <f t="shared" ca="1" si="28"/>
        <v>140</v>
      </c>
      <c r="U29" s="64">
        <f t="shared" ca="1" si="28"/>
        <v>140</v>
      </c>
      <c r="V29" s="64">
        <f t="shared" ca="1" si="28"/>
        <v>140</v>
      </c>
      <c r="W29" s="64">
        <f t="shared" ca="1" si="28"/>
        <v>140</v>
      </c>
      <c r="X29" s="64">
        <f t="shared" ca="1" si="28"/>
        <v>140</v>
      </c>
      <c r="Y29" s="64">
        <f t="shared" ca="1" si="28"/>
        <v>140</v>
      </c>
      <c r="Z29" s="64">
        <f t="shared" ca="1" si="28"/>
        <v>140</v>
      </c>
      <c r="AA29" s="64">
        <f t="shared" ca="1" si="28"/>
        <v>140</v>
      </c>
      <c r="AB29" s="64">
        <f t="shared" ca="1" si="28"/>
        <v>140</v>
      </c>
      <c r="AC29" s="64">
        <f t="shared" ca="1" si="28"/>
        <v>140</v>
      </c>
      <c r="AD29" s="64">
        <f t="shared" ca="1" si="28"/>
        <v>140</v>
      </c>
      <c r="AE29" s="64">
        <f t="shared" ca="1" si="28"/>
        <v>140</v>
      </c>
      <c r="AF29" s="64">
        <f t="shared" ca="1" si="28"/>
        <v>140</v>
      </c>
      <c r="AG29" s="64">
        <f t="shared" ca="1" si="28"/>
        <v>140</v>
      </c>
      <c r="AH29" s="64">
        <f t="shared" ca="1" si="28"/>
        <v>140</v>
      </c>
      <c r="AI29" s="64">
        <f t="shared" ca="1" si="28"/>
        <v>140</v>
      </c>
      <c r="AJ29" s="64">
        <f t="shared" ca="1" si="28"/>
        <v>140</v>
      </c>
      <c r="AK29" s="64">
        <f t="shared" ca="1" si="28"/>
        <v>140</v>
      </c>
      <c r="AL29" s="64">
        <f t="shared" ca="1" si="28"/>
        <v>140</v>
      </c>
    </row>
    <row r="30" spans="1:39" ht="18.75" x14ac:dyDescent="0.35">
      <c r="A30" s="57"/>
      <c r="B30" s="95" t="s">
        <v>45</v>
      </c>
      <c r="C30" s="64">
        <f t="shared" ref="C30:AL30" ca="1" si="29">(C21/C31)/31</f>
        <v>8.7263022071307308</v>
      </c>
      <c r="D30" s="64">
        <f t="shared" ca="1" si="29"/>
        <v>6.4955827715232326</v>
      </c>
      <c r="E30" s="64">
        <f t="shared" ca="1" si="29"/>
        <v>4.8526323581638655</v>
      </c>
      <c r="F30" s="64">
        <f t="shared" ca="1" si="29"/>
        <v>3.8612348810543713</v>
      </c>
      <c r="G30" s="64">
        <f t="shared" ca="1" si="29"/>
        <v>3.2321566568947144</v>
      </c>
      <c r="H30" s="64">
        <f t="shared" ca="1" si="29"/>
        <v>2.807130095356285</v>
      </c>
      <c r="I30" s="64">
        <f t="shared" ca="1" si="29"/>
        <v>2.4993602941366406</v>
      </c>
      <c r="J30" s="64">
        <f t="shared" ca="1" si="29"/>
        <v>2.487178568903134</v>
      </c>
      <c r="K30" s="64">
        <f t="shared" ca="1" si="29"/>
        <v>2.4996207816114526</v>
      </c>
      <c r="L30" s="64">
        <f t="shared" ca="1" si="29"/>
        <v>2.5272323820418352</v>
      </c>
      <c r="M30" s="64">
        <f t="shared" ca="1" si="29"/>
        <v>2.5643485405615651</v>
      </c>
      <c r="N30" s="64">
        <f t="shared" ca="1" si="29"/>
        <v>2.6075784179001316</v>
      </c>
      <c r="O30" s="64">
        <f t="shared" ca="1" si="29"/>
        <v>2.6548957301745353</v>
      </c>
      <c r="P30" s="64">
        <f t="shared" ca="1" si="29"/>
        <v>2.7050930911278668</v>
      </c>
      <c r="Q30" s="64">
        <f t="shared" ca="1" si="29"/>
        <v>2.7574546207603281</v>
      </c>
      <c r="R30" s="64">
        <f t="shared" ca="1" si="29"/>
        <v>2.8115595138614777</v>
      </c>
      <c r="S30" s="64">
        <f t="shared" ca="1" si="29"/>
        <v>2.8671641845502727</v>
      </c>
      <c r="T30" s="64">
        <f t="shared" ca="1" si="29"/>
        <v>2.9241315564882182</v>
      </c>
      <c r="U30" s="64">
        <f t="shared" ca="1" si="29"/>
        <v>2.9239104319275935</v>
      </c>
      <c r="V30" s="64">
        <f t="shared" ca="1" si="29"/>
        <v>2.923780358656638</v>
      </c>
      <c r="W30" s="64">
        <f t="shared" ca="1" si="29"/>
        <v>2.9237038449678412</v>
      </c>
      <c r="X30" s="64">
        <f t="shared" ca="1" si="29"/>
        <v>2.9236588369156071</v>
      </c>
      <c r="Y30" s="64">
        <f t="shared" ca="1" si="29"/>
        <v>2.9236323615907636</v>
      </c>
      <c r="Z30" s="64">
        <f t="shared" ca="1" si="29"/>
        <v>2.9236167878702677</v>
      </c>
      <c r="AA30" s="64">
        <f t="shared" ca="1" si="29"/>
        <v>2.9236076268582107</v>
      </c>
      <c r="AB30" s="64">
        <f t="shared" ca="1" si="29"/>
        <v>2.923602238027589</v>
      </c>
      <c r="AC30" s="64">
        <f t="shared" ca="1" si="29"/>
        <v>2.9235990681272237</v>
      </c>
      <c r="AD30" s="64">
        <f t="shared" ca="1" si="29"/>
        <v>2.9235972034799498</v>
      </c>
      <c r="AE30" s="64">
        <f t="shared" ca="1" si="29"/>
        <v>2.923596106628612</v>
      </c>
      <c r="AF30" s="64">
        <f t="shared" ca="1" si="29"/>
        <v>2.9235954614219426</v>
      </c>
      <c r="AG30" s="64">
        <f t="shared" ca="1" si="29"/>
        <v>2.9235950818886076</v>
      </c>
      <c r="AH30" s="64">
        <f t="shared" ca="1" si="29"/>
        <v>2.9235948586337051</v>
      </c>
      <c r="AI30" s="64">
        <f t="shared" ca="1" si="29"/>
        <v>2.9235947273072922</v>
      </c>
      <c r="AJ30" s="64">
        <f t="shared" ca="1" si="29"/>
        <v>2.9235946500564611</v>
      </c>
      <c r="AK30" s="64">
        <f t="shared" ca="1" si="29"/>
        <v>2.9235946046147956</v>
      </c>
      <c r="AL30" s="64">
        <f t="shared" ca="1" si="29"/>
        <v>2.9235945778844039</v>
      </c>
    </row>
    <row r="31" spans="1:39" ht="18.75" x14ac:dyDescent="0.35">
      <c r="A31" s="78">
        <v>95</v>
      </c>
      <c r="B31" s="76" t="s">
        <v>43</v>
      </c>
      <c r="C31" s="64">
        <f>A31</f>
        <v>95</v>
      </c>
      <c r="D31" s="64">
        <f>C31*103%</f>
        <v>97.850000000000009</v>
      </c>
      <c r="E31" s="64">
        <f>D31*110%</f>
        <v>107.63500000000002</v>
      </c>
      <c r="F31" s="64">
        <f>E31*110%</f>
        <v>118.39850000000003</v>
      </c>
      <c r="G31" s="64">
        <f t="shared" ref="G31:I31" si="30">F31*110%</f>
        <v>130.23835000000005</v>
      </c>
      <c r="H31" s="64">
        <f t="shared" si="30"/>
        <v>143.26218500000007</v>
      </c>
      <c r="I31" s="64">
        <f t="shared" si="30"/>
        <v>157.58840350000008</v>
      </c>
      <c r="J31" s="64">
        <f>I31</f>
        <v>157.58840350000008</v>
      </c>
      <c r="K31" s="64">
        <f t="shared" ref="K31:T31" si="31">J31</f>
        <v>157.58840350000008</v>
      </c>
      <c r="L31" s="64">
        <f t="shared" si="31"/>
        <v>157.58840350000008</v>
      </c>
      <c r="M31" s="64">
        <f t="shared" si="31"/>
        <v>157.58840350000008</v>
      </c>
      <c r="N31" s="64">
        <f t="shared" si="31"/>
        <v>157.58840350000008</v>
      </c>
      <c r="O31" s="64">
        <f t="shared" si="31"/>
        <v>157.58840350000008</v>
      </c>
      <c r="P31" s="64">
        <f t="shared" si="31"/>
        <v>157.58840350000008</v>
      </c>
      <c r="Q31" s="64">
        <f t="shared" si="31"/>
        <v>157.58840350000008</v>
      </c>
      <c r="R31" s="64">
        <f t="shared" si="31"/>
        <v>157.58840350000008</v>
      </c>
      <c r="S31" s="64">
        <f t="shared" si="31"/>
        <v>157.58840350000008</v>
      </c>
      <c r="T31" s="64">
        <f t="shared" si="31"/>
        <v>157.58840350000008</v>
      </c>
      <c r="U31" s="64">
        <f>T31*102%</f>
        <v>160.74017157000009</v>
      </c>
      <c r="V31" s="64">
        <f t="shared" ref="V31:AL31" si="32">U31*102%</f>
        <v>163.9549750014001</v>
      </c>
      <c r="W31" s="64">
        <f t="shared" si="32"/>
        <v>167.2340745014281</v>
      </c>
      <c r="X31" s="64">
        <f t="shared" si="32"/>
        <v>170.57875599145666</v>
      </c>
      <c r="Y31" s="64">
        <f t="shared" si="32"/>
        <v>173.9903311112858</v>
      </c>
      <c r="Z31" s="64">
        <f t="shared" si="32"/>
        <v>177.47013773351151</v>
      </c>
      <c r="AA31" s="64">
        <f t="shared" si="32"/>
        <v>181.01954048818175</v>
      </c>
      <c r="AB31" s="64">
        <f t="shared" si="32"/>
        <v>184.6399312979454</v>
      </c>
      <c r="AC31" s="64">
        <f t="shared" si="32"/>
        <v>188.33272992390431</v>
      </c>
      <c r="AD31" s="64">
        <f t="shared" si="32"/>
        <v>192.09938452238239</v>
      </c>
      <c r="AE31" s="64">
        <f t="shared" si="32"/>
        <v>195.94137221283003</v>
      </c>
      <c r="AF31" s="64">
        <f t="shared" si="32"/>
        <v>199.86019965708664</v>
      </c>
      <c r="AG31" s="64">
        <f t="shared" si="32"/>
        <v>203.85740365022838</v>
      </c>
      <c r="AH31" s="64">
        <f t="shared" si="32"/>
        <v>207.93455172323294</v>
      </c>
      <c r="AI31" s="64">
        <f t="shared" si="32"/>
        <v>212.0932427576976</v>
      </c>
      <c r="AJ31" s="64">
        <f t="shared" si="32"/>
        <v>216.33510761285154</v>
      </c>
      <c r="AK31" s="64">
        <f t="shared" si="32"/>
        <v>220.66180976510859</v>
      </c>
      <c r="AL31" s="64">
        <f t="shared" si="32"/>
        <v>225.07504596041076</v>
      </c>
    </row>
    <row r="32" spans="1:39" ht="18.75" x14ac:dyDescent="0.35">
      <c r="A32" s="78">
        <v>8</v>
      </c>
      <c r="B32" s="76" t="s">
        <v>46</v>
      </c>
      <c r="C32" s="64">
        <f>$A$32</f>
        <v>8</v>
      </c>
      <c r="D32" s="64">
        <f t="shared" ref="D32:K32" si="33">$A$32</f>
        <v>8</v>
      </c>
      <c r="E32" s="64">
        <f t="shared" si="33"/>
        <v>8</v>
      </c>
      <c r="F32" s="64">
        <f t="shared" si="33"/>
        <v>8</v>
      </c>
      <c r="G32" s="64">
        <f t="shared" si="33"/>
        <v>8</v>
      </c>
      <c r="H32" s="64">
        <f t="shared" si="33"/>
        <v>8</v>
      </c>
      <c r="I32" s="64">
        <f t="shared" si="33"/>
        <v>8</v>
      </c>
      <c r="J32" s="64">
        <f t="shared" si="33"/>
        <v>8</v>
      </c>
      <c r="K32" s="64">
        <f t="shared" si="33"/>
        <v>8</v>
      </c>
      <c r="L32" s="64">
        <f>$A$32+1</f>
        <v>9</v>
      </c>
      <c r="M32" s="64">
        <f t="shared" ref="M32:P32" si="34">$A$32+1</f>
        <v>9</v>
      </c>
      <c r="N32" s="64">
        <f t="shared" si="34"/>
        <v>9</v>
      </c>
      <c r="O32" s="64">
        <f t="shared" si="34"/>
        <v>9</v>
      </c>
      <c r="P32" s="64">
        <f t="shared" si="34"/>
        <v>9</v>
      </c>
      <c r="Q32" s="64">
        <f>$A$32+2</f>
        <v>10</v>
      </c>
      <c r="R32" s="64">
        <f t="shared" ref="R32:W32" si="35">$A$32+2</f>
        <v>10</v>
      </c>
      <c r="S32" s="64">
        <f t="shared" si="35"/>
        <v>10</v>
      </c>
      <c r="T32" s="64">
        <f t="shared" si="35"/>
        <v>10</v>
      </c>
      <c r="U32" s="64">
        <f t="shared" si="35"/>
        <v>10</v>
      </c>
      <c r="V32" s="64">
        <f t="shared" si="35"/>
        <v>10</v>
      </c>
      <c r="W32" s="64">
        <f t="shared" si="35"/>
        <v>10</v>
      </c>
      <c r="X32" s="64">
        <f>$A$32+3</f>
        <v>11</v>
      </c>
      <c r="Y32" s="64">
        <f t="shared" ref="Y32:AD32" si="36">$A$32+3</f>
        <v>11</v>
      </c>
      <c r="Z32" s="64">
        <f t="shared" si="36"/>
        <v>11</v>
      </c>
      <c r="AA32" s="64">
        <f t="shared" si="36"/>
        <v>11</v>
      </c>
      <c r="AB32" s="64">
        <f t="shared" si="36"/>
        <v>11</v>
      </c>
      <c r="AC32" s="64">
        <f t="shared" si="36"/>
        <v>11</v>
      </c>
      <c r="AD32" s="64">
        <f t="shared" si="36"/>
        <v>11</v>
      </c>
      <c r="AE32" s="64">
        <f>$A$32+4</f>
        <v>12</v>
      </c>
      <c r="AF32" s="64">
        <f t="shared" ref="AF32:AL32" si="37">$A$32+4</f>
        <v>12</v>
      </c>
      <c r="AG32" s="64">
        <f t="shared" si="37"/>
        <v>12</v>
      </c>
      <c r="AH32" s="64">
        <f t="shared" si="37"/>
        <v>12</v>
      </c>
      <c r="AI32" s="64">
        <f t="shared" si="37"/>
        <v>12</v>
      </c>
      <c r="AJ32" s="64">
        <f t="shared" si="37"/>
        <v>12</v>
      </c>
      <c r="AK32" s="64">
        <f t="shared" si="37"/>
        <v>12</v>
      </c>
      <c r="AL32" s="64">
        <f t="shared" si="37"/>
        <v>12</v>
      </c>
    </row>
    <row r="33" spans="1:39" ht="18.75" x14ac:dyDescent="0.35">
      <c r="A33" s="90">
        <v>14</v>
      </c>
      <c r="B33" s="76" t="s">
        <v>47</v>
      </c>
      <c r="C33" s="64">
        <f>$A$33</f>
        <v>14</v>
      </c>
      <c r="D33" s="64">
        <f t="shared" ref="D33:N33" si="38">$A$33</f>
        <v>14</v>
      </c>
      <c r="E33" s="64">
        <f t="shared" si="38"/>
        <v>14</v>
      </c>
      <c r="F33" s="64">
        <f t="shared" si="38"/>
        <v>14</v>
      </c>
      <c r="G33" s="64">
        <f t="shared" si="38"/>
        <v>14</v>
      </c>
      <c r="H33" s="64">
        <f t="shared" si="38"/>
        <v>14</v>
      </c>
      <c r="I33" s="64">
        <f t="shared" si="38"/>
        <v>14</v>
      </c>
      <c r="J33" s="64">
        <f t="shared" si="38"/>
        <v>14</v>
      </c>
      <c r="K33" s="64">
        <f t="shared" si="38"/>
        <v>14</v>
      </c>
      <c r="L33" s="64">
        <f t="shared" si="38"/>
        <v>14</v>
      </c>
      <c r="M33" s="64">
        <f t="shared" si="38"/>
        <v>14</v>
      </c>
      <c r="N33" s="64">
        <f t="shared" si="38"/>
        <v>14</v>
      </c>
      <c r="O33" s="64">
        <f>$A$33*105%</f>
        <v>14.700000000000001</v>
      </c>
      <c r="P33" s="64">
        <f t="shared" ref="P33:Z33" si="39">$A$33*105%</f>
        <v>14.700000000000001</v>
      </c>
      <c r="Q33" s="64">
        <f t="shared" si="39"/>
        <v>14.700000000000001</v>
      </c>
      <c r="R33" s="64">
        <f t="shared" si="39"/>
        <v>14.700000000000001</v>
      </c>
      <c r="S33" s="64">
        <f t="shared" si="39"/>
        <v>14.700000000000001</v>
      </c>
      <c r="T33" s="64">
        <f t="shared" si="39"/>
        <v>14.700000000000001</v>
      </c>
      <c r="U33" s="64">
        <f t="shared" si="39"/>
        <v>14.700000000000001</v>
      </c>
      <c r="V33" s="64">
        <f t="shared" si="39"/>
        <v>14.700000000000001</v>
      </c>
      <c r="W33" s="64">
        <f t="shared" si="39"/>
        <v>14.700000000000001</v>
      </c>
      <c r="X33" s="64">
        <f t="shared" si="39"/>
        <v>14.700000000000001</v>
      </c>
      <c r="Y33" s="64">
        <f t="shared" si="39"/>
        <v>14.700000000000001</v>
      </c>
      <c r="Z33" s="64">
        <f t="shared" si="39"/>
        <v>14.700000000000001</v>
      </c>
      <c r="AA33" s="64">
        <f>$A$33*112%</f>
        <v>15.680000000000001</v>
      </c>
      <c r="AB33" s="64">
        <f t="shared" ref="AB33:AL33" si="40">$A$33*112%</f>
        <v>15.680000000000001</v>
      </c>
      <c r="AC33" s="64">
        <f t="shared" si="40"/>
        <v>15.680000000000001</v>
      </c>
      <c r="AD33" s="64">
        <f t="shared" si="40"/>
        <v>15.680000000000001</v>
      </c>
      <c r="AE33" s="64">
        <f t="shared" si="40"/>
        <v>15.680000000000001</v>
      </c>
      <c r="AF33" s="64">
        <f t="shared" si="40"/>
        <v>15.680000000000001</v>
      </c>
      <c r="AG33" s="64">
        <f t="shared" si="40"/>
        <v>15.680000000000001</v>
      </c>
      <c r="AH33" s="64">
        <f t="shared" si="40"/>
        <v>15.680000000000001</v>
      </c>
      <c r="AI33" s="64">
        <f t="shared" si="40"/>
        <v>15.680000000000001</v>
      </c>
      <c r="AJ33" s="64">
        <f t="shared" si="40"/>
        <v>15.680000000000001</v>
      </c>
      <c r="AK33" s="64">
        <f t="shared" si="40"/>
        <v>15.680000000000001</v>
      </c>
      <c r="AL33" s="64">
        <f t="shared" si="40"/>
        <v>15.680000000000001</v>
      </c>
    </row>
    <row r="34" spans="1:39" ht="18" x14ac:dyDescent="0.35">
      <c r="A34" s="57"/>
      <c r="B34" s="57"/>
      <c r="C34" s="52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</row>
    <row r="35" spans="1:39" ht="26.45" customHeight="1" x14ac:dyDescent="0.35">
      <c r="A35" s="57"/>
      <c r="B35" s="49" t="s">
        <v>91</v>
      </c>
      <c r="C35" s="39">
        <f ca="1">SUM(C36:C41)</f>
        <v>187387.26</v>
      </c>
      <c r="D35" s="39">
        <f t="shared" ref="D35:AL35" ca="1" si="41">SUM(D36:D41)</f>
        <v>165947.856</v>
      </c>
      <c r="E35" s="39">
        <f t="shared" ca="1" si="41"/>
        <v>155149.71840000001</v>
      </c>
      <c r="F35" s="39">
        <f t="shared" ca="1" si="41"/>
        <v>149419.82611999998</v>
      </c>
      <c r="G35" s="39">
        <f t="shared" ca="1" si="41"/>
        <v>146670.25516</v>
      </c>
      <c r="H35" s="39">
        <f t="shared" ca="1" si="41"/>
        <v>147084.78805152001</v>
      </c>
      <c r="I35" s="39">
        <f t="shared" ca="1" si="41"/>
        <v>147189.52483459678</v>
      </c>
      <c r="J35" s="39">
        <f t="shared" ca="1" si="41"/>
        <v>147514.52257523561</v>
      </c>
      <c r="K35" s="39">
        <f t="shared" ca="1" si="41"/>
        <v>148232.1646016179</v>
      </c>
      <c r="L35" s="39">
        <f t="shared" ca="1" si="41"/>
        <v>155606.54539407854</v>
      </c>
      <c r="M35" s="39">
        <f t="shared" ca="1" si="41"/>
        <v>157167.33876087703</v>
      </c>
      <c r="N35" s="39">
        <f t="shared" ca="1" si="41"/>
        <v>158839.94399952478</v>
      </c>
      <c r="O35" s="39">
        <f t="shared" ca="1" si="41"/>
        <v>165820.66671423471</v>
      </c>
      <c r="P35" s="39">
        <f t="shared" ca="1" si="41"/>
        <v>167692.45067628229</v>
      </c>
      <c r="Q35" s="39">
        <f t="shared" ca="1" si="41"/>
        <v>174239.07905454564</v>
      </c>
      <c r="R35" s="39">
        <f t="shared" ca="1" si="41"/>
        <v>176214.68524255918</v>
      </c>
      <c r="S35" s="39">
        <f t="shared" ca="1" si="41"/>
        <v>178236.07069964393</v>
      </c>
      <c r="T35" s="39">
        <f t="shared" ca="1" si="41"/>
        <v>180301.64415305699</v>
      </c>
      <c r="U35" s="39">
        <f t="shared" ca="1" si="41"/>
        <v>182852.03277765017</v>
      </c>
      <c r="V35" s="39">
        <f t="shared" ca="1" si="41"/>
        <v>185454.78287812244</v>
      </c>
      <c r="W35" s="39">
        <f t="shared" ca="1" si="41"/>
        <v>188110.40020263643</v>
      </c>
      <c r="X35" s="39">
        <f t="shared" ca="1" si="41"/>
        <v>195439.6172068601</v>
      </c>
      <c r="Y35" s="39">
        <f t="shared" ca="1" si="41"/>
        <v>198203.31095109985</v>
      </c>
      <c r="Z35" s="39">
        <f t="shared" ca="1" si="41"/>
        <v>201022.45401018337</v>
      </c>
      <c r="AA35" s="39">
        <f t="shared" ca="1" si="41"/>
        <v>211338.39070788116</v>
      </c>
      <c r="AB35" s="39">
        <f t="shared" ca="1" si="41"/>
        <v>214366.17378446093</v>
      </c>
      <c r="AC35" s="39">
        <f t="shared" ca="1" si="41"/>
        <v>217454.55041760343</v>
      </c>
      <c r="AD35" s="39">
        <f t="shared" ca="1" si="41"/>
        <v>220604.71732042747</v>
      </c>
      <c r="AE35" s="39">
        <f t="shared" ca="1" si="41"/>
        <v>228657.9012035192</v>
      </c>
      <c r="AF35" s="39">
        <f t="shared" ca="1" si="41"/>
        <v>231935.35694959952</v>
      </c>
      <c r="AG35" s="39">
        <f t="shared" ca="1" si="41"/>
        <v>235278.36672179744</v>
      </c>
      <c r="AH35" s="39">
        <f t="shared" ca="1" si="41"/>
        <v>238688.23963615694</v>
      </c>
      <c r="AI35" s="39">
        <f t="shared" ca="1" si="41"/>
        <v>242166.31177683425</v>
      </c>
      <c r="AJ35" s="39">
        <f t="shared" ca="1" si="41"/>
        <v>245713.94642114348</v>
      </c>
      <c r="AK35" s="39">
        <f t="shared" ca="1" si="41"/>
        <v>249332.53439482983</v>
      </c>
      <c r="AL35" s="39">
        <f t="shared" ca="1" si="41"/>
        <v>253023.49450988451</v>
      </c>
    </row>
    <row r="36" spans="1:39" ht="18.75" x14ac:dyDescent="0.35">
      <c r="A36" s="68">
        <v>5300</v>
      </c>
      <c r="B36" s="51" t="s">
        <v>95</v>
      </c>
      <c r="C36" s="47">
        <f>$A$36</f>
        <v>5300</v>
      </c>
      <c r="D36" s="47">
        <f t="shared" ref="D36:M36" si="42">$A$36</f>
        <v>5300</v>
      </c>
      <c r="E36" s="47">
        <f t="shared" si="42"/>
        <v>5300</v>
      </c>
      <c r="F36" s="47">
        <f t="shared" si="42"/>
        <v>5300</v>
      </c>
      <c r="G36" s="47">
        <f t="shared" si="42"/>
        <v>5300</v>
      </c>
      <c r="H36" s="47">
        <f t="shared" si="42"/>
        <v>5300</v>
      </c>
      <c r="I36" s="47">
        <f t="shared" si="42"/>
        <v>5300</v>
      </c>
      <c r="J36" s="47">
        <f t="shared" si="42"/>
        <v>5300</v>
      </c>
      <c r="K36" s="47">
        <f t="shared" si="42"/>
        <v>5300</v>
      </c>
      <c r="L36" s="47">
        <f t="shared" si="42"/>
        <v>5300</v>
      </c>
      <c r="M36" s="47">
        <f t="shared" si="42"/>
        <v>5300</v>
      </c>
      <c r="N36" s="47">
        <f>$A$36</f>
        <v>5300</v>
      </c>
      <c r="O36" s="47">
        <f>$A$36*110%</f>
        <v>5830.0000000000009</v>
      </c>
      <c r="P36" s="47">
        <f t="shared" ref="P36:Z36" si="43">$A$36*110%</f>
        <v>5830.0000000000009</v>
      </c>
      <c r="Q36" s="47">
        <f t="shared" si="43"/>
        <v>5830.0000000000009</v>
      </c>
      <c r="R36" s="47">
        <f t="shared" si="43"/>
        <v>5830.0000000000009</v>
      </c>
      <c r="S36" s="47">
        <f t="shared" si="43"/>
        <v>5830.0000000000009</v>
      </c>
      <c r="T36" s="47">
        <f t="shared" si="43"/>
        <v>5830.0000000000009</v>
      </c>
      <c r="U36" s="47">
        <f t="shared" si="43"/>
        <v>5830.0000000000009</v>
      </c>
      <c r="V36" s="47">
        <f t="shared" si="43"/>
        <v>5830.0000000000009</v>
      </c>
      <c r="W36" s="47">
        <f t="shared" si="43"/>
        <v>5830.0000000000009</v>
      </c>
      <c r="X36" s="47">
        <f t="shared" si="43"/>
        <v>5830.0000000000009</v>
      </c>
      <c r="Y36" s="47">
        <f t="shared" si="43"/>
        <v>5830.0000000000009</v>
      </c>
      <c r="Z36" s="47">
        <f t="shared" si="43"/>
        <v>5830.0000000000009</v>
      </c>
      <c r="AA36" s="47">
        <f>$A$36*115%</f>
        <v>6094.9999999999991</v>
      </c>
      <c r="AB36" s="47">
        <f t="shared" ref="AB36:AL36" si="44">$A$36*115%</f>
        <v>6094.9999999999991</v>
      </c>
      <c r="AC36" s="47">
        <f t="shared" si="44"/>
        <v>6094.9999999999991</v>
      </c>
      <c r="AD36" s="47">
        <f t="shared" si="44"/>
        <v>6094.9999999999991</v>
      </c>
      <c r="AE36" s="47">
        <f t="shared" si="44"/>
        <v>6094.9999999999991</v>
      </c>
      <c r="AF36" s="47">
        <f t="shared" si="44"/>
        <v>6094.9999999999991</v>
      </c>
      <c r="AG36" s="47">
        <f t="shared" si="44"/>
        <v>6094.9999999999991</v>
      </c>
      <c r="AH36" s="47">
        <f t="shared" si="44"/>
        <v>6094.9999999999991</v>
      </c>
      <c r="AI36" s="47">
        <f t="shared" si="44"/>
        <v>6094.9999999999991</v>
      </c>
      <c r="AJ36" s="47">
        <f t="shared" si="44"/>
        <v>6094.9999999999991</v>
      </c>
      <c r="AK36" s="47">
        <f t="shared" si="44"/>
        <v>6094.9999999999991</v>
      </c>
      <c r="AL36" s="47">
        <f t="shared" si="44"/>
        <v>6094.9999999999991</v>
      </c>
    </row>
    <row r="37" spans="1:39" ht="18.75" x14ac:dyDescent="0.35">
      <c r="A37" s="68">
        <v>4000</v>
      </c>
      <c r="B37" s="51" t="s">
        <v>119</v>
      </c>
      <c r="C37" s="47">
        <f>$A$37*C32</f>
        <v>32000</v>
      </c>
      <c r="D37" s="47">
        <f t="shared" ref="D37:N37" si="45">$A$37*D32</f>
        <v>32000</v>
      </c>
      <c r="E37" s="47">
        <f t="shared" si="45"/>
        <v>32000</v>
      </c>
      <c r="F37" s="47">
        <f t="shared" si="45"/>
        <v>32000</v>
      </c>
      <c r="G37" s="47">
        <f t="shared" si="45"/>
        <v>32000</v>
      </c>
      <c r="H37" s="47">
        <f t="shared" si="45"/>
        <v>32000</v>
      </c>
      <c r="I37" s="47">
        <f t="shared" si="45"/>
        <v>32000</v>
      </c>
      <c r="J37" s="47">
        <f t="shared" si="45"/>
        <v>32000</v>
      </c>
      <c r="K37" s="47">
        <f t="shared" si="45"/>
        <v>32000</v>
      </c>
      <c r="L37" s="47">
        <f t="shared" si="45"/>
        <v>36000</v>
      </c>
      <c r="M37" s="47">
        <f t="shared" si="45"/>
        <v>36000</v>
      </c>
      <c r="N37" s="47">
        <f t="shared" si="45"/>
        <v>36000</v>
      </c>
      <c r="O37" s="47">
        <f>$A$37*O32*105%</f>
        <v>37800</v>
      </c>
      <c r="P37" s="47">
        <f t="shared" ref="P37:Z37" si="46">$A$37*P32*105%</f>
        <v>37800</v>
      </c>
      <c r="Q37" s="47">
        <f t="shared" si="46"/>
        <v>42000</v>
      </c>
      <c r="R37" s="47">
        <f t="shared" si="46"/>
        <v>42000</v>
      </c>
      <c r="S37" s="47">
        <f t="shared" si="46"/>
        <v>42000</v>
      </c>
      <c r="T37" s="47">
        <f t="shared" si="46"/>
        <v>42000</v>
      </c>
      <c r="U37" s="47">
        <f t="shared" si="46"/>
        <v>42000</v>
      </c>
      <c r="V37" s="47">
        <f t="shared" si="46"/>
        <v>42000</v>
      </c>
      <c r="W37" s="47">
        <f t="shared" si="46"/>
        <v>42000</v>
      </c>
      <c r="X37" s="47">
        <f t="shared" si="46"/>
        <v>46200</v>
      </c>
      <c r="Y37" s="47">
        <f t="shared" si="46"/>
        <v>46200</v>
      </c>
      <c r="Z37" s="47">
        <f t="shared" si="46"/>
        <v>46200</v>
      </c>
      <c r="AA37" s="47">
        <f>$A$37*AA32*110%</f>
        <v>48400.000000000007</v>
      </c>
      <c r="AB37" s="47">
        <f t="shared" ref="AB37:AL37" si="47">$A$37*AB32*110%</f>
        <v>48400.000000000007</v>
      </c>
      <c r="AC37" s="47">
        <f t="shared" si="47"/>
        <v>48400.000000000007</v>
      </c>
      <c r="AD37" s="47">
        <f t="shared" si="47"/>
        <v>48400.000000000007</v>
      </c>
      <c r="AE37" s="47">
        <f t="shared" si="47"/>
        <v>52800.000000000007</v>
      </c>
      <c r="AF37" s="47">
        <f t="shared" si="47"/>
        <v>52800.000000000007</v>
      </c>
      <c r="AG37" s="47">
        <f t="shared" si="47"/>
        <v>52800.000000000007</v>
      </c>
      <c r="AH37" s="47">
        <f t="shared" si="47"/>
        <v>52800.000000000007</v>
      </c>
      <c r="AI37" s="47">
        <f t="shared" si="47"/>
        <v>52800.000000000007</v>
      </c>
      <c r="AJ37" s="47">
        <f t="shared" si="47"/>
        <v>52800.000000000007</v>
      </c>
      <c r="AK37" s="47">
        <f t="shared" si="47"/>
        <v>52800.000000000007</v>
      </c>
      <c r="AL37" s="47">
        <f t="shared" si="47"/>
        <v>52800.000000000007</v>
      </c>
    </row>
    <row r="38" spans="1:39" ht="18.75" x14ac:dyDescent="0.35">
      <c r="A38" s="56"/>
      <c r="B38" s="51" t="s">
        <v>94</v>
      </c>
      <c r="C38" s="47">
        <f>C14*C33</f>
        <v>42000</v>
      </c>
      <c r="D38" s="47">
        <f t="shared" ref="D38:AL38" si="48">D14*D33</f>
        <v>42840</v>
      </c>
      <c r="E38" s="47">
        <f t="shared" si="48"/>
        <v>43696.799999999996</v>
      </c>
      <c r="F38" s="47">
        <f t="shared" si="48"/>
        <v>44570.735999999997</v>
      </c>
      <c r="G38" s="47">
        <f t="shared" si="48"/>
        <v>45462.150719999998</v>
      </c>
      <c r="H38" s="47">
        <f t="shared" si="48"/>
        <v>46371.393734400001</v>
      </c>
      <c r="I38" s="47">
        <f t="shared" si="48"/>
        <v>47298.821609088001</v>
      </c>
      <c r="J38" s="47">
        <f t="shared" si="48"/>
        <v>48244.798041269758</v>
      </c>
      <c r="K38" s="47">
        <f t="shared" si="48"/>
        <v>49209.694002095159</v>
      </c>
      <c r="L38" s="47">
        <f t="shared" si="48"/>
        <v>50193.88788213706</v>
      </c>
      <c r="M38" s="47">
        <f t="shared" si="48"/>
        <v>51197.765639779805</v>
      </c>
      <c r="N38" s="47">
        <f t="shared" si="48"/>
        <v>52221.720952575401</v>
      </c>
      <c r="O38" s="47">
        <f t="shared" si="48"/>
        <v>55929.463140208252</v>
      </c>
      <c r="P38" s="47">
        <f t="shared" si="48"/>
        <v>57048.052403012422</v>
      </c>
      <c r="Q38" s="47">
        <f t="shared" si="48"/>
        <v>58189.013451072671</v>
      </c>
      <c r="R38" s="47">
        <f t="shared" si="48"/>
        <v>59352.793720094123</v>
      </c>
      <c r="S38" s="47">
        <f t="shared" si="48"/>
        <v>60539.849594496009</v>
      </c>
      <c r="T38" s="47">
        <f t="shared" si="48"/>
        <v>61750.646586385927</v>
      </c>
      <c r="U38" s="47">
        <f t="shared" si="48"/>
        <v>62985.659518113636</v>
      </c>
      <c r="V38" s="47">
        <f t="shared" si="48"/>
        <v>64245.372708475908</v>
      </c>
      <c r="W38" s="47">
        <f t="shared" si="48"/>
        <v>65530.280162645424</v>
      </c>
      <c r="X38" s="47">
        <f t="shared" si="48"/>
        <v>66840.885765898332</v>
      </c>
      <c r="Y38" s="47">
        <f t="shared" si="48"/>
        <v>68177.703481216304</v>
      </c>
      <c r="Z38" s="47">
        <f t="shared" si="48"/>
        <v>69541.25755084063</v>
      </c>
      <c r="AA38" s="47">
        <f t="shared" si="48"/>
        <v>75660.888215314611</v>
      </c>
      <c r="AB38" s="47">
        <f t="shared" si="48"/>
        <v>77174.105979620901</v>
      </c>
      <c r="AC38" s="47">
        <f t="shared" si="48"/>
        <v>78717.588099213317</v>
      </c>
      <c r="AD38" s="47">
        <f t="shared" si="48"/>
        <v>80291.939861197578</v>
      </c>
      <c r="AE38" s="47">
        <f t="shared" si="48"/>
        <v>81897.778658421536</v>
      </c>
      <c r="AF38" s="47">
        <f t="shared" si="48"/>
        <v>83535.734231589973</v>
      </c>
      <c r="AG38" s="47">
        <f t="shared" si="48"/>
        <v>85206.448916221765</v>
      </c>
      <c r="AH38" s="47">
        <f t="shared" si="48"/>
        <v>86910.577894546208</v>
      </c>
      <c r="AI38" s="47">
        <f t="shared" si="48"/>
        <v>88648.789452437137</v>
      </c>
      <c r="AJ38" s="47">
        <f t="shared" si="48"/>
        <v>90421.765241485889</v>
      </c>
      <c r="AK38" s="47">
        <f t="shared" si="48"/>
        <v>92230.200546315609</v>
      </c>
      <c r="AL38" s="47">
        <f t="shared" si="48"/>
        <v>94074.804557241921</v>
      </c>
    </row>
    <row r="39" spans="1:39" ht="18.75" x14ac:dyDescent="0.35">
      <c r="A39" s="56"/>
      <c r="B39" s="51" t="s">
        <v>121</v>
      </c>
      <c r="C39" s="47">
        <f>C13*C28</f>
        <v>27534.600000000002</v>
      </c>
      <c r="D39" s="47">
        <f t="shared" ref="D39:AL39" si="49">D13*D28</f>
        <v>21110.760000000002</v>
      </c>
      <c r="E39" s="47">
        <f t="shared" si="49"/>
        <v>16769.980800000001</v>
      </c>
      <c r="F39" s="47">
        <f t="shared" si="49"/>
        <v>14172.096959999999</v>
      </c>
      <c r="G39" s="47">
        <f t="shared" si="49"/>
        <v>12583.420631999999</v>
      </c>
      <c r="H39" s="47">
        <f t="shared" si="49"/>
        <v>11576.335942079997</v>
      </c>
      <c r="I39" s="47">
        <f t="shared" si="49"/>
        <v>10901.764423439998</v>
      </c>
      <c r="J39" s="47">
        <f t="shared" si="49"/>
        <v>10414.684711438846</v>
      </c>
      <c r="K39" s="47">
        <f t="shared" si="49"/>
        <v>10030.668573535149</v>
      </c>
      <c r="L39" s="47">
        <f t="shared" si="49"/>
        <v>10141.470505868061</v>
      </c>
      <c r="M39" s="47">
        <f t="shared" si="49"/>
        <v>10290.413052502749</v>
      </c>
      <c r="N39" s="47">
        <f t="shared" si="49"/>
        <v>10463.8891954632</v>
      </c>
      <c r="O39" s="47">
        <f t="shared" si="49"/>
        <v>10653.767708518701</v>
      </c>
      <c r="P39" s="47">
        <f t="shared" si="49"/>
        <v>10855.203500176816</v>
      </c>
      <c r="Q39" s="47">
        <f t="shared" si="49"/>
        <v>11065.323832672995</v>
      </c>
      <c r="R39" s="47">
        <f t="shared" si="49"/>
        <v>11282.440066822044</v>
      </c>
      <c r="S39" s="47">
        <f t="shared" si="49"/>
        <v>11505.574722655836</v>
      </c>
      <c r="T39" s="47">
        <f t="shared" si="49"/>
        <v>11734.177729807367</v>
      </c>
      <c r="U39" s="47">
        <f t="shared" si="49"/>
        <v>11967.956192022561</v>
      </c>
      <c r="V39" s="47">
        <f t="shared" si="49"/>
        <v>12206.772260434438</v>
      </c>
      <c r="W39" s="47">
        <f t="shared" si="49"/>
        <v>12450.581872385983</v>
      </c>
      <c r="X39" s="47">
        <f t="shared" si="49"/>
        <v>12699.398009879416</v>
      </c>
      <c r="Y39" s="47">
        <f t="shared" si="49"/>
        <v>12953.268670104431</v>
      </c>
      <c r="Z39" s="47">
        <f t="shared" si="49"/>
        <v>13212.263663522977</v>
      </c>
      <c r="AA39" s="47">
        <f t="shared" si="49"/>
        <v>13476.466708803311</v>
      </c>
      <c r="AB39" s="47">
        <f t="shared" si="49"/>
        <v>13745.970706185304</v>
      </c>
      <c r="AC39" s="47">
        <f t="shared" si="49"/>
        <v>14020.874918232566</v>
      </c>
      <c r="AD39" s="47">
        <f t="shared" si="49"/>
        <v>14301.28329535135</v>
      </c>
      <c r="AE39" s="47">
        <f t="shared" si="49"/>
        <v>14587.303488510854</v>
      </c>
      <c r="AF39" s="47">
        <f t="shared" si="49"/>
        <v>14879.046274632557</v>
      </c>
      <c r="AG39" s="47">
        <f t="shared" si="49"/>
        <v>15176.6252299361</v>
      </c>
      <c r="AH39" s="47">
        <f t="shared" si="49"/>
        <v>15480.15655242136</v>
      </c>
      <c r="AI39" s="47">
        <f t="shared" si="49"/>
        <v>15789.758974201712</v>
      </c>
      <c r="AJ39" s="47">
        <f t="shared" si="49"/>
        <v>16105.553728124902</v>
      </c>
      <c r="AK39" s="47">
        <f t="shared" si="49"/>
        <v>16427.664547350891</v>
      </c>
      <c r="AL39" s="47">
        <f t="shared" si="49"/>
        <v>16756.217685096002</v>
      </c>
    </row>
    <row r="40" spans="1:39" ht="18.75" x14ac:dyDescent="0.35">
      <c r="A40" s="79">
        <v>2.25</v>
      </c>
      <c r="B40" s="51" t="s">
        <v>120</v>
      </c>
      <c r="C40" s="47">
        <f ca="1">C21*$A$40 + C29*C31</f>
        <v>76822.66</v>
      </c>
      <c r="D40" s="47">
        <f t="shared" ref="D40:AL40" ca="1" si="50">D21*$A$40 + D29*D31</f>
        <v>60967.095999999998</v>
      </c>
      <c r="E40" s="47">
        <f t="shared" ca="1" si="50"/>
        <v>53652.937600000005</v>
      </c>
      <c r="F40" s="47">
        <f t="shared" ca="1" si="50"/>
        <v>49646.993159999998</v>
      </c>
      <c r="G40" s="47">
        <f t="shared" ca="1" si="50"/>
        <v>47594.683808000002</v>
      </c>
      <c r="H40" s="47">
        <f t="shared" ca="1" si="50"/>
        <v>48107.058375040011</v>
      </c>
      <c r="I40" s="47">
        <f t="shared" ca="1" si="50"/>
        <v>47958.938802068806</v>
      </c>
      <c r="J40" s="47">
        <f t="shared" ca="1" si="50"/>
        <v>47825.039822526989</v>
      </c>
      <c r="K40" s="47">
        <f t="shared" ca="1" si="50"/>
        <v>47961.802025987599</v>
      </c>
      <c r="L40" s="47">
        <f t="shared" ca="1" si="50"/>
        <v>49841.187006073407</v>
      </c>
      <c r="M40" s="47">
        <f t="shared" ca="1" si="50"/>
        <v>50249.160068594501</v>
      </c>
      <c r="N40" s="47">
        <f t="shared" ca="1" si="50"/>
        <v>50724.333851486175</v>
      </c>
      <c r="O40" s="47">
        <f t="shared" ca="1" si="50"/>
        <v>51244.435865507767</v>
      </c>
      <c r="P40" s="47">
        <f t="shared" ca="1" si="50"/>
        <v>51796.194773093041</v>
      </c>
      <c r="Q40" s="47">
        <f t="shared" ca="1" si="50"/>
        <v>52371.74177079997</v>
      </c>
      <c r="R40" s="47">
        <f t="shared" ca="1" si="50"/>
        <v>52966.451455643008</v>
      </c>
      <c r="S40" s="47">
        <f t="shared" ca="1" si="50"/>
        <v>53577.646382492094</v>
      </c>
      <c r="T40" s="47">
        <f t="shared" ca="1" si="50"/>
        <v>54203.81983686368</v>
      </c>
      <c r="U40" s="47">
        <f t="shared" ca="1" si="50"/>
        <v>55285.41706751399</v>
      </c>
      <c r="V40" s="47">
        <f t="shared" ca="1" si="50"/>
        <v>56389.637909212091</v>
      </c>
      <c r="W40" s="47">
        <f t="shared" ca="1" si="50"/>
        <v>57516.538167605024</v>
      </c>
      <c r="X40" s="47">
        <f t="shared" ca="1" si="50"/>
        <v>58666.333431082341</v>
      </c>
      <c r="Y40" s="47">
        <f t="shared" ca="1" si="50"/>
        <v>59839.338799779114</v>
      </c>
      <c r="Z40" s="47">
        <f t="shared" ca="1" si="50"/>
        <v>61035.932795819768</v>
      </c>
      <c r="AA40" s="47">
        <f t="shared" ca="1" si="50"/>
        <v>62256.535783763218</v>
      </c>
      <c r="AB40" s="47">
        <f t="shared" ca="1" si="50"/>
        <v>63501.597098654711</v>
      </c>
      <c r="AC40" s="47">
        <f t="shared" ca="1" si="50"/>
        <v>64771.587400157558</v>
      </c>
      <c r="AD40" s="47">
        <f t="shared" ca="1" si="50"/>
        <v>66066.994163878553</v>
      </c>
      <c r="AE40" s="47">
        <f t="shared" ca="1" si="50"/>
        <v>67388.319056586814</v>
      </c>
      <c r="AF40" s="47">
        <f t="shared" ca="1" si="50"/>
        <v>68736.076443376965</v>
      </c>
      <c r="AG40" s="47">
        <f t="shared" ca="1" si="50"/>
        <v>70110.792575639571</v>
      </c>
      <c r="AH40" s="47">
        <f t="shared" ca="1" si="50"/>
        <v>71513.005189189382</v>
      </c>
      <c r="AI40" s="47">
        <f t="shared" ca="1" si="50"/>
        <v>72943.263350195397</v>
      </c>
      <c r="AJ40" s="47">
        <f t="shared" ca="1" si="50"/>
        <v>74402.127451532651</v>
      </c>
      <c r="AK40" s="47">
        <f t="shared" ca="1" si="50"/>
        <v>75890.169301163303</v>
      </c>
      <c r="AL40" s="47">
        <f t="shared" ca="1" si="50"/>
        <v>77407.972267546575</v>
      </c>
    </row>
    <row r="41" spans="1:39" ht="18.75" x14ac:dyDescent="0.35">
      <c r="A41" s="56"/>
      <c r="B41" s="51" t="s">
        <v>96</v>
      </c>
      <c r="C41" s="47">
        <f>SUM(C36:C37)*10%</f>
        <v>3730</v>
      </c>
      <c r="D41" s="47">
        <f t="shared" ref="D41:AL41" si="51">SUM(D36:D37)*10%</f>
        <v>3730</v>
      </c>
      <c r="E41" s="47">
        <f t="shared" si="51"/>
        <v>3730</v>
      </c>
      <c r="F41" s="47">
        <f t="shared" si="51"/>
        <v>3730</v>
      </c>
      <c r="G41" s="47">
        <f t="shared" si="51"/>
        <v>3730</v>
      </c>
      <c r="H41" s="47">
        <f t="shared" si="51"/>
        <v>3730</v>
      </c>
      <c r="I41" s="47">
        <f t="shared" si="51"/>
        <v>3730</v>
      </c>
      <c r="J41" s="47">
        <f t="shared" si="51"/>
        <v>3730</v>
      </c>
      <c r="K41" s="47">
        <f t="shared" si="51"/>
        <v>3730</v>
      </c>
      <c r="L41" s="47">
        <f t="shared" si="51"/>
        <v>4130</v>
      </c>
      <c r="M41" s="47">
        <f t="shared" si="51"/>
        <v>4130</v>
      </c>
      <c r="N41" s="47">
        <f t="shared" si="51"/>
        <v>4130</v>
      </c>
      <c r="O41" s="47">
        <f t="shared" si="51"/>
        <v>4363</v>
      </c>
      <c r="P41" s="47">
        <f t="shared" si="51"/>
        <v>4363</v>
      </c>
      <c r="Q41" s="47">
        <f t="shared" si="51"/>
        <v>4783</v>
      </c>
      <c r="R41" s="47">
        <f t="shared" si="51"/>
        <v>4783</v>
      </c>
      <c r="S41" s="47">
        <f t="shared" si="51"/>
        <v>4783</v>
      </c>
      <c r="T41" s="47">
        <f t="shared" si="51"/>
        <v>4783</v>
      </c>
      <c r="U41" s="47">
        <f t="shared" si="51"/>
        <v>4783</v>
      </c>
      <c r="V41" s="47">
        <f t="shared" si="51"/>
        <v>4783</v>
      </c>
      <c r="W41" s="47">
        <f t="shared" si="51"/>
        <v>4783</v>
      </c>
      <c r="X41" s="47">
        <f t="shared" si="51"/>
        <v>5203</v>
      </c>
      <c r="Y41" s="47">
        <f t="shared" si="51"/>
        <v>5203</v>
      </c>
      <c r="Z41" s="47">
        <f t="shared" si="51"/>
        <v>5203</v>
      </c>
      <c r="AA41" s="47">
        <f t="shared" si="51"/>
        <v>5449.5000000000009</v>
      </c>
      <c r="AB41" s="47">
        <f t="shared" si="51"/>
        <v>5449.5000000000009</v>
      </c>
      <c r="AC41" s="47">
        <f t="shared" si="51"/>
        <v>5449.5000000000009</v>
      </c>
      <c r="AD41" s="47">
        <f t="shared" si="51"/>
        <v>5449.5000000000009</v>
      </c>
      <c r="AE41" s="47">
        <f t="shared" si="51"/>
        <v>5889.5000000000009</v>
      </c>
      <c r="AF41" s="47">
        <f t="shared" si="51"/>
        <v>5889.5000000000009</v>
      </c>
      <c r="AG41" s="47">
        <f t="shared" si="51"/>
        <v>5889.5000000000009</v>
      </c>
      <c r="AH41" s="47">
        <f t="shared" si="51"/>
        <v>5889.5000000000009</v>
      </c>
      <c r="AI41" s="47">
        <f t="shared" si="51"/>
        <v>5889.5000000000009</v>
      </c>
      <c r="AJ41" s="47">
        <f t="shared" si="51"/>
        <v>5889.5000000000009</v>
      </c>
      <c r="AK41" s="47">
        <f t="shared" si="51"/>
        <v>5889.5000000000009</v>
      </c>
      <c r="AL41" s="47">
        <f t="shared" si="51"/>
        <v>5889.5000000000009</v>
      </c>
    </row>
    <row r="42" spans="1:39" ht="26.45" customHeight="1" x14ac:dyDescent="0.35">
      <c r="A42" s="57"/>
      <c r="B42" s="51" t="s">
        <v>92</v>
      </c>
      <c r="C42" s="44">
        <v>1</v>
      </c>
      <c r="D42" s="44">
        <f ca="1">(D35/C35)-100%</f>
        <v>-0.11441228181681085</v>
      </c>
      <c r="E42" s="44">
        <f t="shared" ref="E42:AL42" ca="1" si="52">(E35/D35)-100%</f>
        <v>-6.506946133730096E-2</v>
      </c>
      <c r="F42" s="44">
        <f t="shared" ca="1" si="52"/>
        <v>-3.6931374024330998E-2</v>
      </c>
      <c r="G42" s="44">
        <f t="shared" ca="1" si="52"/>
        <v>-1.8401647434603374E-2</v>
      </c>
      <c r="H42" s="44">
        <f t="shared" ca="1" si="52"/>
        <v>2.8262914731265187E-3</v>
      </c>
      <c r="I42" s="44">
        <f t="shared" ca="1" si="52"/>
        <v>7.1208440019021602E-4</v>
      </c>
      <c r="J42" s="44">
        <f t="shared" ca="1" si="52"/>
        <v>2.2080222149234441E-3</v>
      </c>
      <c r="K42" s="44">
        <f t="shared" ca="1" si="52"/>
        <v>4.8648906823143268E-3</v>
      </c>
      <c r="L42" s="44">
        <f t="shared" ca="1" si="52"/>
        <v>4.9748857221910692E-2</v>
      </c>
      <c r="M42" s="44">
        <f t="shared" ca="1" si="52"/>
        <v>1.0030383765963879E-2</v>
      </c>
      <c r="N42" s="44">
        <f t="shared" ca="1" si="52"/>
        <v>1.0642193548829892E-2</v>
      </c>
      <c r="O42" s="44">
        <f t="shared" ca="1" si="52"/>
        <v>4.3948156483427203E-2</v>
      </c>
      <c r="P42" s="44">
        <f t="shared" ca="1" si="52"/>
        <v>1.1288001665517911E-2</v>
      </c>
      <c r="Q42" s="44">
        <f t="shared" ca="1" si="52"/>
        <v>3.9039493739054132E-2</v>
      </c>
      <c r="R42" s="44">
        <f t="shared" ca="1" si="52"/>
        <v>1.1338479282222647E-2</v>
      </c>
      <c r="S42" s="44">
        <f t="shared" ca="1" si="52"/>
        <v>1.1471152102347837E-2</v>
      </c>
      <c r="T42" s="44">
        <f t="shared" ca="1" si="52"/>
        <v>1.1588975482375252E-2</v>
      </c>
      <c r="U42" s="44">
        <f t="shared" ca="1" si="52"/>
        <v>1.4145121285905615E-2</v>
      </c>
      <c r="V42" s="44">
        <f t="shared" ca="1" si="52"/>
        <v>1.4234187396960696E-2</v>
      </c>
      <c r="W42" s="44">
        <f t="shared" ca="1" si="52"/>
        <v>1.4319486849035501E-2</v>
      </c>
      <c r="X42" s="44">
        <f t="shared" ca="1" si="52"/>
        <v>3.8962316790185358E-2</v>
      </c>
      <c r="Y42" s="44">
        <f t="shared" ca="1" si="52"/>
        <v>1.4140908500217542E-2</v>
      </c>
      <c r="Z42" s="44">
        <f t="shared" ca="1" si="52"/>
        <v>1.4223491250249909E-2</v>
      </c>
      <c r="AA42" s="44">
        <f t="shared" ca="1" si="52"/>
        <v>5.1317335411571463E-2</v>
      </c>
      <c r="AB42" s="44">
        <f t="shared" ca="1" si="52"/>
        <v>1.4326706408798628E-2</v>
      </c>
      <c r="AC42" s="44">
        <f t="shared" ca="1" si="52"/>
        <v>1.4407014775790872E-2</v>
      </c>
      <c r="AD42" s="44">
        <f t="shared" ca="1" si="52"/>
        <v>1.4486553152253778E-2</v>
      </c>
      <c r="AE42" s="44">
        <f t="shared" ca="1" si="52"/>
        <v>3.6505039334197464E-2</v>
      </c>
      <c r="AF42" s="44">
        <f t="shared" ca="1" si="52"/>
        <v>1.4333446291729945E-2</v>
      </c>
      <c r="AG42" s="44">
        <f t="shared" ca="1" si="52"/>
        <v>1.4413540980405148E-2</v>
      </c>
      <c r="AH42" s="44">
        <f t="shared" ca="1" si="52"/>
        <v>1.4492930063525478E-2</v>
      </c>
      <c r="AI42" s="44">
        <f t="shared" ca="1" si="52"/>
        <v>1.4571610842574856E-2</v>
      </c>
      <c r="AJ42" s="44">
        <f t="shared" ca="1" si="52"/>
        <v>1.4649579531848866E-2</v>
      </c>
      <c r="AK42" s="44">
        <f t="shared" ca="1" si="52"/>
        <v>1.4726831856276545E-2</v>
      </c>
      <c r="AL42" s="44">
        <f t="shared" ca="1" si="52"/>
        <v>1.4803363403870451E-2</v>
      </c>
    </row>
    <row r="43" spans="1:39" ht="18" x14ac:dyDescent="0.35">
      <c r="A43" s="57"/>
      <c r="B43" s="5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9" ht="27.95" customHeight="1" x14ac:dyDescent="0.35">
      <c r="A44" s="57"/>
      <c r="B44" s="49" t="s">
        <v>97</v>
      </c>
      <c r="C44" s="39">
        <f ca="1">C9-C35</f>
        <v>-70699.296480000019</v>
      </c>
      <c r="D44" s="39">
        <f t="shared" ref="D44:AL44" ca="1" si="53">D9-D35</f>
        <v>-76483.269887999995</v>
      </c>
      <c r="E44" s="39">
        <f t="shared" ca="1" si="53"/>
        <v>-81630.122572800014</v>
      </c>
      <c r="F44" s="39">
        <f t="shared" ca="1" si="53"/>
        <v>-85070.40758047998</v>
      </c>
      <c r="G44" s="39">
        <f t="shared" ca="1" si="53"/>
        <v>-87418.189772223996</v>
      </c>
      <c r="H44" s="39">
        <f t="shared" ca="1" si="53"/>
        <v>-90478.286269509146</v>
      </c>
      <c r="I44" s="39">
        <f t="shared" ca="1" si="53"/>
        <v>-91749.255965058081</v>
      </c>
      <c r="J44" s="39">
        <f t="shared" ca="1" si="53"/>
        <v>-92344.466097173558</v>
      </c>
      <c r="K44" s="39">
        <f t="shared" ca="1" si="53"/>
        <v>-92786.117655315073</v>
      </c>
      <c r="L44" s="39">
        <f t="shared" ca="1" si="53"/>
        <v>-99548.023905641923</v>
      </c>
      <c r="M44" s="39">
        <f t="shared" ca="1" si="53"/>
        <v>-100285.51468074704</v>
      </c>
      <c r="N44" s="39">
        <f t="shared" ca="1" si="53"/>
        <v>-100999.2041406374</v>
      </c>
      <c r="O44" s="39">
        <f t="shared" ca="1" si="53"/>
        <v>-95579.913004679227</v>
      </c>
      <c r="P44" s="39">
        <f t="shared" ca="1" si="53"/>
        <v>-96123.622034246946</v>
      </c>
      <c r="Q44" s="39">
        <f t="shared" ca="1" si="53"/>
        <v>-101284.91792469635</v>
      </c>
      <c r="R44" s="39">
        <f t="shared" ca="1" si="53"/>
        <v>-101829.06734112896</v>
      </c>
      <c r="S44" s="39">
        <f t="shared" ca="1" si="53"/>
        <v>-102379.31631079473</v>
      </c>
      <c r="T44" s="39">
        <f t="shared" ca="1" si="53"/>
        <v>-102937.70019879658</v>
      </c>
      <c r="U44" s="39">
        <f t="shared" ca="1" si="53"/>
        <v>-103946.77725772402</v>
      </c>
      <c r="V44" s="39">
        <f t="shared" ca="1" si="53"/>
        <v>-104975.00263584945</v>
      </c>
      <c r="W44" s="39">
        <f t="shared" ca="1" si="53"/>
        <v>-106023.172588349</v>
      </c>
      <c r="X44" s="39">
        <f t="shared" ca="1" si="53"/>
        <v>-111711.93397998554</v>
      </c>
      <c r="Y44" s="39">
        <f t="shared" ca="1" si="53"/>
        <v>-112801.84742350696</v>
      </c>
      <c r="Z44" s="39">
        <f t="shared" ca="1" si="53"/>
        <v>-113913.42523033012</v>
      </c>
      <c r="AA44" s="39">
        <f t="shared" ca="1" si="53"/>
        <v>-108129.74931851373</v>
      </c>
      <c r="AB44" s="39">
        <f t="shared" ca="1" si="53"/>
        <v>-109093.55360749117</v>
      </c>
      <c r="AC44" s="39">
        <f t="shared" ca="1" si="53"/>
        <v>-110076.59426120527</v>
      </c>
      <c r="AD44" s="39">
        <f t="shared" ca="1" si="53"/>
        <v>-111079.27189536797</v>
      </c>
      <c r="AE44" s="39">
        <f t="shared" ca="1" si="53"/>
        <v>-116941.98878263848</v>
      </c>
      <c r="AF44" s="39">
        <f t="shared" ca="1" si="53"/>
        <v>-117985.15142790918</v>
      </c>
      <c r="AG44" s="39">
        <f t="shared" ca="1" si="53"/>
        <v>-119049.17217823808</v>
      </c>
      <c r="AH44" s="39">
        <f t="shared" ca="1" si="53"/>
        <v>-120134.47025486527</v>
      </c>
      <c r="AI44" s="39">
        <f t="shared" ca="1" si="53"/>
        <v>-121241.47243980004</v>
      </c>
      <c r="AJ44" s="39">
        <f t="shared" ca="1" si="53"/>
        <v>-122370.61355649856</v>
      </c>
      <c r="AK44" s="39">
        <f t="shared" ca="1" si="53"/>
        <v>-123522.33682837</v>
      </c>
      <c r="AL44" s="39">
        <f t="shared" ca="1" si="53"/>
        <v>-124697.09416538228</v>
      </c>
    </row>
    <row r="45" spans="1:39" ht="24" customHeight="1" x14ac:dyDescent="0.35">
      <c r="A45" s="57"/>
      <c r="B45" s="51" t="s">
        <v>98</v>
      </c>
      <c r="C45" s="47">
        <f ca="1">C44</f>
        <v>-70699.296480000019</v>
      </c>
      <c r="D45" s="47">
        <f ca="1">D44+C45</f>
        <v>-147182.566368</v>
      </c>
      <c r="E45" s="47">
        <f t="shared" ref="E45:AL45" ca="1" si="54">E44+D45</f>
        <v>-228812.68894080003</v>
      </c>
      <c r="F45" s="47">
        <f t="shared" ca="1" si="54"/>
        <v>-313883.09652128001</v>
      </c>
      <c r="G45" s="47">
        <f t="shared" ca="1" si="54"/>
        <v>-401301.286293504</v>
      </c>
      <c r="H45" s="47">
        <f t="shared" ca="1" si="54"/>
        <v>-491779.57256301318</v>
      </c>
      <c r="I45" s="47">
        <f t="shared" ca="1" si="54"/>
        <v>-583528.82852807129</v>
      </c>
      <c r="J45" s="47">
        <f t="shared" ca="1" si="54"/>
        <v>-675873.2946252448</v>
      </c>
      <c r="K45" s="47">
        <f t="shared" ca="1" si="54"/>
        <v>-768659.41228055989</v>
      </c>
      <c r="L45" s="47">
        <f t="shared" ca="1" si="54"/>
        <v>-868207.43618620187</v>
      </c>
      <c r="M45" s="47">
        <f t="shared" ca="1" si="54"/>
        <v>-968492.95086694893</v>
      </c>
      <c r="N45" s="47">
        <f t="shared" ca="1" si="54"/>
        <v>-1069492.1550075863</v>
      </c>
      <c r="O45" s="47">
        <f t="shared" ca="1" si="54"/>
        <v>-1165072.0680122655</v>
      </c>
      <c r="P45" s="47">
        <f t="shared" ca="1" si="54"/>
        <v>-1261195.6900465125</v>
      </c>
      <c r="Q45" s="47">
        <f t="shared" ca="1" si="54"/>
        <v>-1362480.6079712089</v>
      </c>
      <c r="R45" s="47">
        <f t="shared" ca="1" si="54"/>
        <v>-1464309.6753123379</v>
      </c>
      <c r="S45" s="47">
        <f t="shared" ca="1" si="54"/>
        <v>-1566688.9916231327</v>
      </c>
      <c r="T45" s="47">
        <f t="shared" ca="1" si="54"/>
        <v>-1669626.6918219293</v>
      </c>
      <c r="U45" s="47">
        <f t="shared" ca="1" si="54"/>
        <v>-1773573.4690796533</v>
      </c>
      <c r="V45" s="47">
        <f t="shared" ca="1" si="54"/>
        <v>-1878548.4717155027</v>
      </c>
      <c r="W45" s="47">
        <f t="shared" ca="1" si="54"/>
        <v>-1984571.6443038518</v>
      </c>
      <c r="X45" s="47">
        <f t="shared" ca="1" si="54"/>
        <v>-2096283.5782838373</v>
      </c>
      <c r="Y45" s="47">
        <f t="shared" ca="1" si="54"/>
        <v>-2209085.4257073444</v>
      </c>
      <c r="Z45" s="47">
        <f t="shared" ca="1" si="54"/>
        <v>-2322998.8509376748</v>
      </c>
      <c r="AA45" s="47">
        <f t="shared" ca="1" si="54"/>
        <v>-2431128.6002561883</v>
      </c>
      <c r="AB45" s="47">
        <f t="shared" ca="1" si="54"/>
        <v>-2540222.1538636796</v>
      </c>
      <c r="AC45" s="47">
        <f t="shared" ca="1" si="54"/>
        <v>-2650298.7481248849</v>
      </c>
      <c r="AD45" s="47">
        <f t="shared" ca="1" si="54"/>
        <v>-2761378.020020253</v>
      </c>
      <c r="AE45" s="47">
        <f t="shared" ca="1" si="54"/>
        <v>-2878320.0088028917</v>
      </c>
      <c r="AF45" s="47">
        <f t="shared" ca="1" si="54"/>
        <v>-2996305.160230801</v>
      </c>
      <c r="AG45" s="47">
        <f t="shared" ca="1" si="54"/>
        <v>-3115354.3324090391</v>
      </c>
      <c r="AH45" s="47">
        <f t="shared" ca="1" si="54"/>
        <v>-3235488.8026639046</v>
      </c>
      <c r="AI45" s="47">
        <f t="shared" ca="1" si="54"/>
        <v>-3356730.2751037045</v>
      </c>
      <c r="AJ45" s="47">
        <f t="shared" ca="1" si="54"/>
        <v>-3479100.8886602032</v>
      </c>
      <c r="AK45" s="47">
        <f t="shared" ca="1" si="54"/>
        <v>-3602623.2254885733</v>
      </c>
      <c r="AL45" s="47">
        <f t="shared" ca="1" si="54"/>
        <v>-3727320.3196539558</v>
      </c>
    </row>
    <row r="46" spans="1:39" ht="26.45" customHeight="1" x14ac:dyDescent="0.35">
      <c r="A46" s="57"/>
      <c r="B46" s="51" t="s">
        <v>99</v>
      </c>
      <c r="C46" s="44">
        <f ca="1">C44/C9</f>
        <v>-0.60588336917785324</v>
      </c>
      <c r="D46" s="44">
        <f t="shared" ref="D46:AL46" ca="1" si="55">D44/D9</f>
        <v>-0.85489994658055202</v>
      </c>
      <c r="E46" s="44">
        <f t="shared" ca="1" si="55"/>
        <v>-1.1103178908200604</v>
      </c>
      <c r="F46" s="44">
        <f t="shared" ca="1" si="55"/>
        <v>-1.3220074013292638</v>
      </c>
      <c r="G46" s="44">
        <f t="shared" ca="1" si="55"/>
        <v>-1.4753610561946555</v>
      </c>
      <c r="H46" s="44">
        <f t="shared" ca="1" si="55"/>
        <v>-1.5983726854900346</v>
      </c>
      <c r="I46" s="44">
        <f t="shared" ca="1" si="55"/>
        <v>-1.6549208334642314</v>
      </c>
      <c r="J46" s="44">
        <f t="shared" ca="1" si="55"/>
        <v>-1.6738149639903601</v>
      </c>
      <c r="K46" s="44">
        <f t="shared" ca="1" si="55"/>
        <v>-1.6734487445998547</v>
      </c>
      <c r="L46" s="44">
        <f t="shared" ca="1" si="55"/>
        <v>-1.7757875388521625</v>
      </c>
      <c r="M46" s="44">
        <f t="shared" ca="1" si="55"/>
        <v>-1.7630502590682369</v>
      </c>
      <c r="N46" s="44">
        <f t="shared" ca="1" si="55"/>
        <v>-1.7461603082367665</v>
      </c>
      <c r="O46" s="44">
        <f t="shared" ca="1" si="55"/>
        <v>-1.3607472579223852</v>
      </c>
      <c r="P46" s="44">
        <f t="shared" ca="1" si="55"/>
        <v>-1.3430934089340336</v>
      </c>
      <c r="Q46" s="44">
        <f t="shared" ca="1" si="55"/>
        <v>-1.3883364068078563</v>
      </c>
      <c r="R46" s="44">
        <f t="shared" ca="1" si="55"/>
        <v>-1.3689348857203092</v>
      </c>
      <c r="S46" s="44">
        <f t="shared" ca="1" si="55"/>
        <v>-1.3496400832810256</v>
      </c>
      <c r="T46" s="44">
        <f t="shared" ca="1" si="55"/>
        <v>-1.3305642775871929</v>
      </c>
      <c r="U46" s="44">
        <f t="shared" ca="1" si="55"/>
        <v>-1.3173618990622757</v>
      </c>
      <c r="V46" s="44">
        <f t="shared" ca="1" si="55"/>
        <v>-1.3043649264428538</v>
      </c>
      <c r="W46" s="44">
        <f t="shared" ca="1" si="55"/>
        <v>-1.2915915870192634</v>
      </c>
      <c r="X46" s="44">
        <f t="shared" ca="1" si="55"/>
        <v>-1.3342293692431788</v>
      </c>
      <c r="Y46" s="44">
        <f t="shared" ca="1" si="55"/>
        <v>-1.3208420882279273</v>
      </c>
      <c r="Z46" s="44">
        <f t="shared" ca="1" si="55"/>
        <v>-1.3077108862988063</v>
      </c>
      <c r="AA46" s="44">
        <f t="shared" ca="1" si="55"/>
        <v>-1.0476811617990474</v>
      </c>
      <c r="AB46" s="44">
        <f t="shared" ca="1" si="55"/>
        <v>-1.0362956049170067</v>
      </c>
      <c r="AC46" s="44">
        <f t="shared" ca="1" si="55"/>
        <v>-1.02513214258685</v>
      </c>
      <c r="AD46" s="44">
        <f t="shared" ca="1" si="55"/>
        <v>-1.0141868993481669</v>
      </c>
      <c r="AE46" s="44">
        <f t="shared" ca="1" si="55"/>
        <v>-1.0467800535170759</v>
      </c>
      <c r="AF46" s="44">
        <f t="shared" ca="1" si="55"/>
        <v>-1.03540972908075</v>
      </c>
      <c r="AG46" s="44">
        <f t="shared" ca="1" si="55"/>
        <v>-1.024262214375252</v>
      </c>
      <c r="AH46" s="44">
        <f t="shared" ca="1" si="55"/>
        <v>-1.0133331979389855</v>
      </c>
      <c r="AI46" s="44">
        <f t="shared" ca="1" si="55"/>
        <v>-1.0026184289720934</v>
      </c>
      <c r="AJ46" s="44">
        <f t="shared" ca="1" si="55"/>
        <v>-0.99211372608835036</v>
      </c>
      <c r="AK46" s="44">
        <f t="shared" ca="1" si="55"/>
        <v>-0.98181498175550308</v>
      </c>
      <c r="AL46" s="44">
        <f t="shared" ca="1" si="55"/>
        <v>-0.97171816423294977</v>
      </c>
    </row>
    <row r="47" spans="1:39" ht="18" x14ac:dyDescent="0.35">
      <c r="A47" s="57"/>
      <c r="B47" s="5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</row>
    <row r="48" spans="1:39" ht="24.6" customHeight="1" x14ac:dyDescent="0.35">
      <c r="A48" s="57"/>
      <c r="B48" s="49" t="s">
        <v>100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</row>
    <row r="49" spans="1:38" ht="18.75" x14ac:dyDescent="0.35">
      <c r="A49" s="38">
        <v>0.21</v>
      </c>
      <c r="B49" s="54" t="s">
        <v>101</v>
      </c>
      <c r="C49" s="47">
        <f ca="1">IF(C44&gt;0, C44*$A$49, 0)</f>
        <v>0</v>
      </c>
      <c r="D49" s="47">
        <f t="shared" ref="D49:AL49" ca="1" si="56">IF(D44&gt;0, D44*$A$49, 0)</f>
        <v>0</v>
      </c>
      <c r="E49" s="47">
        <f t="shared" ca="1" si="56"/>
        <v>0</v>
      </c>
      <c r="F49" s="47">
        <f t="shared" ca="1" si="56"/>
        <v>0</v>
      </c>
      <c r="G49" s="47">
        <f t="shared" ca="1" si="56"/>
        <v>0</v>
      </c>
      <c r="H49" s="47">
        <f t="shared" ca="1" si="56"/>
        <v>0</v>
      </c>
      <c r="I49" s="47">
        <f t="shared" ca="1" si="56"/>
        <v>0</v>
      </c>
      <c r="J49" s="47">
        <f t="shared" ca="1" si="56"/>
        <v>0</v>
      </c>
      <c r="K49" s="47">
        <f t="shared" ca="1" si="56"/>
        <v>0</v>
      </c>
      <c r="L49" s="47">
        <f t="shared" ca="1" si="56"/>
        <v>0</v>
      </c>
      <c r="M49" s="47">
        <f t="shared" ca="1" si="56"/>
        <v>0</v>
      </c>
      <c r="N49" s="47">
        <f t="shared" ca="1" si="56"/>
        <v>0</v>
      </c>
      <c r="O49" s="47">
        <f t="shared" ca="1" si="56"/>
        <v>0</v>
      </c>
      <c r="P49" s="47">
        <f t="shared" ca="1" si="56"/>
        <v>0</v>
      </c>
      <c r="Q49" s="47">
        <f t="shared" ca="1" si="56"/>
        <v>0</v>
      </c>
      <c r="R49" s="47">
        <f t="shared" ca="1" si="56"/>
        <v>0</v>
      </c>
      <c r="S49" s="47">
        <f t="shared" ca="1" si="56"/>
        <v>0</v>
      </c>
      <c r="T49" s="47">
        <f t="shared" ca="1" si="56"/>
        <v>0</v>
      </c>
      <c r="U49" s="47">
        <f t="shared" ca="1" si="56"/>
        <v>0</v>
      </c>
      <c r="V49" s="47">
        <f t="shared" ca="1" si="56"/>
        <v>0</v>
      </c>
      <c r="W49" s="47">
        <f t="shared" ca="1" si="56"/>
        <v>0</v>
      </c>
      <c r="X49" s="47">
        <f t="shared" ca="1" si="56"/>
        <v>0</v>
      </c>
      <c r="Y49" s="47">
        <f t="shared" ca="1" si="56"/>
        <v>0</v>
      </c>
      <c r="Z49" s="47">
        <f t="shared" ca="1" si="56"/>
        <v>0</v>
      </c>
      <c r="AA49" s="47">
        <f t="shared" ca="1" si="56"/>
        <v>0</v>
      </c>
      <c r="AB49" s="47">
        <f t="shared" ca="1" si="56"/>
        <v>0</v>
      </c>
      <c r="AC49" s="47">
        <f t="shared" ca="1" si="56"/>
        <v>0</v>
      </c>
      <c r="AD49" s="47">
        <f t="shared" ca="1" si="56"/>
        <v>0</v>
      </c>
      <c r="AE49" s="47">
        <f t="shared" ca="1" si="56"/>
        <v>0</v>
      </c>
      <c r="AF49" s="47">
        <f t="shared" ca="1" si="56"/>
        <v>0</v>
      </c>
      <c r="AG49" s="47">
        <f t="shared" ca="1" si="56"/>
        <v>0</v>
      </c>
      <c r="AH49" s="47">
        <f t="shared" ca="1" si="56"/>
        <v>0</v>
      </c>
      <c r="AI49" s="47">
        <f t="shared" ca="1" si="56"/>
        <v>0</v>
      </c>
      <c r="AJ49" s="47">
        <f t="shared" ca="1" si="56"/>
        <v>0</v>
      </c>
      <c r="AK49" s="47">
        <f t="shared" ca="1" si="56"/>
        <v>0</v>
      </c>
      <c r="AL49" s="47">
        <f t="shared" ca="1" si="56"/>
        <v>0</v>
      </c>
    </row>
    <row r="50" spans="1:38" ht="18.75" x14ac:dyDescent="0.35">
      <c r="A50" s="57"/>
      <c r="B50" s="5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</row>
    <row r="51" spans="1:38" ht="21" customHeight="1" x14ac:dyDescent="0.35">
      <c r="A51" s="57"/>
      <c r="B51" s="49" t="s">
        <v>102</v>
      </c>
      <c r="C51" s="39">
        <f ca="1">C44-C49</f>
        <v>-70699.296480000019</v>
      </c>
      <c r="D51" s="39">
        <f t="shared" ref="D51:AL51" ca="1" si="57">D44-D49</f>
        <v>-76483.269887999995</v>
      </c>
      <c r="E51" s="39">
        <f t="shared" ca="1" si="57"/>
        <v>-81630.122572800014</v>
      </c>
      <c r="F51" s="39">
        <f t="shared" ca="1" si="57"/>
        <v>-85070.40758047998</v>
      </c>
      <c r="G51" s="39">
        <f t="shared" ca="1" si="57"/>
        <v>-87418.189772223996</v>
      </c>
      <c r="H51" s="39">
        <f t="shared" ca="1" si="57"/>
        <v>-90478.286269509146</v>
      </c>
      <c r="I51" s="39">
        <f t="shared" ca="1" si="57"/>
        <v>-91749.255965058081</v>
      </c>
      <c r="J51" s="39">
        <f t="shared" ca="1" si="57"/>
        <v>-92344.466097173558</v>
      </c>
      <c r="K51" s="39">
        <f t="shared" ca="1" si="57"/>
        <v>-92786.117655315073</v>
      </c>
      <c r="L51" s="39">
        <f t="shared" ca="1" si="57"/>
        <v>-99548.023905641923</v>
      </c>
      <c r="M51" s="39">
        <f t="shared" ca="1" si="57"/>
        <v>-100285.51468074704</v>
      </c>
      <c r="N51" s="39">
        <f t="shared" ca="1" si="57"/>
        <v>-100999.2041406374</v>
      </c>
      <c r="O51" s="39">
        <f t="shared" ca="1" si="57"/>
        <v>-95579.913004679227</v>
      </c>
      <c r="P51" s="39">
        <f t="shared" ca="1" si="57"/>
        <v>-96123.622034246946</v>
      </c>
      <c r="Q51" s="39">
        <f t="shared" ca="1" si="57"/>
        <v>-101284.91792469635</v>
      </c>
      <c r="R51" s="39">
        <f t="shared" ca="1" si="57"/>
        <v>-101829.06734112896</v>
      </c>
      <c r="S51" s="39">
        <f t="shared" ca="1" si="57"/>
        <v>-102379.31631079473</v>
      </c>
      <c r="T51" s="39">
        <f t="shared" ca="1" si="57"/>
        <v>-102937.70019879658</v>
      </c>
      <c r="U51" s="39">
        <f t="shared" ca="1" si="57"/>
        <v>-103946.77725772402</v>
      </c>
      <c r="V51" s="39">
        <f t="shared" ca="1" si="57"/>
        <v>-104975.00263584945</v>
      </c>
      <c r="W51" s="39">
        <f t="shared" ca="1" si="57"/>
        <v>-106023.172588349</v>
      </c>
      <c r="X51" s="39">
        <f t="shared" ca="1" si="57"/>
        <v>-111711.93397998554</v>
      </c>
      <c r="Y51" s="39">
        <f t="shared" ca="1" si="57"/>
        <v>-112801.84742350696</v>
      </c>
      <c r="Z51" s="39">
        <f t="shared" ca="1" si="57"/>
        <v>-113913.42523033012</v>
      </c>
      <c r="AA51" s="39">
        <f t="shared" ca="1" si="57"/>
        <v>-108129.74931851373</v>
      </c>
      <c r="AB51" s="39">
        <f t="shared" ca="1" si="57"/>
        <v>-109093.55360749117</v>
      </c>
      <c r="AC51" s="39">
        <f t="shared" ca="1" si="57"/>
        <v>-110076.59426120527</v>
      </c>
      <c r="AD51" s="39">
        <f t="shared" ca="1" si="57"/>
        <v>-111079.27189536797</v>
      </c>
      <c r="AE51" s="39">
        <f t="shared" ca="1" si="57"/>
        <v>-116941.98878263848</v>
      </c>
      <c r="AF51" s="39">
        <f t="shared" ca="1" si="57"/>
        <v>-117985.15142790918</v>
      </c>
      <c r="AG51" s="39">
        <f t="shared" ca="1" si="57"/>
        <v>-119049.17217823808</v>
      </c>
      <c r="AH51" s="39">
        <f t="shared" ca="1" si="57"/>
        <v>-120134.47025486527</v>
      </c>
      <c r="AI51" s="39">
        <f t="shared" ca="1" si="57"/>
        <v>-121241.47243980004</v>
      </c>
      <c r="AJ51" s="39">
        <f t="shared" ca="1" si="57"/>
        <v>-122370.61355649856</v>
      </c>
      <c r="AK51" s="39">
        <f t="shared" ca="1" si="57"/>
        <v>-123522.33682837</v>
      </c>
      <c r="AL51" s="39">
        <f t="shared" ca="1" si="57"/>
        <v>-124697.09416538228</v>
      </c>
    </row>
    <row r="52" spans="1:38" ht="24" customHeight="1" x14ac:dyDescent="0.35">
      <c r="A52" s="57"/>
      <c r="B52" s="51" t="s">
        <v>103</v>
      </c>
      <c r="C52" s="47">
        <f ca="1">C51</f>
        <v>-70699.296480000019</v>
      </c>
      <c r="D52" s="47">
        <f ca="1">C52+D51</f>
        <v>-147182.566368</v>
      </c>
      <c r="E52" s="47">
        <f t="shared" ref="E52:AL52" ca="1" si="58">D52+E51</f>
        <v>-228812.68894080003</v>
      </c>
      <c r="F52" s="47">
        <f t="shared" ca="1" si="58"/>
        <v>-313883.09652128001</v>
      </c>
      <c r="G52" s="47">
        <f t="shared" ca="1" si="58"/>
        <v>-401301.286293504</v>
      </c>
      <c r="H52" s="47">
        <f t="shared" ca="1" si="58"/>
        <v>-491779.57256301318</v>
      </c>
      <c r="I52" s="47">
        <f t="shared" ca="1" si="58"/>
        <v>-583528.82852807129</v>
      </c>
      <c r="J52" s="47">
        <f t="shared" ca="1" si="58"/>
        <v>-675873.2946252448</v>
      </c>
      <c r="K52" s="47">
        <f t="shared" ca="1" si="58"/>
        <v>-768659.41228055989</v>
      </c>
      <c r="L52" s="47">
        <f t="shared" ca="1" si="58"/>
        <v>-868207.43618620187</v>
      </c>
      <c r="M52" s="47">
        <f t="shared" ca="1" si="58"/>
        <v>-968492.95086694893</v>
      </c>
      <c r="N52" s="47">
        <f t="shared" ca="1" si="58"/>
        <v>-1069492.1550075863</v>
      </c>
      <c r="O52" s="47">
        <f t="shared" ca="1" si="58"/>
        <v>-1165072.0680122655</v>
      </c>
      <c r="P52" s="47">
        <f t="shared" ca="1" si="58"/>
        <v>-1261195.6900465125</v>
      </c>
      <c r="Q52" s="47">
        <f t="shared" ca="1" si="58"/>
        <v>-1362480.6079712089</v>
      </c>
      <c r="R52" s="47">
        <f t="shared" ca="1" si="58"/>
        <v>-1464309.6753123379</v>
      </c>
      <c r="S52" s="47">
        <f t="shared" ca="1" si="58"/>
        <v>-1566688.9916231327</v>
      </c>
      <c r="T52" s="47">
        <f t="shared" ca="1" si="58"/>
        <v>-1669626.6918219293</v>
      </c>
      <c r="U52" s="47">
        <f t="shared" ca="1" si="58"/>
        <v>-1773573.4690796533</v>
      </c>
      <c r="V52" s="47">
        <f t="shared" ca="1" si="58"/>
        <v>-1878548.4717155027</v>
      </c>
      <c r="W52" s="47">
        <f t="shared" ca="1" si="58"/>
        <v>-1984571.6443038518</v>
      </c>
      <c r="X52" s="47">
        <f t="shared" ca="1" si="58"/>
        <v>-2096283.5782838373</v>
      </c>
      <c r="Y52" s="47">
        <f t="shared" ca="1" si="58"/>
        <v>-2209085.4257073444</v>
      </c>
      <c r="Z52" s="47">
        <f t="shared" ca="1" si="58"/>
        <v>-2322998.8509376748</v>
      </c>
      <c r="AA52" s="47">
        <f t="shared" ca="1" si="58"/>
        <v>-2431128.6002561883</v>
      </c>
      <c r="AB52" s="47">
        <f t="shared" ca="1" si="58"/>
        <v>-2540222.1538636796</v>
      </c>
      <c r="AC52" s="47">
        <f t="shared" ca="1" si="58"/>
        <v>-2650298.7481248849</v>
      </c>
      <c r="AD52" s="47">
        <f t="shared" ca="1" si="58"/>
        <v>-2761378.020020253</v>
      </c>
      <c r="AE52" s="47">
        <f t="shared" ca="1" si="58"/>
        <v>-2878320.0088028917</v>
      </c>
      <c r="AF52" s="47">
        <f t="shared" ca="1" si="58"/>
        <v>-2996305.160230801</v>
      </c>
      <c r="AG52" s="47">
        <f t="shared" ca="1" si="58"/>
        <v>-3115354.3324090391</v>
      </c>
      <c r="AH52" s="47">
        <f t="shared" ca="1" si="58"/>
        <v>-3235488.8026639046</v>
      </c>
      <c r="AI52" s="47">
        <f t="shared" ca="1" si="58"/>
        <v>-3356730.2751037045</v>
      </c>
      <c r="AJ52" s="47">
        <f t="shared" ca="1" si="58"/>
        <v>-3479100.8886602032</v>
      </c>
      <c r="AK52" s="47">
        <f t="shared" ca="1" si="58"/>
        <v>-3602623.2254885733</v>
      </c>
      <c r="AL52" s="47">
        <f t="shared" ca="1" si="58"/>
        <v>-3727320.3196539558</v>
      </c>
    </row>
    <row r="53" spans="1:38" ht="20.45" customHeight="1" x14ac:dyDescent="0.35">
      <c r="A53" s="57"/>
      <c r="B53" s="51" t="s">
        <v>104</v>
      </c>
      <c r="C53" s="44">
        <f ca="1">C51/C9</f>
        <v>-0.60588336917785324</v>
      </c>
      <c r="D53" s="44">
        <f t="shared" ref="D53:AL53" ca="1" si="59">D51/D9</f>
        <v>-0.85489994658055202</v>
      </c>
      <c r="E53" s="44">
        <f t="shared" ca="1" si="59"/>
        <v>-1.1103178908200604</v>
      </c>
      <c r="F53" s="44">
        <f t="shared" ca="1" si="59"/>
        <v>-1.3220074013292638</v>
      </c>
      <c r="G53" s="44">
        <f t="shared" ca="1" si="59"/>
        <v>-1.4753610561946555</v>
      </c>
      <c r="H53" s="44">
        <f t="shared" ca="1" si="59"/>
        <v>-1.5983726854900346</v>
      </c>
      <c r="I53" s="44">
        <f t="shared" ca="1" si="59"/>
        <v>-1.6549208334642314</v>
      </c>
      <c r="J53" s="44">
        <f t="shared" ca="1" si="59"/>
        <v>-1.6738149639903601</v>
      </c>
      <c r="K53" s="44">
        <f t="shared" ca="1" si="59"/>
        <v>-1.6734487445998547</v>
      </c>
      <c r="L53" s="44">
        <f t="shared" ca="1" si="59"/>
        <v>-1.7757875388521625</v>
      </c>
      <c r="M53" s="44">
        <f t="shared" ca="1" si="59"/>
        <v>-1.7630502590682369</v>
      </c>
      <c r="N53" s="44">
        <f t="shared" ca="1" si="59"/>
        <v>-1.7461603082367665</v>
      </c>
      <c r="O53" s="44">
        <f t="shared" ca="1" si="59"/>
        <v>-1.3607472579223852</v>
      </c>
      <c r="P53" s="44">
        <f t="shared" ca="1" si="59"/>
        <v>-1.3430934089340336</v>
      </c>
      <c r="Q53" s="44">
        <f t="shared" ca="1" si="59"/>
        <v>-1.3883364068078563</v>
      </c>
      <c r="R53" s="44">
        <f t="shared" ca="1" si="59"/>
        <v>-1.3689348857203092</v>
      </c>
      <c r="S53" s="44">
        <f t="shared" ca="1" si="59"/>
        <v>-1.3496400832810256</v>
      </c>
      <c r="T53" s="44">
        <f t="shared" ca="1" si="59"/>
        <v>-1.3305642775871929</v>
      </c>
      <c r="U53" s="44">
        <f t="shared" ca="1" si="59"/>
        <v>-1.3173618990622757</v>
      </c>
      <c r="V53" s="44">
        <f t="shared" ca="1" si="59"/>
        <v>-1.3043649264428538</v>
      </c>
      <c r="W53" s="44">
        <f t="shared" ca="1" si="59"/>
        <v>-1.2915915870192634</v>
      </c>
      <c r="X53" s="44">
        <f t="shared" ca="1" si="59"/>
        <v>-1.3342293692431788</v>
      </c>
      <c r="Y53" s="44">
        <f t="shared" ca="1" si="59"/>
        <v>-1.3208420882279273</v>
      </c>
      <c r="Z53" s="44">
        <f t="shared" ca="1" si="59"/>
        <v>-1.3077108862988063</v>
      </c>
      <c r="AA53" s="44">
        <f t="shared" ca="1" si="59"/>
        <v>-1.0476811617990474</v>
      </c>
      <c r="AB53" s="44">
        <f t="shared" ca="1" si="59"/>
        <v>-1.0362956049170067</v>
      </c>
      <c r="AC53" s="44">
        <f t="shared" ca="1" si="59"/>
        <v>-1.02513214258685</v>
      </c>
      <c r="AD53" s="44">
        <f t="shared" ca="1" si="59"/>
        <v>-1.0141868993481669</v>
      </c>
      <c r="AE53" s="44">
        <f t="shared" ca="1" si="59"/>
        <v>-1.0467800535170759</v>
      </c>
      <c r="AF53" s="44">
        <f t="shared" ca="1" si="59"/>
        <v>-1.03540972908075</v>
      </c>
      <c r="AG53" s="44">
        <f t="shared" ca="1" si="59"/>
        <v>-1.024262214375252</v>
      </c>
      <c r="AH53" s="44">
        <f t="shared" ca="1" si="59"/>
        <v>-1.0133331979389855</v>
      </c>
      <c r="AI53" s="44">
        <f t="shared" ca="1" si="59"/>
        <v>-1.0026184289720934</v>
      </c>
      <c r="AJ53" s="44">
        <f t="shared" ca="1" si="59"/>
        <v>-0.99211372608835036</v>
      </c>
      <c r="AK53" s="44">
        <f t="shared" ca="1" si="59"/>
        <v>-0.98181498175550308</v>
      </c>
      <c r="AL53" s="44">
        <f t="shared" ca="1" si="59"/>
        <v>-0.97171816423294977</v>
      </c>
    </row>
    <row r="56" spans="1:38" ht="18.75" x14ac:dyDescent="0.35">
      <c r="C56" s="47"/>
      <c r="D56" s="47"/>
      <c r="E56" s="47"/>
      <c r="F56" s="47"/>
    </row>
    <row r="57" spans="1:38" ht="18.75" x14ac:dyDescent="0.35">
      <c r="B57" s="152"/>
      <c r="C57" s="155" t="s">
        <v>123</v>
      </c>
      <c r="D57" s="146" t="s">
        <v>124</v>
      </c>
      <c r="E57" s="146" t="s">
        <v>125</v>
      </c>
      <c r="F57" s="147" t="s">
        <v>126</v>
      </c>
    </row>
    <row r="58" spans="1:38" ht="18.75" x14ac:dyDescent="0.35">
      <c r="B58" s="153" t="s">
        <v>127</v>
      </c>
      <c r="C58" s="156">
        <v>-1477422</v>
      </c>
      <c r="D58" s="74">
        <f ca="1">SUM(C51:N51)</f>
        <v>-1069492.1550075863</v>
      </c>
      <c r="E58" s="74">
        <f ca="1">SUM(O51:Z51)</f>
        <v>-1253506.6959300877</v>
      </c>
      <c r="F58" s="148">
        <f ca="1">SUM(AA51:AL51)</f>
        <v>-1404321.4687162798</v>
      </c>
    </row>
    <row r="59" spans="1:38" ht="18.75" x14ac:dyDescent="0.35">
      <c r="B59" s="153" t="s">
        <v>128</v>
      </c>
      <c r="C59" s="157"/>
      <c r="D59" s="47"/>
      <c r="E59" s="47"/>
      <c r="F59" s="149">
        <f ca="1">C58 + NPV(0.15, D58:F58)</f>
        <v>-4278610.4895428056</v>
      </c>
    </row>
    <row r="60" spans="1:38" ht="18.75" x14ac:dyDescent="0.35">
      <c r="B60" s="154" t="s">
        <v>129</v>
      </c>
      <c r="C60" s="158"/>
      <c r="D60" s="150"/>
      <c r="E60" s="150"/>
      <c r="F60" s="151" t="e">
        <f ca="1">IRR(C58:F58)</f>
        <v>#NUM!</v>
      </c>
    </row>
    <row r="61" spans="1:38" ht="18.75" x14ac:dyDescent="0.35">
      <c r="C61" s="47"/>
      <c r="D61" s="47"/>
      <c r="E61" s="47"/>
      <c r="F61" s="47"/>
    </row>
    <row r="62" spans="1:38" ht="18.75" x14ac:dyDescent="0.35">
      <c r="C62" s="47"/>
      <c r="D62" s="47"/>
      <c r="E62" s="47"/>
      <c r="F62" s="47"/>
    </row>
  </sheetData>
  <mergeCells count="3">
    <mergeCell ref="C2:N2"/>
    <mergeCell ref="O2:Z2"/>
    <mergeCell ref="AA2:AL2"/>
  </mergeCells>
  <conditionalFormatting sqref="C11:AL1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1:AL5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C9:AL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B111-D555-4F12-98ED-85AFAA5C5569}">
  <dimension ref="A1:AX94"/>
  <sheetViews>
    <sheetView showGridLines="0" tabSelected="1" topLeftCell="I47" zoomScaleNormal="100" workbookViewId="0">
      <selection activeCell="B72" sqref="B72"/>
    </sheetView>
  </sheetViews>
  <sheetFormatPr defaultRowHeight="15" x14ac:dyDescent="0.25"/>
  <cols>
    <col min="1" max="1" width="15.140625" customWidth="1"/>
    <col min="2" max="2" width="70.5703125" bestFit="1" customWidth="1"/>
    <col min="3" max="37" width="16.7109375" customWidth="1"/>
    <col min="38" max="38" width="18.85546875" bestFit="1" customWidth="1"/>
    <col min="39" max="39" width="13.5703125" bestFit="1" customWidth="1"/>
    <col min="40" max="40" width="13.140625" bestFit="1" customWidth="1"/>
    <col min="41" max="41" width="12.85546875" bestFit="1" customWidth="1"/>
    <col min="42" max="44" width="13.42578125" bestFit="1" customWidth="1"/>
    <col min="45" max="45" width="13.7109375" bestFit="1" customWidth="1"/>
    <col min="46" max="46" width="13.140625" bestFit="1" customWidth="1"/>
    <col min="47" max="47" width="14.28515625" bestFit="1" customWidth="1"/>
    <col min="48" max="48" width="15.140625" bestFit="1" customWidth="1"/>
    <col min="49" max="49" width="14.28515625" bestFit="1" customWidth="1"/>
    <col min="50" max="50" width="14" bestFit="1" customWidth="1"/>
  </cols>
  <sheetData>
    <row r="1" spans="1:50" ht="90" customHeight="1" x14ac:dyDescent="0.65">
      <c r="B1" s="98" t="s">
        <v>133</v>
      </c>
      <c r="C1" s="98" t="s">
        <v>134</v>
      </c>
    </row>
    <row r="2" spans="1:50" ht="95.45" customHeight="1" x14ac:dyDescent="0.6">
      <c r="A2" s="34"/>
      <c r="B2" s="82" t="s">
        <v>122</v>
      </c>
      <c r="C2" s="87">
        <v>2026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>
        <v>2027</v>
      </c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9">
        <v>2028</v>
      </c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8">
        <v>2029</v>
      </c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</row>
    <row r="3" spans="1:50" ht="18.75" x14ac:dyDescent="0.35">
      <c r="A3" s="104"/>
      <c r="B3" s="105" t="s">
        <v>77</v>
      </c>
      <c r="C3" s="106" t="s">
        <v>78</v>
      </c>
      <c r="D3" s="106" t="s">
        <v>79</v>
      </c>
      <c r="E3" s="106" t="s">
        <v>80</v>
      </c>
      <c r="F3" s="106" t="s">
        <v>81</v>
      </c>
      <c r="G3" s="106" t="s">
        <v>82</v>
      </c>
      <c r="H3" s="106" t="s">
        <v>83</v>
      </c>
      <c r="I3" s="106" t="s">
        <v>84</v>
      </c>
      <c r="J3" s="106" t="s">
        <v>85</v>
      </c>
      <c r="K3" s="106" t="s">
        <v>86</v>
      </c>
      <c r="L3" s="106" t="s">
        <v>87</v>
      </c>
      <c r="M3" s="106" t="s">
        <v>88</v>
      </c>
      <c r="N3" s="106" t="s">
        <v>89</v>
      </c>
      <c r="O3" s="106" t="s">
        <v>78</v>
      </c>
      <c r="P3" s="106" t="s">
        <v>79</v>
      </c>
      <c r="Q3" s="106" t="s">
        <v>80</v>
      </c>
      <c r="R3" s="106" t="s">
        <v>81</v>
      </c>
      <c r="S3" s="106" t="s">
        <v>82</v>
      </c>
      <c r="T3" s="106" t="s">
        <v>83</v>
      </c>
      <c r="U3" s="106" t="s">
        <v>84</v>
      </c>
      <c r="V3" s="106" t="s">
        <v>85</v>
      </c>
      <c r="W3" s="106" t="s">
        <v>86</v>
      </c>
      <c r="X3" s="106" t="s">
        <v>87</v>
      </c>
      <c r="Y3" s="106" t="s">
        <v>88</v>
      </c>
      <c r="Z3" s="106" t="s">
        <v>89</v>
      </c>
      <c r="AA3" s="106" t="s">
        <v>78</v>
      </c>
      <c r="AB3" s="106" t="s">
        <v>79</v>
      </c>
      <c r="AC3" s="106" t="s">
        <v>80</v>
      </c>
      <c r="AD3" s="106" t="s">
        <v>81</v>
      </c>
      <c r="AE3" s="106" t="s">
        <v>82</v>
      </c>
      <c r="AF3" s="106" t="s">
        <v>83</v>
      </c>
      <c r="AG3" s="106" t="s">
        <v>84</v>
      </c>
      <c r="AH3" s="106" t="s">
        <v>85</v>
      </c>
      <c r="AI3" s="106" t="s">
        <v>86</v>
      </c>
      <c r="AJ3" s="106" t="s">
        <v>87</v>
      </c>
      <c r="AK3" s="106" t="s">
        <v>88</v>
      </c>
      <c r="AL3" s="106" t="s">
        <v>89</v>
      </c>
      <c r="AM3" s="106" t="s">
        <v>78</v>
      </c>
      <c r="AN3" s="106" t="s">
        <v>79</v>
      </c>
      <c r="AO3" s="106" t="s">
        <v>80</v>
      </c>
      <c r="AP3" s="106" t="s">
        <v>81</v>
      </c>
      <c r="AQ3" s="106" t="s">
        <v>82</v>
      </c>
      <c r="AR3" s="106" t="s">
        <v>83</v>
      </c>
      <c r="AS3" s="106" t="s">
        <v>84</v>
      </c>
      <c r="AT3" s="106" t="s">
        <v>85</v>
      </c>
      <c r="AU3" s="106" t="s">
        <v>86</v>
      </c>
      <c r="AV3" s="106" t="s">
        <v>87</v>
      </c>
      <c r="AW3" s="106" t="s">
        <v>88</v>
      </c>
      <c r="AX3" s="106" t="s">
        <v>89</v>
      </c>
    </row>
    <row r="4" spans="1:50" ht="18.75" x14ac:dyDescent="0.35">
      <c r="A4" s="104"/>
      <c r="B4" s="107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</row>
    <row r="5" spans="1:50" ht="32.1" customHeight="1" x14ac:dyDescent="0.35">
      <c r="A5" s="128">
        <v>1.03</v>
      </c>
      <c r="B5" s="109" t="s">
        <v>114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</row>
    <row r="6" spans="1:50" ht="27.6" customHeight="1" x14ac:dyDescent="0.35">
      <c r="A6" s="129">
        <v>3900</v>
      </c>
      <c r="B6" s="76" t="s">
        <v>115</v>
      </c>
      <c r="C6" s="111">
        <f ca="1">C21*C24*C25</f>
        <v>19322.680896000002</v>
      </c>
      <c r="D6" s="111">
        <f t="shared" ref="D6:AL6" ca="1" si="0">D21*D24*D25</f>
        <v>14909.424537599998</v>
      </c>
      <c r="E6" s="111">
        <f t="shared" ca="1" si="0"/>
        <v>12427.261522559998</v>
      </c>
      <c r="F6" s="111">
        <f t="shared" ca="1" si="0"/>
        <v>11112.044053535999</v>
      </c>
      <c r="G6" s="111">
        <f t="shared" ca="1" si="0"/>
        <v>10505.697929121598</v>
      </c>
      <c r="H6" s="111">
        <f t="shared" ca="1" si="0"/>
        <v>10333.813829322957</v>
      </c>
      <c r="I6" s="111">
        <f t="shared" ca="1" si="0"/>
        <v>10432.203123036275</v>
      </c>
      <c r="J6" s="111">
        <f t="shared" ca="1" si="0"/>
        <v>10702.832440536387</v>
      </c>
      <c r="K6" s="111">
        <f t="shared" ca="1" si="0"/>
        <v>11087.385559372189</v>
      </c>
      <c r="L6" s="111">
        <f t="shared" ca="1" si="0"/>
        <v>11551.401735426187</v>
      </c>
      <c r="M6" s="111">
        <f t="shared" ca="1" si="0"/>
        <v>12074.75996104873</v>
      </c>
      <c r="N6" s="111">
        <f t="shared" ca="1" si="0"/>
        <v>12645.970842411907</v>
      </c>
      <c r="O6" s="111">
        <f t="shared" ca="1" si="0"/>
        <v>18290.201394686133</v>
      </c>
      <c r="P6" s="111">
        <f t="shared" ca="1" si="0"/>
        <v>19729.160040325998</v>
      </c>
      <c r="Q6" s="111">
        <f t="shared" ca="1" si="0"/>
        <v>21056.509616680916</v>
      </c>
      <c r="R6" s="111">
        <f t="shared" ca="1" si="0"/>
        <v>22330.914620835061</v>
      </c>
      <c r="S6" s="111">
        <f t="shared" ca="1" si="0"/>
        <v>23591.487042034882</v>
      </c>
      <c r="T6" s="111">
        <f t="shared" ca="1" si="0"/>
        <v>24864.678742739368</v>
      </c>
      <c r="U6" s="111">
        <f t="shared" ca="1" si="0"/>
        <v>26168.763956468112</v>
      </c>
      <c r="V6" s="111">
        <f t="shared" ca="1" si="0"/>
        <v>27516.755484076177</v>
      </c>
      <c r="W6" s="111">
        <f t="shared" ca="1" si="0"/>
        <v>28918.302922640014</v>
      </c>
      <c r="X6" s="111">
        <f t="shared" ca="1" si="0"/>
        <v>30380.929350606038</v>
      </c>
      <c r="Y6" s="111">
        <f t="shared" ca="1" si="0"/>
        <v>31910.838151328462</v>
      </c>
      <c r="Z6" s="111">
        <f t="shared" ca="1" si="0"/>
        <v>33513.440575469751</v>
      </c>
      <c r="AA6" s="111">
        <f t="shared" ca="1" si="0"/>
        <v>43668.661116281597</v>
      </c>
      <c r="AB6" s="111">
        <f t="shared" ca="1" si="0"/>
        <v>47245.183594338399</v>
      </c>
      <c r="AC6" s="111">
        <f t="shared" ca="1" si="0"/>
        <v>50582.605369625242</v>
      </c>
      <c r="AD6" s="111">
        <f t="shared" ca="1" si="0"/>
        <v>53794.349455005431</v>
      </c>
      <c r="AE6" s="111">
        <f t="shared" ca="1" si="0"/>
        <v>56961.896599584972</v>
      </c>
      <c r="AF6" s="111">
        <f t="shared" ca="1" si="0"/>
        <v>60144.472199844691</v>
      </c>
      <c r="AG6" s="111">
        <f t="shared" ca="1" si="0"/>
        <v>63385.832349033262</v>
      </c>
      <c r="AH6" s="111">
        <f t="shared" ca="1" si="0"/>
        <v>66719.019543922361</v>
      </c>
      <c r="AI6" s="111">
        <f t="shared" ca="1" si="0"/>
        <v>70169.697425324688</v>
      </c>
      <c r="AJ6" s="111">
        <f t="shared" ca="1" si="0"/>
        <v>73758.491129535236</v>
      </c>
      <c r="AK6" s="111">
        <f t="shared" ca="1" si="0"/>
        <v>77502.631869073055</v>
      </c>
      <c r="AL6" s="111">
        <f t="shared" ca="1" si="0"/>
        <v>81417.114790669439</v>
      </c>
      <c r="AM6" s="111">
        <f t="shared" ref="AM6:AX6" ca="1" si="1">AM21*AM24*AM25</f>
        <v>85515.516459902821</v>
      </c>
      <c r="AN6" s="111">
        <f t="shared" ca="1" si="1"/>
        <v>89810.5744336879</v>
      </c>
      <c r="AO6" s="111">
        <f t="shared" ca="1" si="1"/>
        <v>94314.600660925251</v>
      </c>
      <c r="AP6" s="111">
        <f t="shared" ca="1" si="1"/>
        <v>99039.778947858591</v>
      </c>
      <c r="AQ6" s="111">
        <f t="shared" ca="1" si="1"/>
        <v>103998.38167297249</v>
      </c>
      <c r="AR6" s="111">
        <f t="shared" ca="1" si="1"/>
        <v>109202.93040102578</v>
      </c>
      <c r="AS6" s="111">
        <f t="shared" ca="1" si="1"/>
        <v>114666.31767216031</v>
      </c>
      <c r="AT6" s="111">
        <f t="shared" ca="1" si="1"/>
        <v>120401.90208152661</v>
      </c>
      <c r="AU6" s="111">
        <f t="shared" ca="1" si="1"/>
        <v>126423.58515363371</v>
      </c>
      <c r="AV6" s="111">
        <f t="shared" ca="1" si="1"/>
        <v>132745.87598893698</v>
      </c>
      <c r="AW6" s="111">
        <f t="shared" ca="1" si="1"/>
        <v>139383.94789271892</v>
      </c>
      <c r="AX6" s="111">
        <f t="shared" ca="1" si="1"/>
        <v>146353.68996038943</v>
      </c>
    </row>
    <row r="7" spans="1:50" ht="25.5" customHeight="1" x14ac:dyDescent="0.35">
      <c r="A7" s="130"/>
      <c r="B7" s="76" t="s">
        <v>116</v>
      </c>
      <c r="C7" s="112">
        <f>C13*C26</f>
        <v>36712.800000000003</v>
      </c>
      <c r="D7" s="112">
        <f t="shared" ref="D7:AL7" si="2">D13*D26</f>
        <v>28327.68</v>
      </c>
      <c r="E7" s="112">
        <f t="shared" si="2"/>
        <v>23611.608</v>
      </c>
      <c r="F7" s="112">
        <f t="shared" si="2"/>
        <v>21112.714800000002</v>
      </c>
      <c r="G7" s="112">
        <f t="shared" si="2"/>
        <v>19960.666379999999</v>
      </c>
      <c r="H7" s="112">
        <f t="shared" si="2"/>
        <v>19634.089202999996</v>
      </c>
      <c r="I7" s="112">
        <f t="shared" si="2"/>
        <v>19821.027365549999</v>
      </c>
      <c r="J7" s="112">
        <f t="shared" si="2"/>
        <v>20335.218955267497</v>
      </c>
      <c r="K7" s="112">
        <f t="shared" si="2"/>
        <v>21065.864035894872</v>
      </c>
      <c r="L7" s="112">
        <f t="shared" si="2"/>
        <v>21947.487717408017</v>
      </c>
      <c r="M7" s="112">
        <f t="shared" si="2"/>
        <v>22941.860391109461</v>
      </c>
      <c r="N7" s="112">
        <f t="shared" si="2"/>
        <v>24027.152383363558</v>
      </c>
      <c r="O7" s="112">
        <f t="shared" si="2"/>
        <v>35630.262457180776</v>
      </c>
      <c r="P7" s="112">
        <f t="shared" si="2"/>
        <v>38433.428649985712</v>
      </c>
      <c r="Q7" s="112">
        <f t="shared" si="2"/>
        <v>41019.174577949838</v>
      </c>
      <c r="R7" s="112">
        <f t="shared" si="2"/>
        <v>43501.78172889947</v>
      </c>
      <c r="S7" s="112">
        <f t="shared" si="2"/>
        <v>45957.442289678344</v>
      </c>
      <c r="T7" s="112">
        <f t="shared" si="2"/>
        <v>48437.685862479288</v>
      </c>
      <c r="U7" s="112">
        <f t="shared" si="2"/>
        <v>50978.111603509315</v>
      </c>
      <c r="V7" s="112">
        <f t="shared" si="2"/>
        <v>53604.069124823727</v>
      </c>
      <c r="W7" s="112">
        <f t="shared" si="2"/>
        <v>56334.356342805229</v>
      </c>
      <c r="X7" s="112">
        <f t="shared" si="2"/>
        <v>59183.628605076701</v>
      </c>
      <c r="Y7" s="112">
        <f t="shared" si="2"/>
        <v>62163.970424665829</v>
      </c>
      <c r="Z7" s="112">
        <f t="shared" si="2"/>
        <v>65285.923198967044</v>
      </c>
      <c r="AA7" s="112">
        <f t="shared" si="2"/>
        <v>90444.351727191432</v>
      </c>
      <c r="AB7" s="112">
        <f t="shared" si="2"/>
        <v>97851.86660620771</v>
      </c>
      <c r="AC7" s="112">
        <f t="shared" si="2"/>
        <v>104764.16804137781</v>
      </c>
      <c r="AD7" s="112">
        <f t="shared" si="2"/>
        <v>111416.17211684849</v>
      </c>
      <c r="AE7" s="112">
        <f t="shared" si="2"/>
        <v>117976.63769407217</v>
      </c>
      <c r="AF7" s="112">
        <f t="shared" si="2"/>
        <v>124568.22945874267</v>
      </c>
      <c r="AG7" s="112">
        <f t="shared" si="2"/>
        <v>131281.57284765661</v>
      </c>
      <c r="AH7" s="112">
        <f t="shared" si="2"/>
        <v>138185.10383122321</v>
      </c>
      <c r="AI7" s="112">
        <f t="shared" si="2"/>
        <v>145331.97566161302</v>
      </c>
      <c r="AJ7" s="112">
        <f t="shared" si="2"/>
        <v>152764.90609187371</v>
      </c>
      <c r="AK7" s="112">
        <f t="shared" si="2"/>
        <v>160519.58354949343</v>
      </c>
      <c r="AL7" s="112">
        <f t="shared" si="2"/>
        <v>168627.06523408633</v>
      </c>
      <c r="AM7" s="112">
        <f t="shared" ref="AM7:AX7" si="3">AM13*AM26</f>
        <v>177115.47025077339</v>
      </c>
      <c r="AN7" s="112">
        <f t="shared" si="3"/>
        <v>186011.17999179999</v>
      </c>
      <c r="AO7" s="112">
        <f t="shared" si="3"/>
        <v>195339.69435133156</v>
      </c>
      <c r="AP7" s="112">
        <f t="shared" si="3"/>
        <v>205126.24782085724</v>
      </c>
      <c r="AQ7" s="112">
        <f t="shared" si="3"/>
        <v>215396.25833827149</v>
      </c>
      <c r="AR7" s="112">
        <f t="shared" si="3"/>
        <v>226175.65994364501</v>
      </c>
      <c r="AS7" s="112">
        <f t="shared" si="3"/>
        <v>237491.15502274918</v>
      </c>
      <c r="AT7" s="112">
        <f t="shared" si="3"/>
        <v>249370.41123123199</v>
      </c>
      <c r="AU7" s="112">
        <f t="shared" si="3"/>
        <v>261842.22071293538</v>
      </c>
      <c r="AV7" s="112">
        <f t="shared" si="3"/>
        <v>274936.6339926814</v>
      </c>
      <c r="AW7" s="112">
        <f t="shared" si="3"/>
        <v>288685.07726318488</v>
      </c>
      <c r="AX7" s="112">
        <f t="shared" si="3"/>
        <v>303120.45922595274</v>
      </c>
    </row>
    <row r="8" spans="1:50" ht="36.950000000000003" customHeight="1" x14ac:dyDescent="0.35">
      <c r="A8" s="130"/>
      <c r="B8" s="76" t="s">
        <v>117</v>
      </c>
      <c r="C8" s="112">
        <f ca="1">C21*C27</f>
        <v>78932.52</v>
      </c>
      <c r="D8" s="112">
        <f t="shared" ref="D8:AL8" ca="1" si="4">D21*D27</f>
        <v>60904.511999999995</v>
      </c>
      <c r="E8" s="112">
        <f t="shared" ca="1" si="4"/>
        <v>50764.957199999997</v>
      </c>
      <c r="F8" s="112">
        <f t="shared" ca="1" si="4"/>
        <v>45392.336819999997</v>
      </c>
      <c r="G8" s="112">
        <f t="shared" ca="1" si="4"/>
        <v>42915.432716999996</v>
      </c>
      <c r="H8" s="112">
        <f t="shared" ca="1" si="4"/>
        <v>42213.29178644999</v>
      </c>
      <c r="I8" s="112">
        <f t="shared" ca="1" si="4"/>
        <v>42615.208835932499</v>
      </c>
      <c r="J8" s="112">
        <f t="shared" ca="1" si="4"/>
        <v>43720.720753825117</v>
      </c>
      <c r="K8" s="112">
        <f t="shared" ca="1" si="4"/>
        <v>45291.607677173975</v>
      </c>
      <c r="L8" s="112">
        <f t="shared" ca="1" si="4"/>
        <v>47187.098592427239</v>
      </c>
      <c r="M8" s="112">
        <f t="shared" ca="1" si="4"/>
        <v>49324.999840885343</v>
      </c>
      <c r="N8" s="112">
        <f t="shared" ca="1" si="4"/>
        <v>51658.377624231653</v>
      </c>
      <c r="O8" s="112">
        <f t="shared" ca="1" si="4"/>
        <v>76011.226575319</v>
      </c>
      <c r="P8" s="112">
        <f t="shared" ca="1" si="4"/>
        <v>81991.314453302854</v>
      </c>
      <c r="Q8" s="112">
        <f t="shared" ca="1" si="4"/>
        <v>87507.572432959656</v>
      </c>
      <c r="R8" s="112">
        <f t="shared" ca="1" si="4"/>
        <v>92803.801021652209</v>
      </c>
      <c r="S8" s="112">
        <f t="shared" ca="1" si="4"/>
        <v>98042.543551313807</v>
      </c>
      <c r="T8" s="112">
        <f t="shared" ca="1" si="4"/>
        <v>103333.72983995582</v>
      </c>
      <c r="U8" s="112">
        <f t="shared" ca="1" si="4"/>
        <v>108753.3047541532</v>
      </c>
      <c r="V8" s="112">
        <f t="shared" ca="1" si="4"/>
        <v>114355.34746629061</v>
      </c>
      <c r="W8" s="112">
        <f t="shared" ca="1" si="4"/>
        <v>120179.96019798447</v>
      </c>
      <c r="X8" s="112">
        <f t="shared" ca="1" si="4"/>
        <v>126258.4076908303</v>
      </c>
      <c r="Y8" s="112">
        <f t="shared" ca="1" si="4"/>
        <v>132616.4702392871</v>
      </c>
      <c r="Z8" s="112">
        <f t="shared" ca="1" si="4"/>
        <v>139276.63615779637</v>
      </c>
      <c r="AA8" s="112">
        <f t="shared" ca="1" si="4"/>
        <v>197115.48420543777</v>
      </c>
      <c r="AB8" s="112">
        <f t="shared" ca="1" si="4"/>
        <v>213259.50927999974</v>
      </c>
      <c r="AC8" s="112">
        <f t="shared" ca="1" si="4"/>
        <v>228324.26034900281</v>
      </c>
      <c r="AD8" s="112">
        <f t="shared" ca="1" si="4"/>
        <v>242821.7162899551</v>
      </c>
      <c r="AE8" s="112">
        <f t="shared" ca="1" si="4"/>
        <v>257119.67215090437</v>
      </c>
      <c r="AF8" s="112">
        <f t="shared" ca="1" si="4"/>
        <v>271485.46479096561</v>
      </c>
      <c r="AG8" s="112">
        <f t="shared" ca="1" si="4"/>
        <v>286116.60435327515</v>
      </c>
      <c r="AH8" s="112">
        <f t="shared" ca="1" si="4"/>
        <v>301162.24099687178</v>
      </c>
      <c r="AI8" s="112">
        <f t="shared" ca="1" si="4"/>
        <v>316738.21754486836</v>
      </c>
      <c r="AJ8" s="112">
        <f t="shared" ca="1" si="4"/>
        <v>332937.63357081881</v>
      </c>
      <c r="AK8" s="112">
        <f t="shared" ca="1" si="4"/>
        <v>349838.26885345479</v>
      </c>
      <c r="AL8" s="112">
        <f t="shared" ca="1" si="4"/>
        <v>367507.80981899396</v>
      </c>
      <c r="AM8" s="112">
        <f t="shared" ref="AM8:AX8" ca="1" si="5">AM21*AM27</f>
        <v>386007.53957595024</v>
      </c>
      <c r="AN8" s="112">
        <f t="shared" ca="1" si="5"/>
        <v>405394.95404095232</v>
      </c>
      <c r="AO8" s="112">
        <f t="shared" ca="1" si="5"/>
        <v>425725.62798334315</v>
      </c>
      <c r="AP8" s="112">
        <f t="shared" ca="1" si="5"/>
        <v>447054.55775075062</v>
      </c>
      <c r="AQ8" s="112">
        <f t="shared" ca="1" si="5"/>
        <v>469437.13949605636</v>
      </c>
      <c r="AR8" s="112">
        <f t="shared" ca="1" si="5"/>
        <v>492929.89417129691</v>
      </c>
      <c r="AS8" s="112">
        <f t="shared" ca="1" si="5"/>
        <v>517591.01727016806</v>
      </c>
      <c r="AT8" s="112">
        <f t="shared" ca="1" si="5"/>
        <v>543480.80800689093</v>
      </c>
      <c r="AU8" s="112">
        <f t="shared" ca="1" si="5"/>
        <v>570662.01631848549</v>
      </c>
      <c r="AV8" s="112">
        <f t="shared" ca="1" si="5"/>
        <v>599200.13467228494</v>
      </c>
      <c r="AW8" s="112">
        <f t="shared" ca="1" si="5"/>
        <v>629163.65368241176</v>
      </c>
      <c r="AX8" s="112">
        <f t="shared" ca="1" si="5"/>
        <v>660624.29496009112</v>
      </c>
    </row>
    <row r="9" spans="1:50" ht="26.45" customHeight="1" x14ac:dyDescent="0.35">
      <c r="A9" s="130"/>
      <c r="B9" s="81" t="s">
        <v>118</v>
      </c>
      <c r="C9" s="112">
        <f ca="1">SUM(C6:C8)</f>
        <v>134968.00089600001</v>
      </c>
      <c r="D9" s="112">
        <f t="shared" ref="D9:AM9" ca="1" si="6">SUM(D6:D8)</f>
        <v>104141.6165376</v>
      </c>
      <c r="E9" s="112">
        <f t="shared" ca="1" si="6"/>
        <v>86803.826722559985</v>
      </c>
      <c r="F9" s="112">
        <f t="shared" ca="1" si="6"/>
        <v>77617.095673535994</v>
      </c>
      <c r="G9" s="112">
        <f t="shared" ca="1" si="6"/>
        <v>73381.797026121596</v>
      </c>
      <c r="H9" s="112">
        <f t="shared" ca="1" si="6"/>
        <v>72181.194818772943</v>
      </c>
      <c r="I9" s="112">
        <f t="shared" ca="1" si="6"/>
        <v>72868.439324518782</v>
      </c>
      <c r="J9" s="112">
        <f t="shared" ca="1" si="6"/>
        <v>74758.772149629003</v>
      </c>
      <c r="K9" s="112">
        <f t="shared" ca="1" si="6"/>
        <v>77444.857272441033</v>
      </c>
      <c r="L9" s="112">
        <f t="shared" ca="1" si="6"/>
        <v>80685.988045261445</v>
      </c>
      <c r="M9" s="112">
        <f t="shared" ca="1" si="6"/>
        <v>84341.620193043535</v>
      </c>
      <c r="N9" s="112">
        <f t="shared" ca="1" si="6"/>
        <v>88331.500850007113</v>
      </c>
      <c r="O9" s="112">
        <f t="shared" ca="1" si="6"/>
        <v>129931.69042718591</v>
      </c>
      <c r="P9" s="112">
        <f t="shared" ca="1" si="6"/>
        <v>140153.90314361456</v>
      </c>
      <c r="Q9" s="112">
        <f t="shared" ca="1" si="6"/>
        <v>149583.2566275904</v>
      </c>
      <c r="R9" s="112">
        <f t="shared" ca="1" si="6"/>
        <v>158636.49737138674</v>
      </c>
      <c r="S9" s="112">
        <f t="shared" ca="1" si="6"/>
        <v>167591.47288302705</v>
      </c>
      <c r="T9" s="112">
        <f t="shared" ca="1" si="6"/>
        <v>176636.09444517447</v>
      </c>
      <c r="U9" s="112">
        <f t="shared" ca="1" si="6"/>
        <v>185900.18031413062</v>
      </c>
      <c r="V9" s="112">
        <f t="shared" ca="1" si="6"/>
        <v>195476.17207519052</v>
      </c>
      <c r="W9" s="112">
        <f t="shared" ca="1" si="6"/>
        <v>205432.61946342973</v>
      </c>
      <c r="X9" s="112">
        <f t="shared" ca="1" si="6"/>
        <v>215822.96564651304</v>
      </c>
      <c r="Y9" s="112">
        <f t="shared" ca="1" si="6"/>
        <v>226691.2788152814</v>
      </c>
      <c r="Z9" s="112">
        <f t="shared" ca="1" si="6"/>
        <v>238075.99993223316</v>
      </c>
      <c r="AA9" s="112">
        <f t="shared" ca="1" si="6"/>
        <v>331228.49704891082</v>
      </c>
      <c r="AB9" s="112">
        <f t="shared" ca="1" si="6"/>
        <v>358356.55948054581</v>
      </c>
      <c r="AC9" s="112">
        <f t="shared" ca="1" si="6"/>
        <v>383671.03376000584</v>
      </c>
      <c r="AD9" s="112">
        <f t="shared" ca="1" si="6"/>
        <v>408032.23786180903</v>
      </c>
      <c r="AE9" s="112">
        <f t="shared" ca="1" si="6"/>
        <v>432058.20644456148</v>
      </c>
      <c r="AF9" s="112">
        <f t="shared" ca="1" si="6"/>
        <v>456198.16644955298</v>
      </c>
      <c r="AG9" s="112">
        <f t="shared" ca="1" si="6"/>
        <v>480784.00954996503</v>
      </c>
      <c r="AH9" s="112">
        <f t="shared" ca="1" si="6"/>
        <v>506066.36437201733</v>
      </c>
      <c r="AI9" s="112">
        <f t="shared" ca="1" si="6"/>
        <v>532239.89063180611</v>
      </c>
      <c r="AJ9" s="112">
        <f t="shared" ca="1" si="6"/>
        <v>559461.03079222771</v>
      </c>
      <c r="AK9" s="112">
        <f t="shared" ca="1" si="6"/>
        <v>587860.48427202133</v>
      </c>
      <c r="AL9" s="112">
        <f t="shared" ca="1" si="6"/>
        <v>617551.98984374967</v>
      </c>
      <c r="AM9" s="112">
        <f t="shared" ref="AM9:AX9" ca="1" si="7">SUM(AM6:AM8)</f>
        <v>648638.52628662647</v>
      </c>
      <c r="AN9" s="112">
        <f t="shared" ca="1" si="7"/>
        <v>681216.70846644021</v>
      </c>
      <c r="AO9" s="112">
        <f t="shared" ca="1" si="7"/>
        <v>715379.92299559992</v>
      </c>
      <c r="AP9" s="112">
        <f t="shared" ca="1" si="7"/>
        <v>751220.58451946639</v>
      </c>
      <c r="AQ9" s="112">
        <f t="shared" ca="1" si="7"/>
        <v>788831.77950730035</v>
      </c>
      <c r="AR9" s="112">
        <f t="shared" ca="1" si="7"/>
        <v>828308.48451596778</v>
      </c>
      <c r="AS9" s="112">
        <f t="shared" ca="1" si="7"/>
        <v>869748.48996507749</v>
      </c>
      <c r="AT9" s="112">
        <f t="shared" ca="1" si="7"/>
        <v>913253.12131964951</v>
      </c>
      <c r="AU9" s="112">
        <f t="shared" ca="1" si="7"/>
        <v>958927.82218505465</v>
      </c>
      <c r="AV9" s="112">
        <f t="shared" ca="1" si="7"/>
        <v>1006882.6446539033</v>
      </c>
      <c r="AW9" s="112">
        <f t="shared" ca="1" si="7"/>
        <v>1057232.6788383154</v>
      </c>
      <c r="AX9" s="112">
        <f t="shared" ca="1" si="7"/>
        <v>1110098.4441464334</v>
      </c>
    </row>
    <row r="10" spans="1:50" ht="18.75" x14ac:dyDescent="0.35">
      <c r="A10" s="113"/>
      <c r="B10" s="76" t="s">
        <v>90</v>
      </c>
      <c r="C10" s="114">
        <v>1</v>
      </c>
      <c r="D10" s="114">
        <f ca="1">(D9/C9*100%)-100%</f>
        <v>-0.22839772504412637</v>
      </c>
      <c r="E10" s="114">
        <f ca="1">(E9/D9*100%)-100%</f>
        <v>-0.1664828182187883</v>
      </c>
      <c r="F10" s="114">
        <f t="shared" ref="F10:AL10" ca="1" si="8">(F9/E9*100%)-100%</f>
        <v>-0.10583324947627448</v>
      </c>
      <c r="G10" s="114">
        <f t="shared" ca="1" si="8"/>
        <v>-5.4566569525203779E-2</v>
      </c>
      <c r="H10" s="114">
        <f t="shared" ca="1" si="8"/>
        <v>-1.6361035788225231E-2</v>
      </c>
      <c r="I10" s="114">
        <f t="shared" ca="1" si="8"/>
        <v>9.5211018253620328E-3</v>
      </c>
      <c r="J10" s="114">
        <f t="shared" ca="1" si="8"/>
        <v>2.5941722405932843E-2</v>
      </c>
      <c r="K10" s="114">
        <f t="shared" ca="1" si="8"/>
        <v>3.5930032631299236E-2</v>
      </c>
      <c r="L10" s="114">
        <f t="shared" ca="1" si="8"/>
        <v>4.1850819886187329E-2</v>
      </c>
      <c r="M10" s="114">
        <f t="shared" ca="1" si="8"/>
        <v>4.5306901933597654E-2</v>
      </c>
      <c r="N10" s="114">
        <f t="shared" ca="1" si="8"/>
        <v>4.7306189374017427E-2</v>
      </c>
      <c r="O10" s="114">
        <f t="shared" ca="1" si="8"/>
        <v>0.4709553123955037</v>
      </c>
      <c r="P10" s="114">
        <f t="shared" ca="1" si="8"/>
        <v>7.8673745279695284E-2</v>
      </c>
      <c r="Q10" s="114">
        <f t="shared" ca="1" si="8"/>
        <v>6.7278565009450064E-2</v>
      </c>
      <c r="R10" s="114">
        <f t="shared" ca="1" si="8"/>
        <v>6.0523088933246871E-2</v>
      </c>
      <c r="S10" s="114">
        <f t="shared" ca="1" si="8"/>
        <v>5.6449654776956182E-2</v>
      </c>
      <c r="T10" s="114">
        <f t="shared" ca="1" si="8"/>
        <v>5.3968268233195005E-2</v>
      </c>
      <c r="U10" s="114">
        <f t="shared" ca="1" si="8"/>
        <v>5.2447297920933167E-2</v>
      </c>
      <c r="V10" s="114">
        <f t="shared" ca="1" si="8"/>
        <v>5.1511471074845439E-2</v>
      </c>
      <c r="W10" s="114">
        <f t="shared" ca="1" si="8"/>
        <v>5.0934327609041929E-2</v>
      </c>
      <c r="X10" s="114">
        <f t="shared" ca="1" si="8"/>
        <v>5.0577879064298115E-2</v>
      </c>
      <c r="Y10" s="114">
        <f t="shared" ca="1" si="8"/>
        <v>5.0357537883939152E-2</v>
      </c>
      <c r="Z10" s="114">
        <f t="shared" ca="1" si="8"/>
        <v>5.0221257634831984E-2</v>
      </c>
      <c r="AA10" s="114">
        <f t="shared" ca="1" si="8"/>
        <v>0.39127210278731561</v>
      </c>
      <c r="AB10" s="114">
        <f t="shared" ca="1" si="8"/>
        <v>8.1901354120593961E-2</v>
      </c>
      <c r="AC10" s="114">
        <f t="shared" ca="1" si="8"/>
        <v>7.0640465786797613E-2</v>
      </c>
      <c r="AD10" s="114">
        <f t="shared" ca="1" si="8"/>
        <v>6.3495030789949114E-2</v>
      </c>
      <c r="AE10" s="114">
        <f t="shared" ca="1" si="8"/>
        <v>5.8882525333425972E-2</v>
      </c>
      <c r="AF10" s="114">
        <f t="shared" ca="1" si="8"/>
        <v>5.5872009013880231E-2</v>
      </c>
      <c r="AG10" s="114">
        <f t="shared" ca="1" si="8"/>
        <v>5.3892902051220215E-2</v>
      </c>
      <c r="AH10" s="114">
        <f t="shared" ca="1" si="8"/>
        <v>5.2585681553173336E-2</v>
      </c>
      <c r="AI10" s="114">
        <f t="shared" ca="1" si="8"/>
        <v>5.1719553209721436E-2</v>
      </c>
      <c r="AJ10" s="114">
        <f t="shared" ca="1" si="8"/>
        <v>5.1144494502485038E-2</v>
      </c>
      <c r="AK10" s="114">
        <f t="shared" ca="1" si="8"/>
        <v>5.076216557850044E-2</v>
      </c>
      <c r="AL10" s="114">
        <f t="shared" ca="1" si="8"/>
        <v>5.0507741830099206E-2</v>
      </c>
      <c r="AM10" s="114">
        <f t="shared" ref="AM10" ca="1" si="9">(AM9/AL9*100%)-100%</f>
        <v>5.0338330948852095E-2</v>
      </c>
      <c r="AN10" s="114">
        <f t="shared" ref="AN10" ca="1" si="10">(AN9/AM9*100%)-100%</f>
        <v>5.0225481311324094E-2</v>
      </c>
      <c r="AO10" s="114">
        <f t="shared" ref="AO10" ca="1" si="11">(AO9/AN9*100%)-100%</f>
        <v>5.015028860062487E-2</v>
      </c>
      <c r="AP10" s="114">
        <f t="shared" ref="AP10" ca="1" si="12">(AP9/AO9*100%)-100%</f>
        <v>5.0100178061730283E-2</v>
      </c>
      <c r="AQ10" s="114">
        <f t="shared" ref="AQ10" ca="1" si="13">(AQ9/AP9*100%)-100%</f>
        <v>5.00667790032574E-2</v>
      </c>
      <c r="AR10" s="114">
        <f t="shared" ref="AR10" ca="1" si="14">(AR9/AQ9*100%)-100%</f>
        <v>5.0044516504297532E-2</v>
      </c>
      <c r="AS10" s="114">
        <f t="shared" ref="AS10" ca="1" si="15">(AS9/AR9*100%)-100%</f>
        <v>5.0029676411350144E-2</v>
      </c>
      <c r="AT10" s="114">
        <f t="shared" ref="AT10" ca="1" si="16">(AT9/AS9*100%)-100%</f>
        <v>5.0019783715081534E-2</v>
      </c>
      <c r="AU10" s="114">
        <f t="shared" ref="AU10" ca="1" si="17">(AU9/AT9*100%)-100%</f>
        <v>5.0013188894887373E-2</v>
      </c>
      <c r="AV10" s="114">
        <f t="shared" ref="AV10" ca="1" si="18">(AV9/AU9*100%)-100%</f>
        <v>5.0008792486150533E-2</v>
      </c>
      <c r="AW10" s="114">
        <f t="shared" ref="AW10" ca="1" si="19">(AW9/AV9*100%)-100%</f>
        <v>5.0005861608349633E-2</v>
      </c>
      <c r="AX10" s="114">
        <f t="shared" ref="AX10" ca="1" si="20">(AX9/AW9*100%)-100%</f>
        <v>5.0003907717085294E-2</v>
      </c>
    </row>
    <row r="11" spans="1:50" ht="23.1" customHeight="1" x14ac:dyDescent="0.35">
      <c r="A11" s="113"/>
      <c r="B11" s="131"/>
      <c r="C11" s="115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</row>
    <row r="12" spans="1:50" ht="22.5" customHeight="1" x14ac:dyDescent="0.35">
      <c r="A12" s="113"/>
      <c r="B12" s="109" t="s">
        <v>93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</row>
    <row r="13" spans="1:50" ht="29.45" customHeight="1" x14ac:dyDescent="0.35">
      <c r="A13" s="128">
        <v>0.05</v>
      </c>
      <c r="B13" s="76" t="s">
        <v>106</v>
      </c>
      <c r="C13" s="72">
        <f>30594-30594*C15</f>
        <v>18356.400000000001</v>
      </c>
      <c r="D13" s="117">
        <f>C13+D14-(C13*D15)</f>
        <v>14163.84</v>
      </c>
      <c r="E13" s="117">
        <f t="shared" ref="E13:AL13" si="21">D13+E14-(D13*E15)</f>
        <v>11805.804</v>
      </c>
      <c r="F13" s="117">
        <f t="shared" si="21"/>
        <v>10556.357400000001</v>
      </c>
      <c r="G13" s="117">
        <f t="shared" si="21"/>
        <v>9980.3331899999994</v>
      </c>
      <c r="H13" s="117">
        <f t="shared" si="21"/>
        <v>9817.044601499998</v>
      </c>
      <c r="I13" s="117">
        <f t="shared" si="21"/>
        <v>9910.5136827749993</v>
      </c>
      <c r="J13" s="117">
        <f t="shared" si="21"/>
        <v>10167.609477633749</v>
      </c>
      <c r="K13" s="117">
        <f t="shared" si="21"/>
        <v>10532.932017947436</v>
      </c>
      <c r="L13" s="117">
        <f t="shared" si="21"/>
        <v>10973.743858704009</v>
      </c>
      <c r="M13" s="117">
        <f t="shared" si="21"/>
        <v>11470.930195554731</v>
      </c>
      <c r="N13" s="117">
        <f t="shared" si="21"/>
        <v>12013.576191681779</v>
      </c>
      <c r="O13" s="117">
        <f t="shared" si="21"/>
        <v>13196.393502659546</v>
      </c>
      <c r="P13" s="117">
        <f t="shared" si="21"/>
        <v>14234.603203698411</v>
      </c>
      <c r="Q13" s="117">
        <f t="shared" si="21"/>
        <v>15192.286880722162</v>
      </c>
      <c r="R13" s="117">
        <f t="shared" si="21"/>
        <v>16111.771010703507</v>
      </c>
      <c r="S13" s="117">
        <f t="shared" si="21"/>
        <v>17021.27492210309</v>
      </c>
      <c r="T13" s="117">
        <f t="shared" si="21"/>
        <v>17939.883652770106</v>
      </c>
      <c r="U13" s="117">
        <f t="shared" si="21"/>
        <v>18880.78207537382</v>
      </c>
      <c r="V13" s="117">
        <f t="shared" si="21"/>
        <v>19853.358935119897</v>
      </c>
      <c r="W13" s="117">
        <f t="shared" si="21"/>
        <v>20864.576423261195</v>
      </c>
      <c r="X13" s="117">
        <f t="shared" si="21"/>
        <v>21919.862446324703</v>
      </c>
      <c r="Y13" s="117">
        <f t="shared" si="21"/>
        <v>23023.692749876231</v>
      </c>
      <c r="Z13" s="117">
        <f t="shared" si="21"/>
        <v>24179.971555172979</v>
      </c>
      <c r="AA13" s="117">
        <f t="shared" si="21"/>
        <v>26601.279919762186</v>
      </c>
      <c r="AB13" s="117">
        <f t="shared" si="21"/>
        <v>28779.96076653168</v>
      </c>
      <c r="AC13" s="117">
        <f t="shared" si="21"/>
        <v>30812.990600405239</v>
      </c>
      <c r="AD13" s="117">
        <f t="shared" si="21"/>
        <v>32769.462387308384</v>
      </c>
      <c r="AE13" s="117">
        <f t="shared" si="21"/>
        <v>34699.011086491817</v>
      </c>
      <c r="AF13" s="117">
        <f t="shared" si="21"/>
        <v>36637.714546689022</v>
      </c>
      <c r="AG13" s="117">
        <f t="shared" si="21"/>
        <v>38612.227308134301</v>
      </c>
      <c r="AH13" s="117">
        <f t="shared" si="21"/>
        <v>40642.677597418595</v>
      </c>
      <c r="AI13" s="117">
        <f t="shared" si="21"/>
        <v>42744.698724003829</v>
      </c>
      <c r="AJ13" s="117">
        <f t="shared" si="21"/>
        <v>44930.85473290403</v>
      </c>
      <c r="AK13" s="117">
        <f t="shared" si="21"/>
        <v>47211.642220439244</v>
      </c>
      <c r="AL13" s="117">
        <f t="shared" si="21"/>
        <v>49596.195657084216</v>
      </c>
      <c r="AM13" s="117">
        <f t="shared" ref="AM13" si="22">AL13+AM14-(AL13*AM15)</f>
        <v>52092.78536787453</v>
      </c>
      <c r="AN13" s="117">
        <f t="shared" ref="AN13" si="23">AM13+AN14-(AM13*AN15)</f>
        <v>54709.170585823529</v>
      </c>
      <c r="AO13" s="117">
        <f t="shared" ref="AO13" si="24">AN13+AO14-(AN13*AO15)</f>
        <v>57452.851279803399</v>
      </c>
      <c r="AP13" s="117">
        <f t="shared" ref="AP13" si="25">AO13+AP14-(AO13*AP15)</f>
        <v>60331.249359075664</v>
      </c>
      <c r="AQ13" s="117">
        <f t="shared" ref="AQ13" si="26">AP13+AQ14-(AP13*AQ15)</f>
        <v>63351.840687726908</v>
      </c>
      <c r="AR13" s="117">
        <f t="shared" ref="AR13" si="27">AQ13+AR14-(AQ13*AR15)</f>
        <v>66522.252924601475</v>
      </c>
      <c r="AS13" s="117">
        <f t="shared" ref="AS13" si="28">AR13+AS14-(AR13*AS15)</f>
        <v>69850.339712573288</v>
      </c>
      <c r="AT13" s="117">
        <f t="shared" ref="AT13" si="29">AS13+AT14-(AS13*AT15)</f>
        <v>73344.238597421179</v>
      </c>
      <c r="AU13" s="117">
        <f t="shared" ref="AU13" si="30">AT13+AU14-(AT13*AU15)</f>
        <v>77012.417856745698</v>
      </c>
      <c r="AV13" s="117">
        <f t="shared" ref="AV13" si="31">AU13+AV14-(AU13*AV15)</f>
        <v>80863.715880200412</v>
      </c>
      <c r="AW13" s="117">
        <f t="shared" ref="AW13" si="32">AV13+AW14-(AV13*AW15)</f>
        <v>84907.375665642612</v>
      </c>
      <c r="AX13" s="117">
        <f t="shared" ref="AX13" si="33">AW13+AX14-(AW13*AX15)</f>
        <v>89153.076242927287</v>
      </c>
    </row>
    <row r="14" spans="1:50" ht="24.6" customHeight="1" x14ac:dyDescent="0.35">
      <c r="A14" s="132">
        <v>3000</v>
      </c>
      <c r="B14" s="76" t="s">
        <v>105</v>
      </c>
      <c r="C14" s="70">
        <f>$A$14</f>
        <v>3000</v>
      </c>
      <c r="D14" s="117">
        <f>C14+C14*$A$13</f>
        <v>3150</v>
      </c>
      <c r="E14" s="117">
        <f t="shared" ref="E14:AL14" si="34">D14+D14*$A$13</f>
        <v>3307.5</v>
      </c>
      <c r="F14" s="117">
        <f t="shared" si="34"/>
        <v>3472.875</v>
      </c>
      <c r="G14" s="117">
        <f t="shared" si="34"/>
        <v>3646.5187500000002</v>
      </c>
      <c r="H14" s="117">
        <f t="shared" si="34"/>
        <v>3828.8446875</v>
      </c>
      <c r="I14" s="117">
        <f t="shared" si="34"/>
        <v>4020.2869218750002</v>
      </c>
      <c r="J14" s="117">
        <f t="shared" si="34"/>
        <v>4221.3012679687499</v>
      </c>
      <c r="K14" s="117">
        <f t="shared" si="34"/>
        <v>4432.3663313671877</v>
      </c>
      <c r="L14" s="117">
        <f t="shared" si="34"/>
        <v>4653.9846479355474</v>
      </c>
      <c r="M14" s="117">
        <f t="shared" si="34"/>
        <v>4886.6838803323244</v>
      </c>
      <c r="N14" s="117">
        <f t="shared" si="34"/>
        <v>5131.0180743489409</v>
      </c>
      <c r="O14" s="117">
        <f>N14+N14*$A$13</f>
        <v>5387.5689780663879</v>
      </c>
      <c r="P14" s="117">
        <f t="shared" si="34"/>
        <v>5656.9474269697075</v>
      </c>
      <c r="Q14" s="117">
        <f t="shared" si="34"/>
        <v>5939.794798318193</v>
      </c>
      <c r="R14" s="117">
        <f t="shared" si="34"/>
        <v>6236.7845382341029</v>
      </c>
      <c r="S14" s="117">
        <f t="shared" si="34"/>
        <v>6548.6237651458077</v>
      </c>
      <c r="T14" s="117">
        <f t="shared" si="34"/>
        <v>6876.0549534030979</v>
      </c>
      <c r="U14" s="117">
        <f t="shared" si="34"/>
        <v>7219.8577010732524</v>
      </c>
      <c r="V14" s="117">
        <f t="shared" si="34"/>
        <v>7580.850586126915</v>
      </c>
      <c r="W14" s="117">
        <f t="shared" si="34"/>
        <v>7959.8931154332604</v>
      </c>
      <c r="X14" s="117">
        <f t="shared" si="34"/>
        <v>8357.8877712049234</v>
      </c>
      <c r="Y14" s="117">
        <f t="shared" si="34"/>
        <v>8775.7821597651691</v>
      </c>
      <c r="Z14" s="117">
        <f t="shared" si="34"/>
        <v>9214.5712677534284</v>
      </c>
      <c r="AA14" s="117">
        <f t="shared" si="34"/>
        <v>9675.2998311410993</v>
      </c>
      <c r="AB14" s="117">
        <f t="shared" si="34"/>
        <v>10159.064822698154</v>
      </c>
      <c r="AC14" s="117">
        <f t="shared" si="34"/>
        <v>10667.018063833062</v>
      </c>
      <c r="AD14" s="117">
        <f t="shared" si="34"/>
        <v>11200.368967024715</v>
      </c>
      <c r="AE14" s="117">
        <f t="shared" si="34"/>
        <v>11760.38741537595</v>
      </c>
      <c r="AF14" s="117">
        <f t="shared" si="34"/>
        <v>12348.406786144747</v>
      </c>
      <c r="AG14" s="117">
        <f t="shared" si="34"/>
        <v>12965.827125451984</v>
      </c>
      <c r="AH14" s="117">
        <f t="shared" si="34"/>
        <v>13614.118481724583</v>
      </c>
      <c r="AI14" s="117">
        <f t="shared" si="34"/>
        <v>14294.824405810812</v>
      </c>
      <c r="AJ14" s="117">
        <f t="shared" si="34"/>
        <v>15009.565626101354</v>
      </c>
      <c r="AK14" s="117">
        <f t="shared" si="34"/>
        <v>15760.043907406422</v>
      </c>
      <c r="AL14" s="117">
        <f t="shared" si="34"/>
        <v>16548.046102776741</v>
      </c>
      <c r="AM14" s="117">
        <f t="shared" ref="AM14" si="35">AL14+AL14*$A$13</f>
        <v>17375.448407915577</v>
      </c>
      <c r="AN14" s="117">
        <f t="shared" ref="AN14" si="36">AM14+AM14*$A$13</f>
        <v>18244.220828311358</v>
      </c>
      <c r="AO14" s="117">
        <f t="shared" ref="AO14" si="37">AN14+AN14*$A$13</f>
        <v>19156.431869726926</v>
      </c>
      <c r="AP14" s="117">
        <f t="shared" ref="AP14" si="38">AO14+AO14*$A$13</f>
        <v>20114.253463213274</v>
      </c>
      <c r="AQ14" s="117">
        <f t="shared" ref="AQ14" si="39">AP14+AP14*$A$13</f>
        <v>21119.966136373936</v>
      </c>
      <c r="AR14" s="117">
        <f t="shared" ref="AR14" si="40">AQ14+AQ14*$A$13</f>
        <v>22175.964443192632</v>
      </c>
      <c r="AS14" s="117">
        <f t="shared" ref="AS14" si="41">AR14+AR14*$A$13</f>
        <v>23284.762665352264</v>
      </c>
      <c r="AT14" s="117">
        <f t="shared" ref="AT14" si="42">AS14+AS14*$A$13</f>
        <v>24449.000798619876</v>
      </c>
      <c r="AU14" s="117">
        <f t="shared" ref="AU14" si="43">AT14+AT14*$A$13</f>
        <v>25671.450838550871</v>
      </c>
      <c r="AV14" s="117">
        <f t="shared" ref="AV14" si="44">AU14+AU14*$A$13</f>
        <v>26955.023380478415</v>
      </c>
      <c r="AW14" s="117">
        <f t="shared" ref="AW14" si="45">AV14+AV14*$A$13</f>
        <v>28302.774549502334</v>
      </c>
      <c r="AX14" s="117">
        <f t="shared" ref="AX14" si="46">AW14+AW14*$A$13</f>
        <v>29717.913276977451</v>
      </c>
    </row>
    <row r="15" spans="1:50" ht="22.5" customHeight="1" x14ac:dyDescent="0.35">
      <c r="A15" s="133">
        <v>0.4</v>
      </c>
      <c r="B15" s="76" t="s">
        <v>27</v>
      </c>
      <c r="C15" s="118">
        <f>$A$15</f>
        <v>0.4</v>
      </c>
      <c r="D15" s="118">
        <f t="shared" ref="D15:AL15" si="47">$A$15</f>
        <v>0.4</v>
      </c>
      <c r="E15" s="118">
        <f t="shared" si="47"/>
        <v>0.4</v>
      </c>
      <c r="F15" s="118">
        <f t="shared" si="47"/>
        <v>0.4</v>
      </c>
      <c r="G15" s="118">
        <f t="shared" si="47"/>
        <v>0.4</v>
      </c>
      <c r="H15" s="118">
        <f t="shared" si="47"/>
        <v>0.4</v>
      </c>
      <c r="I15" s="118">
        <f t="shared" si="47"/>
        <v>0.4</v>
      </c>
      <c r="J15" s="118">
        <f t="shared" si="47"/>
        <v>0.4</v>
      </c>
      <c r="K15" s="118">
        <f t="shared" si="47"/>
        <v>0.4</v>
      </c>
      <c r="L15" s="118">
        <f t="shared" si="47"/>
        <v>0.4</v>
      </c>
      <c r="M15" s="118">
        <f t="shared" si="47"/>
        <v>0.4</v>
      </c>
      <c r="N15" s="118">
        <f t="shared" si="47"/>
        <v>0.4</v>
      </c>
      <c r="O15" s="118">
        <v>0.35</v>
      </c>
      <c r="P15" s="118">
        <f>O15</f>
        <v>0.35</v>
      </c>
      <c r="Q15" s="118">
        <f t="shared" ref="Q15:AX15" si="48">P15</f>
        <v>0.35</v>
      </c>
      <c r="R15" s="118">
        <f t="shared" si="48"/>
        <v>0.35</v>
      </c>
      <c r="S15" s="118">
        <f t="shared" si="48"/>
        <v>0.35</v>
      </c>
      <c r="T15" s="118">
        <f t="shared" si="48"/>
        <v>0.35</v>
      </c>
      <c r="U15" s="118">
        <f t="shared" si="48"/>
        <v>0.35</v>
      </c>
      <c r="V15" s="118">
        <f t="shared" si="48"/>
        <v>0.35</v>
      </c>
      <c r="W15" s="118">
        <f t="shared" si="48"/>
        <v>0.35</v>
      </c>
      <c r="X15" s="118">
        <f t="shared" si="48"/>
        <v>0.35</v>
      </c>
      <c r="Y15" s="118">
        <f t="shared" si="48"/>
        <v>0.35</v>
      </c>
      <c r="Z15" s="118">
        <f t="shared" si="48"/>
        <v>0.35</v>
      </c>
      <c r="AA15" s="118">
        <v>0.3</v>
      </c>
      <c r="AB15" s="118">
        <f t="shared" si="48"/>
        <v>0.3</v>
      </c>
      <c r="AC15" s="118">
        <f t="shared" si="48"/>
        <v>0.3</v>
      </c>
      <c r="AD15" s="118">
        <f t="shared" si="48"/>
        <v>0.3</v>
      </c>
      <c r="AE15" s="118">
        <f t="shared" si="48"/>
        <v>0.3</v>
      </c>
      <c r="AF15" s="118">
        <f t="shared" si="48"/>
        <v>0.3</v>
      </c>
      <c r="AG15" s="118">
        <f t="shared" si="48"/>
        <v>0.3</v>
      </c>
      <c r="AH15" s="118">
        <f t="shared" si="48"/>
        <v>0.3</v>
      </c>
      <c r="AI15" s="118">
        <f t="shared" si="48"/>
        <v>0.3</v>
      </c>
      <c r="AJ15" s="118">
        <f t="shared" si="48"/>
        <v>0.3</v>
      </c>
      <c r="AK15" s="118">
        <f t="shared" si="48"/>
        <v>0.3</v>
      </c>
      <c r="AL15" s="118">
        <f t="shared" si="48"/>
        <v>0.3</v>
      </c>
      <c r="AM15" s="118">
        <f t="shared" ref="AM15:AX15" si="49">AL15</f>
        <v>0.3</v>
      </c>
      <c r="AN15" s="118">
        <f t="shared" si="49"/>
        <v>0.3</v>
      </c>
      <c r="AO15" s="118">
        <f t="shared" si="49"/>
        <v>0.3</v>
      </c>
      <c r="AP15" s="118">
        <f t="shared" si="49"/>
        <v>0.3</v>
      </c>
      <c r="AQ15" s="118">
        <f t="shared" si="49"/>
        <v>0.3</v>
      </c>
      <c r="AR15" s="118">
        <f t="shared" si="49"/>
        <v>0.3</v>
      </c>
      <c r="AS15" s="118">
        <f t="shared" si="49"/>
        <v>0.3</v>
      </c>
      <c r="AT15" s="118">
        <f t="shared" si="49"/>
        <v>0.3</v>
      </c>
      <c r="AU15" s="118">
        <f t="shared" si="49"/>
        <v>0.3</v>
      </c>
      <c r="AV15" s="118">
        <f t="shared" si="49"/>
        <v>0.3</v>
      </c>
      <c r="AW15" s="118">
        <f t="shared" si="49"/>
        <v>0.3</v>
      </c>
      <c r="AX15" s="118">
        <f t="shared" si="49"/>
        <v>0.3</v>
      </c>
    </row>
    <row r="16" spans="1:50" ht="24" customHeight="1" x14ac:dyDescent="0.35">
      <c r="A16" s="134">
        <v>495</v>
      </c>
      <c r="B16" s="76" t="s">
        <v>107</v>
      </c>
      <c r="C16" s="72">
        <f>$A$16</f>
        <v>495</v>
      </c>
      <c r="D16" s="72">
        <f>C16+(D14/18)-(C16*15%)</f>
        <v>595.75</v>
      </c>
      <c r="E16" s="72">
        <f t="shared" ref="E16:AL16" si="50">D16+(E14/18)-(D16*15%)</f>
        <v>690.13750000000005</v>
      </c>
      <c r="F16" s="72">
        <f t="shared" si="50"/>
        <v>779.55437500000005</v>
      </c>
      <c r="G16" s="72">
        <f t="shared" si="50"/>
        <v>865.20559375000005</v>
      </c>
      <c r="H16" s="72">
        <f t="shared" si="50"/>
        <v>948.1383484375001</v>
      </c>
      <c r="I16" s="72">
        <f t="shared" si="50"/>
        <v>1029.2668696093751</v>
      </c>
      <c r="J16" s="72">
        <f t="shared" si="50"/>
        <v>1109.393576277344</v>
      </c>
      <c r="K16" s="72">
        <f t="shared" si="50"/>
        <v>1189.2271138005863</v>
      </c>
      <c r="L16" s="72">
        <f t="shared" si="50"/>
        <v>1269.3977493935843</v>
      </c>
      <c r="M16" s="72">
        <f t="shared" si="50"/>
        <v>1350.4705247807869</v>
      </c>
      <c r="N16" s="72">
        <f t="shared" si="50"/>
        <v>1432.9565057497211</v>
      </c>
      <c r="O16" s="72">
        <f t="shared" si="50"/>
        <v>1517.3224175576179</v>
      </c>
      <c r="P16" s="72">
        <f t="shared" si="50"/>
        <v>1603.9989119778479</v>
      </c>
      <c r="Q16" s="72">
        <f t="shared" si="50"/>
        <v>1693.3876750877371</v>
      </c>
      <c r="R16" s="72">
        <f t="shared" si="50"/>
        <v>1785.8675537264712</v>
      </c>
      <c r="S16" s="72">
        <f t="shared" si="50"/>
        <v>1881.7998520644899</v>
      </c>
      <c r="T16" s="72">
        <f t="shared" si="50"/>
        <v>1981.532927221655</v>
      </c>
      <c r="U16" s="72">
        <f t="shared" si="50"/>
        <v>2085.4061937535876</v>
      </c>
      <c r="V16" s="72">
        <f t="shared" si="50"/>
        <v>2193.7536305864892</v>
      </c>
      <c r="W16" s="72">
        <f t="shared" si="50"/>
        <v>2306.9068701892525</v>
      </c>
      <c r="X16" s="72">
        <f t="shared" si="50"/>
        <v>2425.1979380611378</v>
      </c>
      <c r="Y16" s="72">
        <f t="shared" si="50"/>
        <v>2548.9617006722547</v>
      </c>
      <c r="Z16" s="72">
        <f t="shared" si="50"/>
        <v>2678.538071557718</v>
      </c>
      <c r="AA16" s="72">
        <f t="shared" si="50"/>
        <v>2814.2740181096769</v>
      </c>
      <c r="AB16" s="72">
        <f t="shared" si="50"/>
        <v>2956.5254055431233</v>
      </c>
      <c r="AC16" s="72">
        <f t="shared" si="50"/>
        <v>3105.6587093690473</v>
      </c>
      <c r="AD16" s="72">
        <f t="shared" si="50"/>
        <v>3262.0526233539522</v>
      </c>
      <c r="AE16" s="72">
        <f t="shared" si="50"/>
        <v>3426.0995862606342</v>
      </c>
      <c r="AF16" s="72">
        <f t="shared" si="50"/>
        <v>3598.207247551803</v>
      </c>
      <c r="AG16" s="72">
        <f t="shared" si="50"/>
        <v>3778.7998896108097</v>
      </c>
      <c r="AH16" s="72">
        <f t="shared" si="50"/>
        <v>3968.3198218205539</v>
      </c>
      <c r="AI16" s="72">
        <f t="shared" si="50"/>
        <v>4167.2287599814044</v>
      </c>
      <c r="AJ16" s="72">
        <f t="shared" si="50"/>
        <v>4376.0092029898251</v>
      </c>
      <c r="AK16" s="72">
        <f t="shared" si="50"/>
        <v>4595.1658173972637</v>
      </c>
      <c r="AL16" s="72">
        <f t="shared" si="50"/>
        <v>4825.2268393863824</v>
      </c>
      <c r="AM16" s="72">
        <f t="shared" ref="AM16" si="51">AL16+(AM14/18)-(AL16*15%)</f>
        <v>5066.7455028070681</v>
      </c>
      <c r="AN16" s="72">
        <f t="shared" ref="AN16" si="52">AM16+(AN14/18)-(AM16*15%)</f>
        <v>5320.301501181083</v>
      </c>
      <c r="AO16" s="72">
        <f t="shared" ref="AO16" si="53">AN16+(AO14/18)-(AN16*15%)</f>
        <v>5586.5024909887507</v>
      </c>
      <c r="AP16" s="72">
        <f t="shared" ref="AP16" si="54">AO16+(AP14/18)-(AO16*15%)</f>
        <v>5865.9856430745085</v>
      </c>
      <c r="AQ16" s="72">
        <f t="shared" ref="AQ16" si="55">AP16+(AQ14/18)-(AP16*15%)</f>
        <v>6159.4192486341062</v>
      </c>
      <c r="AR16" s="72">
        <f t="shared" ref="AR16" si="56">AQ16+(AR14/18)-(AQ16*15%)</f>
        <v>6467.5043859608031</v>
      </c>
      <c r="AS16" s="72">
        <f t="shared" ref="AS16" si="57">AR16+(AS14/18)-(AR16*15%)</f>
        <v>6790.9766539195862</v>
      </c>
      <c r="AT16" s="72">
        <f t="shared" ref="AT16" si="58">AS16+(AT14/18)-(AS16*15%)</f>
        <v>7130.6079779771962</v>
      </c>
      <c r="AU16" s="72">
        <f t="shared" ref="AU16" si="59">AT16+(AU14/18)-(AT16*15%)</f>
        <v>7487.2084945334427</v>
      </c>
      <c r="AV16" s="72">
        <f t="shared" ref="AV16" si="60">AU16+(AV14/18)-(AU16*15%)</f>
        <v>7861.6285192688938</v>
      </c>
      <c r="AW16" s="72">
        <f t="shared" ref="AW16" si="61">AV16+(AW14/18)-(AV16*15%)</f>
        <v>8254.7606052398023</v>
      </c>
      <c r="AX16" s="72">
        <f t="shared" ref="AX16" si="62">AW16+(AX14/18)-(AW16*15%)</f>
        <v>8667.5416965081349</v>
      </c>
    </row>
    <row r="17" spans="1:50" ht="18.75" x14ac:dyDescent="0.35">
      <c r="A17" s="135"/>
      <c r="B17" s="95" t="s">
        <v>108</v>
      </c>
      <c r="C17" s="72">
        <f>C13/C16</f>
        <v>37.083636363636366</v>
      </c>
      <c r="D17" s="72">
        <f>D13/D16</f>
        <v>23.774804867813682</v>
      </c>
      <c r="E17" s="72">
        <f t="shared" ref="E17:AL17" si="63">E13/E16</f>
        <v>17.106451975149877</v>
      </c>
      <c r="F17" s="72">
        <f t="shared" si="63"/>
        <v>13.541528004380709</v>
      </c>
      <c r="G17" s="72">
        <f t="shared" si="63"/>
        <v>11.535215747673266</v>
      </c>
      <c r="H17" s="72">
        <f t="shared" si="63"/>
        <v>10.354021243501178</v>
      </c>
      <c r="I17" s="72">
        <f t="shared" si="63"/>
        <v>9.6287114405384617</v>
      </c>
      <c r="J17" s="72">
        <f t="shared" si="63"/>
        <v>9.1650156401229115</v>
      </c>
      <c r="K17" s="72">
        <f t="shared" si="63"/>
        <v>8.8569558293081734</v>
      </c>
      <c r="L17" s="72">
        <f t="shared" si="63"/>
        <v>8.6448426932743327</v>
      </c>
      <c r="M17" s="72">
        <f t="shared" si="63"/>
        <v>8.4940248491663546</v>
      </c>
      <c r="N17" s="72">
        <f t="shared" si="63"/>
        <v>8.3837689025992379</v>
      </c>
      <c r="O17" s="72">
        <f t="shared" si="63"/>
        <v>8.6971584614833084</v>
      </c>
      <c r="P17" s="72">
        <f t="shared" si="63"/>
        <v>8.8744469197588813</v>
      </c>
      <c r="Q17" s="72">
        <f t="shared" si="63"/>
        <v>8.9715350502565965</v>
      </c>
      <c r="R17" s="72">
        <f t="shared" si="63"/>
        <v>9.0218174226212717</v>
      </c>
      <c r="S17" s="72">
        <f t="shared" si="63"/>
        <v>9.0452100436873479</v>
      </c>
      <c r="T17" s="72">
        <f t="shared" si="63"/>
        <v>9.0535379989491052</v>
      </c>
      <c r="U17" s="72">
        <f t="shared" si="63"/>
        <v>9.0537671423089581</v>
      </c>
      <c r="V17" s="72">
        <f t="shared" si="63"/>
        <v>9.0499492095710856</v>
      </c>
      <c r="W17" s="72">
        <f t="shared" si="63"/>
        <v>9.04439476637803</v>
      </c>
      <c r="X17" s="72">
        <f t="shared" si="63"/>
        <v>9.0383807862911496</v>
      </c>
      <c r="Y17" s="72">
        <f t="shared" si="63"/>
        <v>9.0325769680274277</v>
      </c>
      <c r="Z17" s="72">
        <f t="shared" si="63"/>
        <v>9.0273018001610819</v>
      </c>
      <c r="AA17" s="72">
        <f t="shared" si="63"/>
        <v>9.4522707272229418</v>
      </c>
      <c r="AB17" s="72">
        <f t="shared" si="63"/>
        <v>9.7343864228505446</v>
      </c>
      <c r="AC17" s="72">
        <f t="shared" si="63"/>
        <v>9.9215636629516428</v>
      </c>
      <c r="AD17" s="72">
        <f t="shared" si="63"/>
        <v>10.045657189188974</v>
      </c>
      <c r="AE17" s="72">
        <f t="shared" si="63"/>
        <v>10.127846611827049</v>
      </c>
      <c r="AF17" s="72">
        <f t="shared" si="63"/>
        <v>10.182213537482335</v>
      </c>
      <c r="AG17" s="72">
        <f t="shared" si="63"/>
        <v>10.218119094978352</v>
      </c>
      <c r="AH17" s="72">
        <f t="shared" si="63"/>
        <v>10.241784791119198</v>
      </c>
      <c r="AI17" s="72">
        <f t="shared" si="63"/>
        <v>10.257343953489746</v>
      </c>
      <c r="AJ17" s="72">
        <f t="shared" si="63"/>
        <v>10.26754118848879</v>
      </c>
      <c r="AK17" s="72">
        <f t="shared" si="63"/>
        <v>10.274197732255127</v>
      </c>
      <c r="AL17" s="72">
        <f t="shared" si="63"/>
        <v>10.278521053611502</v>
      </c>
      <c r="AM17" s="72">
        <f t="shared" ref="AM17:AX17" si="64">AM13/AM16</f>
        <v>10.281310821515348</v>
      </c>
      <c r="AN17" s="72">
        <f t="shared" si="64"/>
        <v>10.28309590606441</v>
      </c>
      <c r="AO17" s="72">
        <f t="shared" si="64"/>
        <v>10.284225483202974</v>
      </c>
      <c r="AP17" s="72">
        <f t="shared" si="64"/>
        <v>10.284929597518509</v>
      </c>
      <c r="AQ17" s="72">
        <f t="shared" si="64"/>
        <v>10.285359403287188</v>
      </c>
      <c r="AR17" s="72">
        <f t="shared" si="64"/>
        <v>10.285613886710806</v>
      </c>
      <c r="AS17" s="72">
        <f t="shared" si="64"/>
        <v>10.285757597511012</v>
      </c>
      <c r="AT17" s="72">
        <f t="shared" si="64"/>
        <v>10.285832403624495</v>
      </c>
      <c r="AU17" s="72">
        <f t="shared" si="64"/>
        <v>10.285865274484339</v>
      </c>
      <c r="AV17" s="72">
        <f t="shared" si="64"/>
        <v>10.285873427115389</v>
      </c>
      <c r="AW17" s="72">
        <f t="shared" si="64"/>
        <v>10.28586772240817</v>
      </c>
      <c r="AX17" s="72">
        <f t="shared" si="64"/>
        <v>10.285854901493478</v>
      </c>
    </row>
    <row r="18" spans="1:50" ht="21.95" customHeight="1" x14ac:dyDescent="0.35">
      <c r="A18" s="128">
        <v>0.86</v>
      </c>
      <c r="B18" s="76" t="s">
        <v>34</v>
      </c>
      <c r="C18" s="118">
        <f>$A$18</f>
        <v>0.86</v>
      </c>
      <c r="D18" s="118">
        <f t="shared" ref="D18:AL18" si="65">$A$18</f>
        <v>0.86</v>
      </c>
      <c r="E18" s="118">
        <f t="shared" si="65"/>
        <v>0.86</v>
      </c>
      <c r="F18" s="118">
        <f t="shared" si="65"/>
        <v>0.86</v>
      </c>
      <c r="G18" s="118">
        <f t="shared" si="65"/>
        <v>0.86</v>
      </c>
      <c r="H18" s="118">
        <f t="shared" si="65"/>
        <v>0.86</v>
      </c>
      <c r="I18" s="118">
        <f t="shared" si="65"/>
        <v>0.86</v>
      </c>
      <c r="J18" s="118">
        <f t="shared" si="65"/>
        <v>0.86</v>
      </c>
      <c r="K18" s="118">
        <f t="shared" si="65"/>
        <v>0.86</v>
      </c>
      <c r="L18" s="118">
        <f t="shared" si="65"/>
        <v>0.86</v>
      </c>
      <c r="M18" s="118">
        <f t="shared" si="65"/>
        <v>0.86</v>
      </c>
      <c r="N18" s="118">
        <f t="shared" si="65"/>
        <v>0.86</v>
      </c>
      <c r="O18" s="118">
        <v>0.9</v>
      </c>
      <c r="P18" s="118">
        <f>O18</f>
        <v>0.9</v>
      </c>
      <c r="Q18" s="118">
        <f t="shared" ref="Q18:AL18" si="66">P18</f>
        <v>0.9</v>
      </c>
      <c r="R18" s="118">
        <f t="shared" si="66"/>
        <v>0.9</v>
      </c>
      <c r="S18" s="118">
        <f t="shared" si="66"/>
        <v>0.9</v>
      </c>
      <c r="T18" s="118">
        <f t="shared" si="66"/>
        <v>0.9</v>
      </c>
      <c r="U18" s="118">
        <f t="shared" si="66"/>
        <v>0.9</v>
      </c>
      <c r="V18" s="118">
        <f t="shared" si="66"/>
        <v>0.9</v>
      </c>
      <c r="W18" s="118">
        <f t="shared" si="66"/>
        <v>0.9</v>
      </c>
      <c r="X18" s="118">
        <f t="shared" si="66"/>
        <v>0.9</v>
      </c>
      <c r="Y18" s="118">
        <f t="shared" si="66"/>
        <v>0.9</v>
      </c>
      <c r="Z18" s="118">
        <f t="shared" si="66"/>
        <v>0.9</v>
      </c>
      <c r="AA18" s="118">
        <v>0.95</v>
      </c>
      <c r="AB18" s="118">
        <f t="shared" si="66"/>
        <v>0.95</v>
      </c>
      <c r="AC18" s="118">
        <f t="shared" si="66"/>
        <v>0.95</v>
      </c>
      <c r="AD18" s="118">
        <f t="shared" si="66"/>
        <v>0.95</v>
      </c>
      <c r="AE18" s="118">
        <f t="shared" si="66"/>
        <v>0.95</v>
      </c>
      <c r="AF18" s="118">
        <f t="shared" si="66"/>
        <v>0.95</v>
      </c>
      <c r="AG18" s="118">
        <f t="shared" si="66"/>
        <v>0.95</v>
      </c>
      <c r="AH18" s="118">
        <f t="shared" si="66"/>
        <v>0.95</v>
      </c>
      <c r="AI18" s="118">
        <f t="shared" si="66"/>
        <v>0.95</v>
      </c>
      <c r="AJ18" s="118">
        <f t="shared" si="66"/>
        <v>0.95</v>
      </c>
      <c r="AK18" s="118">
        <f t="shared" si="66"/>
        <v>0.95</v>
      </c>
      <c r="AL18" s="118">
        <f t="shared" si="66"/>
        <v>0.95</v>
      </c>
      <c r="AM18" s="118">
        <f t="shared" ref="AM18:AX18" si="67">AL18</f>
        <v>0.95</v>
      </c>
      <c r="AN18" s="118">
        <f t="shared" si="67"/>
        <v>0.95</v>
      </c>
      <c r="AO18" s="118">
        <f t="shared" si="67"/>
        <v>0.95</v>
      </c>
      <c r="AP18" s="118">
        <f t="shared" si="67"/>
        <v>0.95</v>
      </c>
      <c r="AQ18" s="118">
        <f t="shared" si="67"/>
        <v>0.95</v>
      </c>
      <c r="AR18" s="118">
        <f t="shared" si="67"/>
        <v>0.95</v>
      </c>
      <c r="AS18" s="118">
        <f t="shared" si="67"/>
        <v>0.95</v>
      </c>
      <c r="AT18" s="118">
        <f t="shared" si="67"/>
        <v>0.95</v>
      </c>
      <c r="AU18" s="118">
        <f t="shared" si="67"/>
        <v>0.95</v>
      </c>
      <c r="AV18" s="118">
        <f t="shared" si="67"/>
        <v>0.95</v>
      </c>
      <c r="AW18" s="118">
        <f t="shared" si="67"/>
        <v>0.95</v>
      </c>
      <c r="AX18" s="118">
        <f t="shared" si="67"/>
        <v>0.95</v>
      </c>
    </row>
    <row r="19" spans="1:50" ht="26.45" customHeight="1" x14ac:dyDescent="0.35">
      <c r="A19" s="134">
        <v>2</v>
      </c>
      <c r="B19" s="76" t="s">
        <v>109</v>
      </c>
      <c r="C19" s="119">
        <f ca="1">$A$19+RANDBETWEEN(-0.4, 0.1)</f>
        <v>2</v>
      </c>
      <c r="D19" s="119">
        <f t="shared" ref="D19:AX19" ca="1" si="68">$A$19+RANDBETWEEN(-0.4, 0.1)</f>
        <v>2</v>
      </c>
      <c r="E19" s="119">
        <f t="shared" ca="1" si="68"/>
        <v>2</v>
      </c>
      <c r="F19" s="119">
        <f t="shared" ca="1" si="68"/>
        <v>2</v>
      </c>
      <c r="G19" s="119">
        <f t="shared" ca="1" si="68"/>
        <v>2</v>
      </c>
      <c r="H19" s="119">
        <f t="shared" ca="1" si="68"/>
        <v>2</v>
      </c>
      <c r="I19" s="119">
        <f t="shared" ca="1" si="68"/>
        <v>2</v>
      </c>
      <c r="J19" s="119">
        <f t="shared" ca="1" si="68"/>
        <v>2</v>
      </c>
      <c r="K19" s="119">
        <f t="shared" ca="1" si="68"/>
        <v>2</v>
      </c>
      <c r="L19" s="119">
        <f t="shared" ca="1" si="68"/>
        <v>2</v>
      </c>
      <c r="M19" s="119">
        <f t="shared" ca="1" si="68"/>
        <v>2</v>
      </c>
      <c r="N19" s="119">
        <f t="shared" ca="1" si="68"/>
        <v>2</v>
      </c>
      <c r="O19" s="119">
        <f t="shared" ca="1" si="68"/>
        <v>2</v>
      </c>
      <c r="P19" s="119">
        <f t="shared" ca="1" si="68"/>
        <v>2</v>
      </c>
      <c r="Q19" s="119">
        <f t="shared" ca="1" si="68"/>
        <v>2</v>
      </c>
      <c r="R19" s="119">
        <f t="shared" ca="1" si="68"/>
        <v>2</v>
      </c>
      <c r="S19" s="119">
        <f t="shared" ca="1" si="68"/>
        <v>2</v>
      </c>
      <c r="T19" s="119">
        <f t="shared" ca="1" si="68"/>
        <v>2</v>
      </c>
      <c r="U19" s="119">
        <f t="shared" ca="1" si="68"/>
        <v>2</v>
      </c>
      <c r="V19" s="119">
        <f t="shared" ca="1" si="68"/>
        <v>2</v>
      </c>
      <c r="W19" s="119">
        <f t="shared" ca="1" si="68"/>
        <v>2</v>
      </c>
      <c r="X19" s="119">
        <f t="shared" ca="1" si="68"/>
        <v>2</v>
      </c>
      <c r="Y19" s="119">
        <f t="shared" ca="1" si="68"/>
        <v>2</v>
      </c>
      <c r="Z19" s="119">
        <f t="shared" ca="1" si="68"/>
        <v>2</v>
      </c>
      <c r="AA19" s="119">
        <f t="shared" ca="1" si="68"/>
        <v>2</v>
      </c>
      <c r="AB19" s="119">
        <f t="shared" ca="1" si="68"/>
        <v>2</v>
      </c>
      <c r="AC19" s="119">
        <f t="shared" ca="1" si="68"/>
        <v>2</v>
      </c>
      <c r="AD19" s="119">
        <f t="shared" ca="1" si="68"/>
        <v>2</v>
      </c>
      <c r="AE19" s="119">
        <f t="shared" ca="1" si="68"/>
        <v>2</v>
      </c>
      <c r="AF19" s="119">
        <f t="shared" ca="1" si="68"/>
        <v>2</v>
      </c>
      <c r="AG19" s="119">
        <f t="shared" ca="1" si="68"/>
        <v>2</v>
      </c>
      <c r="AH19" s="119">
        <f t="shared" ca="1" si="68"/>
        <v>2</v>
      </c>
      <c r="AI19" s="119">
        <f t="shared" ca="1" si="68"/>
        <v>2</v>
      </c>
      <c r="AJ19" s="119">
        <f t="shared" ca="1" si="68"/>
        <v>2</v>
      </c>
      <c r="AK19" s="119">
        <f t="shared" ca="1" si="68"/>
        <v>2</v>
      </c>
      <c r="AL19" s="119">
        <f t="shared" ca="1" si="68"/>
        <v>2</v>
      </c>
      <c r="AM19" s="119">
        <f t="shared" ca="1" si="68"/>
        <v>2</v>
      </c>
      <c r="AN19" s="119">
        <f t="shared" ca="1" si="68"/>
        <v>2</v>
      </c>
      <c r="AO19" s="119">
        <f t="shared" ca="1" si="68"/>
        <v>2</v>
      </c>
      <c r="AP19" s="119">
        <f t="shared" ca="1" si="68"/>
        <v>2</v>
      </c>
      <c r="AQ19" s="119">
        <f t="shared" ca="1" si="68"/>
        <v>2</v>
      </c>
      <c r="AR19" s="119">
        <f t="shared" ca="1" si="68"/>
        <v>2</v>
      </c>
      <c r="AS19" s="119">
        <f t="shared" ca="1" si="68"/>
        <v>2</v>
      </c>
      <c r="AT19" s="119">
        <f t="shared" ca="1" si="68"/>
        <v>2</v>
      </c>
      <c r="AU19" s="119">
        <f t="shared" ca="1" si="68"/>
        <v>2</v>
      </c>
      <c r="AV19" s="119">
        <f t="shared" ca="1" si="68"/>
        <v>2</v>
      </c>
      <c r="AW19" s="119">
        <f t="shared" ca="1" si="68"/>
        <v>2</v>
      </c>
      <c r="AX19" s="119">
        <f t="shared" ca="1" si="68"/>
        <v>2</v>
      </c>
    </row>
    <row r="20" spans="1:50" ht="18.75" x14ac:dyDescent="0.35">
      <c r="A20" s="136"/>
      <c r="B20" s="120" t="s">
        <v>110</v>
      </c>
      <c r="C20" s="72">
        <f ca="1">C13*C19</f>
        <v>36712.800000000003</v>
      </c>
      <c r="D20" s="72">
        <f t="shared" ref="D20:AL20" ca="1" si="69">D13*D19</f>
        <v>28327.68</v>
      </c>
      <c r="E20" s="72">
        <f t="shared" ca="1" si="69"/>
        <v>23611.608</v>
      </c>
      <c r="F20" s="72">
        <f t="shared" ca="1" si="69"/>
        <v>21112.714800000002</v>
      </c>
      <c r="G20" s="72">
        <f t="shared" ca="1" si="69"/>
        <v>19960.666379999999</v>
      </c>
      <c r="H20" s="72">
        <f t="shared" ca="1" si="69"/>
        <v>19634.089202999996</v>
      </c>
      <c r="I20" s="72">
        <f t="shared" ca="1" si="69"/>
        <v>19821.027365549999</v>
      </c>
      <c r="J20" s="72">
        <f t="shared" ca="1" si="69"/>
        <v>20335.218955267497</v>
      </c>
      <c r="K20" s="72">
        <f t="shared" ca="1" si="69"/>
        <v>21065.864035894872</v>
      </c>
      <c r="L20" s="72">
        <f t="shared" ca="1" si="69"/>
        <v>21947.487717408017</v>
      </c>
      <c r="M20" s="72">
        <f t="shared" ca="1" si="69"/>
        <v>22941.860391109461</v>
      </c>
      <c r="N20" s="72">
        <f t="shared" ca="1" si="69"/>
        <v>24027.152383363558</v>
      </c>
      <c r="O20" s="72">
        <f t="shared" ca="1" si="69"/>
        <v>26392.787005319093</v>
      </c>
      <c r="P20" s="72">
        <f t="shared" ca="1" si="69"/>
        <v>28469.206407396821</v>
      </c>
      <c r="Q20" s="72">
        <f t="shared" ca="1" si="69"/>
        <v>30384.573761444324</v>
      </c>
      <c r="R20" s="72">
        <f t="shared" ca="1" si="69"/>
        <v>32223.542021407015</v>
      </c>
      <c r="S20" s="72">
        <f t="shared" ca="1" si="69"/>
        <v>34042.54984420618</v>
      </c>
      <c r="T20" s="72">
        <f t="shared" ca="1" si="69"/>
        <v>35879.767305540212</v>
      </c>
      <c r="U20" s="72">
        <f t="shared" ca="1" si="69"/>
        <v>37761.564150747639</v>
      </c>
      <c r="V20" s="72">
        <f t="shared" ca="1" si="69"/>
        <v>39706.717870239794</v>
      </c>
      <c r="W20" s="72">
        <f t="shared" ca="1" si="69"/>
        <v>41729.152846522389</v>
      </c>
      <c r="X20" s="72">
        <f t="shared" ca="1" si="69"/>
        <v>43839.724892649407</v>
      </c>
      <c r="Y20" s="72">
        <f t="shared" ca="1" si="69"/>
        <v>46047.385499752461</v>
      </c>
      <c r="Z20" s="72">
        <f t="shared" ca="1" si="69"/>
        <v>48359.943110345957</v>
      </c>
      <c r="AA20" s="72">
        <f t="shared" ca="1" si="69"/>
        <v>53202.559839524372</v>
      </c>
      <c r="AB20" s="72">
        <f t="shared" ca="1" si="69"/>
        <v>57559.92153306336</v>
      </c>
      <c r="AC20" s="72">
        <f t="shared" ca="1" si="69"/>
        <v>61625.981200810478</v>
      </c>
      <c r="AD20" s="72">
        <f t="shared" ca="1" si="69"/>
        <v>65538.924774616768</v>
      </c>
      <c r="AE20" s="72">
        <f t="shared" ca="1" si="69"/>
        <v>69398.022172983634</v>
      </c>
      <c r="AF20" s="72">
        <f t="shared" ca="1" si="69"/>
        <v>73275.429093378043</v>
      </c>
      <c r="AG20" s="72">
        <f t="shared" ca="1" si="69"/>
        <v>77224.454616268602</v>
      </c>
      <c r="AH20" s="72">
        <f t="shared" ca="1" si="69"/>
        <v>81285.35519483719</v>
      </c>
      <c r="AI20" s="72">
        <f t="shared" ca="1" si="69"/>
        <v>85489.397448007658</v>
      </c>
      <c r="AJ20" s="72">
        <f t="shared" ca="1" si="69"/>
        <v>89861.70946580806</v>
      </c>
      <c r="AK20" s="72">
        <f t="shared" ca="1" si="69"/>
        <v>94423.284440878488</v>
      </c>
      <c r="AL20" s="72">
        <f t="shared" ca="1" si="69"/>
        <v>99192.391314168432</v>
      </c>
      <c r="AM20" s="72">
        <f t="shared" ref="AM20:AX20" ca="1" si="70">AM13*AM19</f>
        <v>104185.57073574906</v>
      </c>
      <c r="AN20" s="72">
        <f t="shared" ca="1" si="70"/>
        <v>109418.34117164706</v>
      </c>
      <c r="AO20" s="72">
        <f t="shared" ca="1" si="70"/>
        <v>114905.7025596068</v>
      </c>
      <c r="AP20" s="72">
        <f t="shared" ca="1" si="70"/>
        <v>120662.49871815133</v>
      </c>
      <c r="AQ20" s="72">
        <f t="shared" ca="1" si="70"/>
        <v>126703.68137545382</v>
      </c>
      <c r="AR20" s="72">
        <f t="shared" ca="1" si="70"/>
        <v>133044.50584920295</v>
      </c>
      <c r="AS20" s="72">
        <f t="shared" ca="1" si="70"/>
        <v>139700.67942514658</v>
      </c>
      <c r="AT20" s="72">
        <f t="shared" ca="1" si="70"/>
        <v>146688.47719484236</v>
      </c>
      <c r="AU20" s="72">
        <f t="shared" ca="1" si="70"/>
        <v>154024.8357134914</v>
      </c>
      <c r="AV20" s="72">
        <f t="shared" ca="1" si="70"/>
        <v>161727.43176040082</v>
      </c>
      <c r="AW20" s="72">
        <f t="shared" ca="1" si="70"/>
        <v>169814.75133128522</v>
      </c>
      <c r="AX20" s="72">
        <f t="shared" ca="1" si="70"/>
        <v>178306.15248585457</v>
      </c>
    </row>
    <row r="21" spans="1:50" ht="24" customHeight="1" x14ac:dyDescent="0.35">
      <c r="A21" s="137"/>
      <c r="B21" s="120" t="s">
        <v>111</v>
      </c>
      <c r="C21" s="72">
        <f ca="1">C20*C18</f>
        <v>31573.008000000002</v>
      </c>
      <c r="D21" s="72">
        <f ca="1">D20*D18</f>
        <v>24361.804799999998</v>
      </c>
      <c r="E21" s="72">
        <f t="shared" ref="E21:AL21" ca="1" si="71">E20*E18</f>
        <v>20305.98288</v>
      </c>
      <c r="F21" s="72">
        <f t="shared" ca="1" si="71"/>
        <v>18156.934728</v>
      </c>
      <c r="G21" s="72">
        <f t="shared" ca="1" si="71"/>
        <v>17166.173086799998</v>
      </c>
      <c r="H21" s="72">
        <f t="shared" ca="1" si="71"/>
        <v>16885.316714579996</v>
      </c>
      <c r="I21" s="72">
        <f t="shared" ca="1" si="71"/>
        <v>17046.083534373</v>
      </c>
      <c r="J21" s="72">
        <f t="shared" ca="1" si="71"/>
        <v>17488.288301530047</v>
      </c>
      <c r="K21" s="72">
        <f t="shared" ca="1" si="71"/>
        <v>18116.643070869592</v>
      </c>
      <c r="L21" s="72">
        <f t="shared" ca="1" si="71"/>
        <v>18874.839436970895</v>
      </c>
      <c r="M21" s="72">
        <f t="shared" ca="1" si="71"/>
        <v>19729.999936354136</v>
      </c>
      <c r="N21" s="72">
        <f t="shared" ca="1" si="71"/>
        <v>20663.351049692661</v>
      </c>
      <c r="O21" s="72">
        <f t="shared" ca="1" si="71"/>
        <v>23753.508304787185</v>
      </c>
      <c r="P21" s="72">
        <f t="shared" ca="1" si="71"/>
        <v>25622.28576665714</v>
      </c>
      <c r="Q21" s="72">
        <f t="shared" ca="1" si="71"/>
        <v>27346.116385299891</v>
      </c>
      <c r="R21" s="72">
        <f t="shared" ca="1" si="71"/>
        <v>29001.187819266313</v>
      </c>
      <c r="S21" s="72">
        <f t="shared" ca="1" si="71"/>
        <v>30638.294859785561</v>
      </c>
      <c r="T21" s="72">
        <f t="shared" ca="1" si="71"/>
        <v>32291.790574986193</v>
      </c>
      <c r="U21" s="72">
        <f t="shared" ca="1" si="71"/>
        <v>33985.407735672874</v>
      </c>
      <c r="V21" s="72">
        <f t="shared" ca="1" si="71"/>
        <v>35736.046083215813</v>
      </c>
      <c r="W21" s="72">
        <f t="shared" ca="1" si="71"/>
        <v>37556.237561870148</v>
      </c>
      <c r="X21" s="72">
        <f t="shared" ca="1" si="71"/>
        <v>39455.752403384467</v>
      </c>
      <c r="Y21" s="72">
        <f t="shared" ca="1" si="71"/>
        <v>41442.64694977722</v>
      </c>
      <c r="Z21" s="72">
        <f t="shared" ca="1" si="71"/>
        <v>43523.948799311365</v>
      </c>
      <c r="AA21" s="72">
        <f t="shared" ca="1" si="71"/>
        <v>50542.431847548149</v>
      </c>
      <c r="AB21" s="72">
        <f t="shared" ca="1" si="71"/>
        <v>54681.925456410187</v>
      </c>
      <c r="AC21" s="72">
        <f t="shared" ca="1" si="71"/>
        <v>58544.682140769954</v>
      </c>
      <c r="AD21" s="72">
        <f t="shared" ca="1" si="71"/>
        <v>62261.978535885923</v>
      </c>
      <c r="AE21" s="72">
        <f t="shared" ca="1" si="71"/>
        <v>65928.121064334453</v>
      </c>
      <c r="AF21" s="72">
        <f t="shared" ca="1" si="71"/>
        <v>69611.657638709134</v>
      </c>
      <c r="AG21" s="72">
        <f t="shared" ca="1" si="71"/>
        <v>73363.23188545517</v>
      </c>
      <c r="AH21" s="72">
        <f t="shared" ca="1" si="71"/>
        <v>77221.087435095324</v>
      </c>
      <c r="AI21" s="72">
        <f t="shared" ca="1" si="71"/>
        <v>81214.927575607275</v>
      </c>
      <c r="AJ21" s="72">
        <f t="shared" ca="1" si="71"/>
        <v>85368.623992517649</v>
      </c>
      <c r="AK21" s="72">
        <f t="shared" ca="1" si="71"/>
        <v>89702.120218834563</v>
      </c>
      <c r="AL21" s="72">
        <f t="shared" ca="1" si="71"/>
        <v>94232.77174846</v>
      </c>
      <c r="AM21" s="72">
        <f t="shared" ref="AM21:AX21" ca="1" si="72">AM20*AM18</f>
        <v>98976.292198961601</v>
      </c>
      <c r="AN21" s="72">
        <f t="shared" ca="1" si="72"/>
        <v>103947.4241130647</v>
      </c>
      <c r="AO21" s="72">
        <f t="shared" ca="1" si="72"/>
        <v>109160.41743162645</v>
      </c>
      <c r="AP21" s="72">
        <f t="shared" ca="1" si="72"/>
        <v>114629.37378224375</v>
      </c>
      <c r="AQ21" s="72">
        <f t="shared" ca="1" si="72"/>
        <v>120368.49730668112</v>
      </c>
      <c r="AR21" s="72">
        <f t="shared" ca="1" si="72"/>
        <v>126392.2805567428</v>
      </c>
      <c r="AS21" s="72">
        <f t="shared" ca="1" si="72"/>
        <v>132715.64545388924</v>
      </c>
      <c r="AT21" s="72">
        <f t="shared" ca="1" si="72"/>
        <v>139354.05333510024</v>
      </c>
      <c r="AU21" s="72">
        <f t="shared" ca="1" si="72"/>
        <v>146323.59392781681</v>
      </c>
      <c r="AV21" s="72">
        <f t="shared" ca="1" si="72"/>
        <v>153641.06017238076</v>
      </c>
      <c r="AW21" s="72">
        <f t="shared" ca="1" si="72"/>
        <v>161324.01376472096</v>
      </c>
      <c r="AX21" s="72">
        <f t="shared" ca="1" si="72"/>
        <v>169390.84486156184</v>
      </c>
    </row>
    <row r="22" spans="1:50" ht="21.95" customHeight="1" x14ac:dyDescent="0.35">
      <c r="A22" s="138"/>
      <c r="B22" s="7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</row>
    <row r="23" spans="1:50" ht="18.75" x14ac:dyDescent="0.35">
      <c r="A23" s="138"/>
      <c r="B23" s="121" t="s">
        <v>112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</row>
    <row r="24" spans="1:50" ht="18.75" x14ac:dyDescent="0.35">
      <c r="A24" s="139">
        <v>6.8</v>
      </c>
      <c r="B24" s="76" t="s">
        <v>113</v>
      </c>
      <c r="C24" s="119">
        <f>$A$24</f>
        <v>6.8</v>
      </c>
      <c r="D24" s="119">
        <f t="shared" ref="D24:N24" si="73">$A$24</f>
        <v>6.8</v>
      </c>
      <c r="E24" s="119">
        <f t="shared" si="73"/>
        <v>6.8</v>
      </c>
      <c r="F24" s="119">
        <f t="shared" si="73"/>
        <v>6.8</v>
      </c>
      <c r="G24" s="119">
        <f t="shared" si="73"/>
        <v>6.8</v>
      </c>
      <c r="H24" s="119">
        <f t="shared" si="73"/>
        <v>6.8</v>
      </c>
      <c r="I24" s="119">
        <f t="shared" si="73"/>
        <v>6.8</v>
      </c>
      <c r="J24" s="119">
        <f t="shared" si="73"/>
        <v>6.8</v>
      </c>
      <c r="K24" s="119">
        <f t="shared" si="73"/>
        <v>6.8</v>
      </c>
      <c r="L24" s="119">
        <f t="shared" si="73"/>
        <v>6.8</v>
      </c>
      <c r="M24" s="119">
        <f t="shared" si="73"/>
        <v>6.8</v>
      </c>
      <c r="N24" s="119">
        <f t="shared" si="73"/>
        <v>6.8</v>
      </c>
      <c r="O24" s="119">
        <f>$A$24+0.2</f>
        <v>7</v>
      </c>
      <c r="P24" s="119">
        <f t="shared" ref="P24:Z24" si="74">$A$24+0.2</f>
        <v>7</v>
      </c>
      <c r="Q24" s="119">
        <f t="shared" si="74"/>
        <v>7</v>
      </c>
      <c r="R24" s="119">
        <f t="shared" si="74"/>
        <v>7</v>
      </c>
      <c r="S24" s="119">
        <f t="shared" si="74"/>
        <v>7</v>
      </c>
      <c r="T24" s="119">
        <f t="shared" si="74"/>
        <v>7</v>
      </c>
      <c r="U24" s="119">
        <f t="shared" si="74"/>
        <v>7</v>
      </c>
      <c r="V24" s="119">
        <f t="shared" si="74"/>
        <v>7</v>
      </c>
      <c r="W24" s="119">
        <f t="shared" si="74"/>
        <v>7</v>
      </c>
      <c r="X24" s="119">
        <f t="shared" si="74"/>
        <v>7</v>
      </c>
      <c r="Y24" s="119">
        <f t="shared" si="74"/>
        <v>7</v>
      </c>
      <c r="Z24" s="119">
        <f t="shared" si="74"/>
        <v>7</v>
      </c>
      <c r="AA24" s="119">
        <f>$A$24+0.4</f>
        <v>7.2</v>
      </c>
      <c r="AB24" s="119">
        <f t="shared" ref="AB24:AX24" si="75">$A$24+0.4</f>
        <v>7.2</v>
      </c>
      <c r="AC24" s="119">
        <f t="shared" si="75"/>
        <v>7.2</v>
      </c>
      <c r="AD24" s="119">
        <f t="shared" si="75"/>
        <v>7.2</v>
      </c>
      <c r="AE24" s="119">
        <f t="shared" si="75"/>
        <v>7.2</v>
      </c>
      <c r="AF24" s="119">
        <f t="shared" si="75"/>
        <v>7.2</v>
      </c>
      <c r="AG24" s="119">
        <f t="shared" si="75"/>
        <v>7.2</v>
      </c>
      <c r="AH24" s="119">
        <f t="shared" si="75"/>
        <v>7.2</v>
      </c>
      <c r="AI24" s="119">
        <f t="shared" si="75"/>
        <v>7.2</v>
      </c>
      <c r="AJ24" s="119">
        <f t="shared" si="75"/>
        <v>7.2</v>
      </c>
      <c r="AK24" s="119">
        <f t="shared" si="75"/>
        <v>7.2</v>
      </c>
      <c r="AL24" s="119">
        <f t="shared" si="75"/>
        <v>7.2</v>
      </c>
      <c r="AM24" s="119">
        <f t="shared" si="75"/>
        <v>7.2</v>
      </c>
      <c r="AN24" s="119">
        <f t="shared" si="75"/>
        <v>7.2</v>
      </c>
      <c r="AO24" s="119">
        <f t="shared" si="75"/>
        <v>7.2</v>
      </c>
      <c r="AP24" s="119">
        <f t="shared" si="75"/>
        <v>7.2</v>
      </c>
      <c r="AQ24" s="119">
        <f t="shared" si="75"/>
        <v>7.2</v>
      </c>
      <c r="AR24" s="119">
        <f t="shared" si="75"/>
        <v>7.2</v>
      </c>
      <c r="AS24" s="119">
        <f t="shared" si="75"/>
        <v>7.2</v>
      </c>
      <c r="AT24" s="119">
        <f t="shared" si="75"/>
        <v>7.2</v>
      </c>
      <c r="AU24" s="119">
        <f t="shared" si="75"/>
        <v>7.2</v>
      </c>
      <c r="AV24" s="119">
        <f t="shared" si="75"/>
        <v>7.2</v>
      </c>
      <c r="AW24" s="119">
        <f t="shared" si="75"/>
        <v>7.2</v>
      </c>
      <c r="AX24" s="119">
        <f t="shared" si="75"/>
        <v>7.2</v>
      </c>
    </row>
    <row r="25" spans="1:50" ht="32.1" customHeight="1" x14ac:dyDescent="0.35">
      <c r="A25" s="133">
        <v>0.09</v>
      </c>
      <c r="B25" s="76" t="s">
        <v>37</v>
      </c>
      <c r="C25" s="118">
        <f>$A$25</f>
        <v>0.09</v>
      </c>
      <c r="D25" s="118">
        <f t="shared" ref="D25:AL25" si="76">$A$25</f>
        <v>0.09</v>
      </c>
      <c r="E25" s="118">
        <f t="shared" si="76"/>
        <v>0.09</v>
      </c>
      <c r="F25" s="118">
        <f t="shared" si="76"/>
        <v>0.09</v>
      </c>
      <c r="G25" s="118">
        <f t="shared" si="76"/>
        <v>0.09</v>
      </c>
      <c r="H25" s="118">
        <f t="shared" si="76"/>
        <v>0.09</v>
      </c>
      <c r="I25" s="118">
        <f t="shared" si="76"/>
        <v>0.09</v>
      </c>
      <c r="J25" s="118">
        <f t="shared" si="76"/>
        <v>0.09</v>
      </c>
      <c r="K25" s="118">
        <f t="shared" si="76"/>
        <v>0.09</v>
      </c>
      <c r="L25" s="118">
        <f t="shared" si="76"/>
        <v>0.09</v>
      </c>
      <c r="M25" s="118">
        <f t="shared" si="76"/>
        <v>0.09</v>
      </c>
      <c r="N25" s="118">
        <f t="shared" si="76"/>
        <v>0.09</v>
      </c>
      <c r="O25" s="118">
        <v>0.11</v>
      </c>
      <c r="P25" s="118">
        <f>O25</f>
        <v>0.11</v>
      </c>
      <c r="Q25" s="118">
        <f t="shared" ref="Q25:AX25" si="77">P25</f>
        <v>0.11</v>
      </c>
      <c r="R25" s="118">
        <f t="shared" si="77"/>
        <v>0.11</v>
      </c>
      <c r="S25" s="118">
        <f t="shared" si="77"/>
        <v>0.11</v>
      </c>
      <c r="T25" s="118">
        <f t="shared" si="77"/>
        <v>0.11</v>
      </c>
      <c r="U25" s="118">
        <f t="shared" si="77"/>
        <v>0.11</v>
      </c>
      <c r="V25" s="118">
        <f t="shared" si="77"/>
        <v>0.11</v>
      </c>
      <c r="W25" s="118">
        <f t="shared" si="77"/>
        <v>0.11</v>
      </c>
      <c r="X25" s="118">
        <f t="shared" si="77"/>
        <v>0.11</v>
      </c>
      <c r="Y25" s="118">
        <f t="shared" si="77"/>
        <v>0.11</v>
      </c>
      <c r="Z25" s="118">
        <f t="shared" si="77"/>
        <v>0.11</v>
      </c>
      <c r="AA25" s="118">
        <v>0.12</v>
      </c>
      <c r="AB25" s="118">
        <f t="shared" si="77"/>
        <v>0.12</v>
      </c>
      <c r="AC25" s="118">
        <f t="shared" si="77"/>
        <v>0.12</v>
      </c>
      <c r="AD25" s="118">
        <f t="shared" si="77"/>
        <v>0.12</v>
      </c>
      <c r="AE25" s="118">
        <f t="shared" si="77"/>
        <v>0.12</v>
      </c>
      <c r="AF25" s="118">
        <f t="shared" si="77"/>
        <v>0.12</v>
      </c>
      <c r="AG25" s="118">
        <f t="shared" si="77"/>
        <v>0.12</v>
      </c>
      <c r="AH25" s="118">
        <f t="shared" si="77"/>
        <v>0.12</v>
      </c>
      <c r="AI25" s="118">
        <f t="shared" si="77"/>
        <v>0.12</v>
      </c>
      <c r="AJ25" s="118">
        <f t="shared" si="77"/>
        <v>0.12</v>
      </c>
      <c r="AK25" s="118">
        <f t="shared" si="77"/>
        <v>0.12</v>
      </c>
      <c r="AL25" s="118">
        <f t="shared" si="77"/>
        <v>0.12</v>
      </c>
      <c r="AM25" s="118">
        <f t="shared" ref="AM25:AX25" si="78">AL25</f>
        <v>0.12</v>
      </c>
      <c r="AN25" s="118">
        <f t="shared" si="78"/>
        <v>0.12</v>
      </c>
      <c r="AO25" s="118">
        <f t="shared" si="78"/>
        <v>0.12</v>
      </c>
      <c r="AP25" s="118">
        <f t="shared" si="78"/>
        <v>0.12</v>
      </c>
      <c r="AQ25" s="118">
        <f t="shared" si="78"/>
        <v>0.12</v>
      </c>
      <c r="AR25" s="118">
        <f t="shared" si="78"/>
        <v>0.12</v>
      </c>
      <c r="AS25" s="118">
        <f t="shared" si="78"/>
        <v>0.12</v>
      </c>
      <c r="AT25" s="118">
        <f t="shared" si="78"/>
        <v>0.12</v>
      </c>
      <c r="AU25" s="118">
        <f t="shared" si="78"/>
        <v>0.12</v>
      </c>
      <c r="AV25" s="118">
        <f t="shared" si="78"/>
        <v>0.12</v>
      </c>
      <c r="AW25" s="118">
        <f t="shared" si="78"/>
        <v>0.12</v>
      </c>
      <c r="AX25" s="118">
        <f t="shared" si="78"/>
        <v>0.12</v>
      </c>
    </row>
    <row r="26" spans="1:50" ht="24.95" customHeight="1" x14ac:dyDescent="0.35">
      <c r="A26" s="140">
        <v>2</v>
      </c>
      <c r="B26" s="76" t="s">
        <v>35</v>
      </c>
      <c r="C26" s="119">
        <f>$A$26</f>
        <v>2</v>
      </c>
      <c r="D26" s="119">
        <f t="shared" ref="D26:T26" si="79">$A$26</f>
        <v>2</v>
      </c>
      <c r="E26" s="119">
        <f t="shared" si="79"/>
        <v>2</v>
      </c>
      <c r="F26" s="119">
        <f t="shared" si="79"/>
        <v>2</v>
      </c>
      <c r="G26" s="119">
        <f t="shared" si="79"/>
        <v>2</v>
      </c>
      <c r="H26" s="119">
        <f t="shared" si="79"/>
        <v>2</v>
      </c>
      <c r="I26" s="119">
        <f t="shared" si="79"/>
        <v>2</v>
      </c>
      <c r="J26" s="119">
        <f t="shared" si="79"/>
        <v>2</v>
      </c>
      <c r="K26" s="119">
        <f t="shared" si="79"/>
        <v>2</v>
      </c>
      <c r="L26" s="119">
        <f t="shared" si="79"/>
        <v>2</v>
      </c>
      <c r="M26" s="119">
        <f t="shared" si="79"/>
        <v>2</v>
      </c>
      <c r="N26" s="119">
        <f t="shared" si="79"/>
        <v>2</v>
      </c>
      <c r="O26" s="119">
        <f>$A$26+0.7</f>
        <v>2.7</v>
      </c>
      <c r="P26" s="119">
        <f t="shared" ref="P26:AL26" si="80">$A$26+0.7</f>
        <v>2.7</v>
      </c>
      <c r="Q26" s="119">
        <f t="shared" si="80"/>
        <v>2.7</v>
      </c>
      <c r="R26" s="119">
        <f t="shared" si="80"/>
        <v>2.7</v>
      </c>
      <c r="S26" s="119">
        <f t="shared" si="80"/>
        <v>2.7</v>
      </c>
      <c r="T26" s="119">
        <f t="shared" si="80"/>
        <v>2.7</v>
      </c>
      <c r="U26" s="119">
        <f t="shared" si="80"/>
        <v>2.7</v>
      </c>
      <c r="V26" s="119">
        <f t="shared" si="80"/>
        <v>2.7</v>
      </c>
      <c r="W26" s="119">
        <f t="shared" si="80"/>
        <v>2.7</v>
      </c>
      <c r="X26" s="119">
        <f t="shared" si="80"/>
        <v>2.7</v>
      </c>
      <c r="Y26" s="119">
        <f t="shared" si="80"/>
        <v>2.7</v>
      </c>
      <c r="Z26" s="119">
        <f t="shared" si="80"/>
        <v>2.7</v>
      </c>
      <c r="AA26" s="119">
        <f>$A$26+1.4</f>
        <v>3.4</v>
      </c>
      <c r="AB26" s="119">
        <f t="shared" ref="AB26:AX26" si="81">$A$26+1.4</f>
        <v>3.4</v>
      </c>
      <c r="AC26" s="119">
        <f t="shared" si="81"/>
        <v>3.4</v>
      </c>
      <c r="AD26" s="119">
        <f t="shared" si="81"/>
        <v>3.4</v>
      </c>
      <c r="AE26" s="119">
        <f t="shared" si="81"/>
        <v>3.4</v>
      </c>
      <c r="AF26" s="119">
        <f t="shared" si="81"/>
        <v>3.4</v>
      </c>
      <c r="AG26" s="119">
        <f t="shared" si="81"/>
        <v>3.4</v>
      </c>
      <c r="AH26" s="119">
        <f t="shared" si="81"/>
        <v>3.4</v>
      </c>
      <c r="AI26" s="119">
        <f t="shared" si="81"/>
        <v>3.4</v>
      </c>
      <c r="AJ26" s="119">
        <f t="shared" si="81"/>
        <v>3.4</v>
      </c>
      <c r="AK26" s="119">
        <f t="shared" si="81"/>
        <v>3.4</v>
      </c>
      <c r="AL26" s="119">
        <f t="shared" si="81"/>
        <v>3.4</v>
      </c>
      <c r="AM26" s="119">
        <f t="shared" si="81"/>
        <v>3.4</v>
      </c>
      <c r="AN26" s="119">
        <f t="shared" si="81"/>
        <v>3.4</v>
      </c>
      <c r="AO26" s="119">
        <f t="shared" si="81"/>
        <v>3.4</v>
      </c>
      <c r="AP26" s="119">
        <f t="shared" si="81"/>
        <v>3.4</v>
      </c>
      <c r="AQ26" s="119">
        <f t="shared" si="81"/>
        <v>3.4</v>
      </c>
      <c r="AR26" s="119">
        <f t="shared" si="81"/>
        <v>3.4</v>
      </c>
      <c r="AS26" s="119">
        <f t="shared" si="81"/>
        <v>3.4</v>
      </c>
      <c r="AT26" s="119">
        <f t="shared" si="81"/>
        <v>3.4</v>
      </c>
      <c r="AU26" s="119">
        <f t="shared" si="81"/>
        <v>3.4</v>
      </c>
      <c r="AV26" s="119">
        <f t="shared" si="81"/>
        <v>3.4</v>
      </c>
      <c r="AW26" s="119">
        <f t="shared" si="81"/>
        <v>3.4</v>
      </c>
      <c r="AX26" s="119">
        <f t="shared" si="81"/>
        <v>3.4</v>
      </c>
    </row>
    <row r="27" spans="1:50" ht="23.45" customHeight="1" x14ac:dyDescent="0.35">
      <c r="A27" s="140">
        <v>2.5</v>
      </c>
      <c r="B27" s="76" t="s">
        <v>38</v>
      </c>
      <c r="C27" s="119">
        <f>$A$27</f>
        <v>2.5</v>
      </c>
      <c r="D27" s="119">
        <f t="shared" ref="D27:T27" si="82">$A$27</f>
        <v>2.5</v>
      </c>
      <c r="E27" s="119">
        <f t="shared" si="82"/>
        <v>2.5</v>
      </c>
      <c r="F27" s="119">
        <f t="shared" si="82"/>
        <v>2.5</v>
      </c>
      <c r="G27" s="119">
        <f t="shared" si="82"/>
        <v>2.5</v>
      </c>
      <c r="H27" s="119">
        <f t="shared" si="82"/>
        <v>2.5</v>
      </c>
      <c r="I27" s="119">
        <f t="shared" si="82"/>
        <v>2.5</v>
      </c>
      <c r="J27" s="119">
        <f t="shared" si="82"/>
        <v>2.5</v>
      </c>
      <c r="K27" s="119">
        <f t="shared" si="82"/>
        <v>2.5</v>
      </c>
      <c r="L27" s="119">
        <f t="shared" si="82"/>
        <v>2.5</v>
      </c>
      <c r="M27" s="119">
        <f t="shared" si="82"/>
        <v>2.5</v>
      </c>
      <c r="N27" s="119">
        <f t="shared" si="82"/>
        <v>2.5</v>
      </c>
      <c r="O27" s="119">
        <f>$A$27+0.7</f>
        <v>3.2</v>
      </c>
      <c r="P27" s="119">
        <f t="shared" ref="P27:AL27" si="83">$A$27+0.7</f>
        <v>3.2</v>
      </c>
      <c r="Q27" s="119">
        <f t="shared" si="83"/>
        <v>3.2</v>
      </c>
      <c r="R27" s="119">
        <f t="shared" si="83"/>
        <v>3.2</v>
      </c>
      <c r="S27" s="119">
        <f t="shared" si="83"/>
        <v>3.2</v>
      </c>
      <c r="T27" s="119">
        <f t="shared" si="83"/>
        <v>3.2</v>
      </c>
      <c r="U27" s="119">
        <f t="shared" si="83"/>
        <v>3.2</v>
      </c>
      <c r="V27" s="119">
        <f t="shared" si="83"/>
        <v>3.2</v>
      </c>
      <c r="W27" s="119">
        <f t="shared" si="83"/>
        <v>3.2</v>
      </c>
      <c r="X27" s="119">
        <f t="shared" si="83"/>
        <v>3.2</v>
      </c>
      <c r="Y27" s="119">
        <f t="shared" si="83"/>
        <v>3.2</v>
      </c>
      <c r="Z27" s="119">
        <f t="shared" si="83"/>
        <v>3.2</v>
      </c>
      <c r="AA27" s="119">
        <f>$A$27+1.4</f>
        <v>3.9</v>
      </c>
      <c r="AB27" s="119">
        <f t="shared" ref="AB27:AX27" si="84">$A$27+1.4</f>
        <v>3.9</v>
      </c>
      <c r="AC27" s="119">
        <f t="shared" si="84"/>
        <v>3.9</v>
      </c>
      <c r="AD27" s="119">
        <f t="shared" si="84"/>
        <v>3.9</v>
      </c>
      <c r="AE27" s="119">
        <f t="shared" si="84"/>
        <v>3.9</v>
      </c>
      <c r="AF27" s="119">
        <f t="shared" si="84"/>
        <v>3.9</v>
      </c>
      <c r="AG27" s="119">
        <f t="shared" si="84"/>
        <v>3.9</v>
      </c>
      <c r="AH27" s="119">
        <f t="shared" si="84"/>
        <v>3.9</v>
      </c>
      <c r="AI27" s="119">
        <f t="shared" si="84"/>
        <v>3.9</v>
      </c>
      <c r="AJ27" s="119">
        <f t="shared" si="84"/>
        <v>3.9</v>
      </c>
      <c r="AK27" s="119">
        <f t="shared" si="84"/>
        <v>3.9</v>
      </c>
      <c r="AL27" s="119">
        <f t="shared" si="84"/>
        <v>3.9</v>
      </c>
      <c r="AM27" s="119">
        <f t="shared" si="84"/>
        <v>3.9</v>
      </c>
      <c r="AN27" s="119">
        <f t="shared" si="84"/>
        <v>3.9</v>
      </c>
      <c r="AO27" s="119">
        <f t="shared" si="84"/>
        <v>3.9</v>
      </c>
      <c r="AP27" s="119">
        <f t="shared" si="84"/>
        <v>3.9</v>
      </c>
      <c r="AQ27" s="119">
        <f t="shared" si="84"/>
        <v>3.9</v>
      </c>
      <c r="AR27" s="119">
        <f t="shared" si="84"/>
        <v>3.9</v>
      </c>
      <c r="AS27" s="119">
        <f t="shared" si="84"/>
        <v>3.9</v>
      </c>
      <c r="AT27" s="119">
        <f t="shared" si="84"/>
        <v>3.9</v>
      </c>
      <c r="AU27" s="119">
        <f t="shared" si="84"/>
        <v>3.9</v>
      </c>
      <c r="AV27" s="119">
        <f t="shared" si="84"/>
        <v>3.9</v>
      </c>
      <c r="AW27" s="119">
        <f t="shared" si="84"/>
        <v>3.9</v>
      </c>
      <c r="AX27" s="119">
        <f t="shared" si="84"/>
        <v>3.9</v>
      </c>
    </row>
    <row r="28" spans="1:50" ht="18.75" x14ac:dyDescent="0.35">
      <c r="A28" s="140">
        <v>1.5</v>
      </c>
      <c r="B28" s="76" t="s">
        <v>41</v>
      </c>
      <c r="C28" s="122">
        <f>$A$28</f>
        <v>1.5</v>
      </c>
      <c r="D28" s="122">
        <f>$A$28</f>
        <v>1.5</v>
      </c>
      <c r="E28" s="122">
        <f>D28-0.05</f>
        <v>1.45</v>
      </c>
      <c r="F28" s="122">
        <f>E28-0.05</f>
        <v>1.4</v>
      </c>
      <c r="G28" s="122">
        <f t="shared" ref="G28:K28" si="85">F28-0.05</f>
        <v>1.3499999999999999</v>
      </c>
      <c r="H28" s="122">
        <f t="shared" si="85"/>
        <v>1.2999999999999998</v>
      </c>
      <c r="I28" s="122">
        <f t="shared" si="85"/>
        <v>1.2499999999999998</v>
      </c>
      <c r="J28" s="122">
        <f t="shared" si="85"/>
        <v>1.1999999999999997</v>
      </c>
      <c r="K28" s="122">
        <f t="shared" si="85"/>
        <v>1.1499999999999997</v>
      </c>
      <c r="L28" s="122">
        <f>K28</f>
        <v>1.1499999999999997</v>
      </c>
      <c r="M28" s="122">
        <f t="shared" ref="M28:AL29" si="86">L28</f>
        <v>1.1499999999999997</v>
      </c>
      <c r="N28" s="122">
        <f t="shared" si="86"/>
        <v>1.1499999999999997</v>
      </c>
      <c r="O28" s="122">
        <f t="shared" si="86"/>
        <v>1.1499999999999997</v>
      </c>
      <c r="P28" s="122">
        <f t="shared" si="86"/>
        <v>1.1499999999999997</v>
      </c>
      <c r="Q28" s="122">
        <f t="shared" si="86"/>
        <v>1.1499999999999997</v>
      </c>
      <c r="R28" s="122">
        <f t="shared" si="86"/>
        <v>1.1499999999999997</v>
      </c>
      <c r="S28" s="122">
        <f t="shared" si="86"/>
        <v>1.1499999999999997</v>
      </c>
      <c r="T28" s="122">
        <f t="shared" si="86"/>
        <v>1.1499999999999997</v>
      </c>
      <c r="U28" s="122">
        <f t="shared" si="86"/>
        <v>1.1499999999999997</v>
      </c>
      <c r="V28" s="122">
        <f t="shared" si="86"/>
        <v>1.1499999999999997</v>
      </c>
      <c r="W28" s="122">
        <f t="shared" si="86"/>
        <v>1.1499999999999997</v>
      </c>
      <c r="X28" s="122">
        <f t="shared" si="86"/>
        <v>1.1499999999999997</v>
      </c>
      <c r="Y28" s="122">
        <f t="shared" si="86"/>
        <v>1.1499999999999997</v>
      </c>
      <c r="Z28" s="122">
        <f t="shared" si="86"/>
        <v>1.1499999999999997</v>
      </c>
      <c r="AA28" s="122">
        <f t="shared" si="86"/>
        <v>1.1499999999999997</v>
      </c>
      <c r="AB28" s="122">
        <f t="shared" si="86"/>
        <v>1.1499999999999997</v>
      </c>
      <c r="AC28" s="122">
        <f t="shared" si="86"/>
        <v>1.1499999999999997</v>
      </c>
      <c r="AD28" s="122">
        <f t="shared" si="86"/>
        <v>1.1499999999999997</v>
      </c>
      <c r="AE28" s="122">
        <f t="shared" si="86"/>
        <v>1.1499999999999997</v>
      </c>
      <c r="AF28" s="122">
        <f t="shared" si="86"/>
        <v>1.1499999999999997</v>
      </c>
      <c r="AG28" s="122">
        <f t="shared" si="86"/>
        <v>1.1499999999999997</v>
      </c>
      <c r="AH28" s="122">
        <f t="shared" si="86"/>
        <v>1.1499999999999997</v>
      </c>
      <c r="AI28" s="122">
        <f t="shared" si="86"/>
        <v>1.1499999999999997</v>
      </c>
      <c r="AJ28" s="122">
        <f t="shared" si="86"/>
        <v>1.1499999999999997</v>
      </c>
      <c r="AK28" s="122">
        <f t="shared" si="86"/>
        <v>1.1499999999999997</v>
      </c>
      <c r="AL28" s="122">
        <f t="shared" si="86"/>
        <v>1.1499999999999997</v>
      </c>
      <c r="AM28" s="122">
        <f t="shared" ref="AM28:AM29" si="87">AL28</f>
        <v>1.1499999999999997</v>
      </c>
      <c r="AN28" s="122">
        <f t="shared" ref="AN28:AN29" si="88">AM28</f>
        <v>1.1499999999999997</v>
      </c>
      <c r="AO28" s="122">
        <f t="shared" ref="AO28:AO29" si="89">AN28</f>
        <v>1.1499999999999997</v>
      </c>
      <c r="AP28" s="122">
        <f t="shared" ref="AP28:AP29" si="90">AO28</f>
        <v>1.1499999999999997</v>
      </c>
      <c r="AQ28" s="122">
        <f t="shared" ref="AQ28:AQ29" si="91">AP28</f>
        <v>1.1499999999999997</v>
      </c>
      <c r="AR28" s="122">
        <f t="shared" ref="AR28:AR29" si="92">AQ28</f>
        <v>1.1499999999999997</v>
      </c>
      <c r="AS28" s="122">
        <f t="shared" ref="AS28:AS29" si="93">AR28</f>
        <v>1.1499999999999997</v>
      </c>
      <c r="AT28" s="122">
        <f t="shared" ref="AT28:AT29" si="94">AS28</f>
        <v>1.1499999999999997</v>
      </c>
      <c r="AU28" s="122">
        <f t="shared" ref="AU28:AU29" si="95">AT28</f>
        <v>1.1499999999999997</v>
      </c>
      <c r="AV28" s="122">
        <f t="shared" ref="AV28:AV29" si="96">AU28</f>
        <v>1.1499999999999997</v>
      </c>
      <c r="AW28" s="122">
        <f t="shared" ref="AW28:AW29" si="97">AV28</f>
        <v>1.1499999999999997</v>
      </c>
      <c r="AX28" s="122">
        <f t="shared" ref="AX28:AX29" si="98">AW28</f>
        <v>1.1499999999999997</v>
      </c>
    </row>
    <row r="29" spans="1:50" ht="24" customHeight="1" x14ac:dyDescent="0.35">
      <c r="A29" s="141"/>
      <c r="B29" s="76" t="s">
        <v>42</v>
      </c>
      <c r="C29" s="72">
        <f ca="1">$A$29 - (ROUND($C$30,0)-ROUND(C30,0))*10</f>
        <v>0</v>
      </c>
      <c r="D29" s="72">
        <f t="shared" ref="D29:AL29" ca="1" si="99">$A$29 - (ROUND($C$30,0)-ROUND(D30,0))*10</f>
        <v>-30</v>
      </c>
      <c r="E29" s="72">
        <f t="shared" ca="1" si="99"/>
        <v>-20</v>
      </c>
      <c r="F29" s="72">
        <f t="shared" ca="1" si="99"/>
        <v>-10</v>
      </c>
      <c r="G29" s="72">
        <f t="shared" ca="1" si="99"/>
        <v>-30</v>
      </c>
      <c r="H29" s="72">
        <f t="shared" ca="1" si="99"/>
        <v>-20</v>
      </c>
      <c r="I29" s="72">
        <f t="shared" ca="1" si="99"/>
        <v>-20</v>
      </c>
      <c r="J29" s="72">
        <f t="shared" ca="1" si="99"/>
        <v>0</v>
      </c>
      <c r="K29" s="72">
        <f t="shared" ca="1" si="99"/>
        <v>-10</v>
      </c>
      <c r="L29" s="72">
        <f t="shared" ca="1" si="99"/>
        <v>-10</v>
      </c>
      <c r="M29" s="72">
        <f t="shared" ca="1" si="99"/>
        <v>-20</v>
      </c>
      <c r="N29" s="72">
        <f t="shared" ca="1" si="99"/>
        <v>0</v>
      </c>
      <c r="O29" s="72">
        <f t="shared" ca="1" si="99"/>
        <v>0</v>
      </c>
      <c r="P29" s="72">
        <f t="shared" ca="1" si="99"/>
        <v>-10</v>
      </c>
      <c r="Q29" s="72">
        <f t="shared" ca="1" si="99"/>
        <v>-20</v>
      </c>
      <c r="R29" s="72">
        <f t="shared" ca="1" si="99"/>
        <v>-10</v>
      </c>
      <c r="S29" s="72">
        <f t="shared" ca="1" si="99"/>
        <v>-30</v>
      </c>
      <c r="T29" s="72">
        <f t="shared" ca="1" si="99"/>
        <v>-20</v>
      </c>
      <c r="U29" s="72">
        <f t="shared" ca="1" si="99"/>
        <v>-20</v>
      </c>
      <c r="V29" s="72">
        <f t="shared" ca="1" si="99"/>
        <v>-20</v>
      </c>
      <c r="W29" s="72">
        <f t="shared" ca="1" si="99"/>
        <v>-20</v>
      </c>
      <c r="X29" s="72">
        <f t="shared" ca="1" si="99"/>
        <v>-30</v>
      </c>
      <c r="Y29" s="72">
        <f t="shared" ca="1" si="99"/>
        <v>-20</v>
      </c>
      <c r="Z29" s="72">
        <f t="shared" ca="1" si="99"/>
        <v>-10</v>
      </c>
      <c r="AA29" s="72">
        <f t="shared" ca="1" si="99"/>
        <v>0</v>
      </c>
      <c r="AB29" s="72">
        <f t="shared" ca="1" si="99"/>
        <v>0</v>
      </c>
      <c r="AC29" s="72">
        <f t="shared" ca="1" si="99"/>
        <v>-20</v>
      </c>
      <c r="AD29" s="72">
        <f t="shared" ca="1" si="99"/>
        <v>-30</v>
      </c>
      <c r="AE29" s="72">
        <f t="shared" ca="1" si="99"/>
        <v>-10</v>
      </c>
      <c r="AF29" s="72">
        <f t="shared" ca="1" si="99"/>
        <v>-10</v>
      </c>
      <c r="AG29" s="72">
        <f t="shared" ca="1" si="99"/>
        <v>-20</v>
      </c>
      <c r="AH29" s="72">
        <f t="shared" ca="1" si="99"/>
        <v>-30</v>
      </c>
      <c r="AI29" s="72">
        <f t="shared" ca="1" si="99"/>
        <v>-10</v>
      </c>
      <c r="AJ29" s="72">
        <f t="shared" ca="1" si="99"/>
        <v>-10</v>
      </c>
      <c r="AK29" s="72">
        <f t="shared" ca="1" si="99"/>
        <v>0</v>
      </c>
      <c r="AL29" s="72">
        <f t="shared" ca="1" si="99"/>
        <v>0</v>
      </c>
      <c r="AM29" s="72">
        <f t="shared" ref="AM29" ca="1" si="100">$A$29 - (ROUND($C$30,0)-ROUND(AM30,0))*10</f>
        <v>-10</v>
      </c>
      <c r="AN29" s="72">
        <f t="shared" ref="AN29" ca="1" si="101">$A$29 - (ROUND($C$30,0)-ROUND(AN30,0))*10</f>
        <v>0</v>
      </c>
      <c r="AO29" s="72">
        <f t="shared" ref="AO29" ca="1" si="102">$A$29 - (ROUND($C$30,0)-ROUND(AO30,0))*10</f>
        <v>0</v>
      </c>
      <c r="AP29" s="72">
        <f t="shared" ref="AP29" ca="1" si="103">$A$29 - (ROUND($C$30,0)-ROUND(AP30,0))*10</f>
        <v>0</v>
      </c>
      <c r="AQ29" s="72">
        <f t="shared" ref="AQ29" ca="1" si="104">$A$29 - (ROUND($C$30,0)-ROUND(AQ30,0))*10</f>
        <v>0</v>
      </c>
      <c r="AR29" s="72">
        <f t="shared" ref="AR29" ca="1" si="105">$A$29 - (ROUND($C$30,0)-ROUND(AR30,0))*10</f>
        <v>0</v>
      </c>
      <c r="AS29" s="72">
        <f t="shared" ref="AS29" ca="1" si="106">$A$29 - (ROUND($C$30,0)-ROUND(AS30,0))*10</f>
        <v>10</v>
      </c>
      <c r="AT29" s="72">
        <f t="shared" ref="AT29" ca="1" si="107">$A$29 - (ROUND($C$30,0)-ROUND(AT30,0))*10</f>
        <v>10</v>
      </c>
      <c r="AU29" s="72">
        <f t="shared" ref="AU29" ca="1" si="108">$A$29 - (ROUND($C$30,0)-ROUND(AU30,0))*10</f>
        <v>10</v>
      </c>
      <c r="AV29" s="72">
        <f t="shared" ref="AV29" ca="1" si="109">$A$29 - (ROUND($C$30,0)-ROUND(AV30,0))*10</f>
        <v>10</v>
      </c>
      <c r="AW29" s="72">
        <f t="shared" ref="AW29" ca="1" si="110">$A$29 - (ROUND($C$30,0)-ROUND(AW30,0))*10</f>
        <v>20</v>
      </c>
      <c r="AX29" s="72">
        <f t="shared" ref="AX29" ca="1" si="111">$A$29 - (ROUND($C$30,0)-ROUND(AX30,0))*10</f>
        <v>20</v>
      </c>
    </row>
    <row r="30" spans="1:50" ht="18.75" x14ac:dyDescent="0.35">
      <c r="A30" s="113"/>
      <c r="B30" s="95" t="s">
        <v>45</v>
      </c>
      <c r="C30" s="123">
        <f t="shared" ref="C30:AL30" ca="1" si="112">(C21/C31)/31</f>
        <v>8.8563837307152866</v>
      </c>
      <c r="D30" s="123">
        <f t="shared" ca="1" si="112"/>
        <v>6.1395677419354833</v>
      </c>
      <c r="E30" s="123">
        <f t="shared" ca="1" si="112"/>
        <v>6.6164818768328439</v>
      </c>
      <c r="F30" s="123">
        <f t="shared" ca="1" si="112"/>
        <v>7.9149671874455105</v>
      </c>
      <c r="G30" s="123">
        <f t="shared" ca="1" si="112"/>
        <v>6.15275021032258</v>
      </c>
      <c r="H30" s="123">
        <f t="shared" ca="1" si="112"/>
        <v>7.2625018127225793</v>
      </c>
      <c r="I30" s="123">
        <f t="shared" ca="1" si="112"/>
        <v>7.2351797684095915</v>
      </c>
      <c r="J30" s="123">
        <f t="shared" ca="1" si="112"/>
        <v>8.8146614423034517</v>
      </c>
      <c r="K30" s="123">
        <f t="shared" ca="1" si="112"/>
        <v>7.8974032566999091</v>
      </c>
      <c r="L30" s="123">
        <f t="shared" ca="1" si="112"/>
        <v>7.9073478998621258</v>
      </c>
      <c r="M30" s="123">
        <f t="shared" ca="1" si="112"/>
        <v>6.6297042796888901</v>
      </c>
      <c r="N30" s="123">
        <f t="shared" ca="1" si="112"/>
        <v>8.8874628170721124</v>
      </c>
      <c r="O30" s="123">
        <f t="shared" ca="1" si="112"/>
        <v>8.8073816480486418</v>
      </c>
      <c r="P30" s="123">
        <f t="shared" ca="1" si="112"/>
        <v>7.9473591087646218</v>
      </c>
      <c r="Q30" s="123">
        <f t="shared" ca="1" si="112"/>
        <v>6.6325773430268953</v>
      </c>
      <c r="R30" s="123">
        <f t="shared" ca="1" si="112"/>
        <v>7.9959161343441725</v>
      </c>
      <c r="S30" s="123">
        <f t="shared" ca="1" si="112"/>
        <v>6.1387086475226535</v>
      </c>
      <c r="T30" s="123">
        <f t="shared" ca="1" si="112"/>
        <v>7.233824053536333</v>
      </c>
      <c r="U30" s="123">
        <f t="shared" ca="1" si="112"/>
        <v>6.6442634869350687</v>
      </c>
      <c r="V30" s="123">
        <f t="shared" ca="1" si="112"/>
        <v>6.6634432375938486</v>
      </c>
      <c r="W30" s="123">
        <f t="shared" ca="1" si="112"/>
        <v>7.2544403248735074</v>
      </c>
      <c r="X30" s="123">
        <f t="shared" ca="1" si="112"/>
        <v>6.1486290172018805</v>
      </c>
      <c r="Y30" s="123">
        <f t="shared" ca="1" si="112"/>
        <v>6.651042681716774</v>
      </c>
      <c r="Z30" s="123">
        <f t="shared" ca="1" si="112"/>
        <v>7.9772633429822886</v>
      </c>
      <c r="AA30" s="123">
        <f t="shared" ca="1" si="112"/>
        <v>8.8608751485883843</v>
      </c>
      <c r="AB30" s="123">
        <f t="shared" ca="1" si="112"/>
        <v>8.8639853228092385</v>
      </c>
      <c r="AC30" s="123">
        <f t="shared" ca="1" si="112"/>
        <v>6.6497821604690994</v>
      </c>
      <c r="AD30" s="123">
        <f t="shared" ca="1" si="112"/>
        <v>6.1420517446863894</v>
      </c>
      <c r="AE30" s="123">
        <f t="shared" ca="1" si="112"/>
        <v>7.9951638448137832</v>
      </c>
      <c r="AF30" s="123">
        <f t="shared" ca="1" si="112"/>
        <v>7.9912360967408027</v>
      </c>
      <c r="AG30" s="123">
        <f t="shared" ca="1" si="112"/>
        <v>6.6663545556978807</v>
      </c>
      <c r="AH30" s="123">
        <f t="shared" ca="1" si="112"/>
        <v>6.1506242481159159</v>
      </c>
      <c r="AI30" s="123">
        <f t="shared" ca="1" si="112"/>
        <v>7.9873060164838003</v>
      </c>
      <c r="AJ30" s="123">
        <f t="shared" ca="1" si="112"/>
        <v>7.9821060301559283</v>
      </c>
      <c r="AK30" s="123">
        <f t="shared" ca="1" si="112"/>
        <v>8.8761250958672644</v>
      </c>
      <c r="AL30" s="123">
        <f t="shared" ca="1" si="112"/>
        <v>8.8882071070043391</v>
      </c>
      <c r="AM30" s="123">
        <f t="shared" ref="AM30" ca="1" si="113">(AM21/AM31)/31</f>
        <v>8.4242311855444374</v>
      </c>
      <c r="AN30" s="123">
        <f t="shared" ref="AN30" ca="1" si="114">(AN21/AN31)/31</f>
        <v>8.6028151245647511</v>
      </c>
      <c r="AO30" s="123">
        <f t="shared" ref="AO30" ca="1" si="115">(AO21/AO31)/31</f>
        <v>8.7912713729656744</v>
      </c>
      <c r="AP30" s="123">
        <f t="shared" ref="AP30" ca="1" si="116">(AP21/AP31)/31</f>
        <v>8.9899301765989517</v>
      </c>
      <c r="AQ30" s="123">
        <f t="shared" ref="AQ30" ca="1" si="117">(AQ21/AQ31)/31</f>
        <v>9.1990959013811473</v>
      </c>
      <c r="AR30" s="123">
        <f t="shared" ref="AR30" ca="1" si="118">(AR21/AR31)/31</f>
        <v>9.4190641070967214</v>
      </c>
      <c r="AS30" s="123">
        <f t="shared" ref="AS30" ca="1" si="119">(AS21/AS31)/31</f>
        <v>9.6501328661606323</v>
      </c>
      <c r="AT30" s="123">
        <f t="shared" ref="AT30" ca="1" si="120">(AT21/AT31)/31</f>
        <v>9.8926102778323965</v>
      </c>
      <c r="AU30" s="123">
        <f t="shared" ref="AU30" ca="1" si="121">(AU21/AU31)/31</f>
        <v>10.146819477175926</v>
      </c>
      <c r="AV30" s="123">
        <f t="shared" ref="AV30" ca="1" si="122">(AV21/AV31)/31</f>
        <v>10.413102004591421</v>
      </c>
      <c r="AW30" s="123">
        <f t="shared" ref="AW30" ca="1" si="123">(AW21/AW31)/31</f>
        <v>10.691820112860627</v>
      </c>
      <c r="AX30" s="123">
        <f t="shared" ref="AX30" ca="1" si="124">(AX21/AX31)/31</f>
        <v>10.983358395951489</v>
      </c>
    </row>
    <row r="31" spans="1:50" ht="18.75" x14ac:dyDescent="0.35">
      <c r="A31" s="141">
        <v>95</v>
      </c>
      <c r="B31" s="76" t="s">
        <v>43</v>
      </c>
      <c r="C31" s="123">
        <v>115</v>
      </c>
      <c r="D31" s="123">
        <v>128</v>
      </c>
      <c r="E31" s="123">
        <v>99</v>
      </c>
      <c r="F31" s="123">
        <v>74</v>
      </c>
      <c r="G31" s="123">
        <v>90</v>
      </c>
      <c r="H31" s="123">
        <v>75</v>
      </c>
      <c r="I31" s="123">
        <v>76</v>
      </c>
      <c r="J31" s="123">
        <v>64</v>
      </c>
      <c r="K31" s="123">
        <v>74</v>
      </c>
      <c r="L31" s="123">
        <v>77</v>
      </c>
      <c r="M31" s="123">
        <v>96</v>
      </c>
      <c r="N31" s="123">
        <v>75</v>
      </c>
      <c r="O31" s="123">
        <v>87</v>
      </c>
      <c r="P31" s="123">
        <v>104</v>
      </c>
      <c r="Q31" s="123">
        <v>133</v>
      </c>
      <c r="R31" s="123">
        <v>117</v>
      </c>
      <c r="S31" s="123">
        <v>161</v>
      </c>
      <c r="T31" s="123">
        <v>144</v>
      </c>
      <c r="U31" s="123">
        <v>165</v>
      </c>
      <c r="V31" s="123">
        <v>173</v>
      </c>
      <c r="W31" s="123">
        <v>167</v>
      </c>
      <c r="X31" s="123">
        <v>207</v>
      </c>
      <c r="Y31" s="123">
        <v>201</v>
      </c>
      <c r="Z31" s="123">
        <v>176</v>
      </c>
      <c r="AA31" s="123">
        <v>184</v>
      </c>
      <c r="AB31" s="123">
        <v>199</v>
      </c>
      <c r="AC31" s="123">
        <v>284</v>
      </c>
      <c r="AD31" s="123">
        <v>327</v>
      </c>
      <c r="AE31" s="123">
        <v>266</v>
      </c>
      <c r="AF31" s="123">
        <v>281</v>
      </c>
      <c r="AG31" s="123">
        <v>355</v>
      </c>
      <c r="AH31" s="123">
        <v>405</v>
      </c>
      <c r="AI31" s="123">
        <v>328</v>
      </c>
      <c r="AJ31" s="123">
        <v>345</v>
      </c>
      <c r="AK31" s="123">
        <v>326</v>
      </c>
      <c r="AL31" s="123">
        <v>342</v>
      </c>
      <c r="AM31" s="123">
        <v>379</v>
      </c>
      <c r="AN31" s="123">
        <v>389.77272727272702</v>
      </c>
      <c r="AO31" s="123">
        <v>400.54545454545502</v>
      </c>
      <c r="AP31" s="123">
        <v>411.31818181818198</v>
      </c>
      <c r="AQ31" s="123">
        <v>422.09090909090901</v>
      </c>
      <c r="AR31" s="123">
        <v>432.86363636363598</v>
      </c>
      <c r="AS31" s="123">
        <v>443.63636363636402</v>
      </c>
      <c r="AT31" s="123">
        <v>454.40909090909099</v>
      </c>
      <c r="AU31" s="123">
        <v>465.18181818181802</v>
      </c>
      <c r="AV31" s="123">
        <v>475.95454545454498</v>
      </c>
      <c r="AW31" s="123">
        <v>486.72727272727298</v>
      </c>
      <c r="AX31" s="123">
        <v>497.5</v>
      </c>
    </row>
    <row r="32" spans="1:50" ht="18.75" x14ac:dyDescent="0.35">
      <c r="A32" s="141">
        <v>8</v>
      </c>
      <c r="B32" s="76" t="s">
        <v>46</v>
      </c>
      <c r="C32" s="123">
        <f>$A$32</f>
        <v>8</v>
      </c>
      <c r="D32" s="123">
        <f t="shared" ref="D32:K32" si="125">$A$32</f>
        <v>8</v>
      </c>
      <c r="E32" s="123">
        <f t="shared" si="125"/>
        <v>8</v>
      </c>
      <c r="F32" s="123">
        <f t="shared" si="125"/>
        <v>8</v>
      </c>
      <c r="G32" s="123">
        <f t="shared" si="125"/>
        <v>8</v>
      </c>
      <c r="H32" s="123">
        <f t="shared" si="125"/>
        <v>8</v>
      </c>
      <c r="I32" s="123">
        <f t="shared" si="125"/>
        <v>8</v>
      </c>
      <c r="J32" s="123">
        <f t="shared" si="125"/>
        <v>8</v>
      </c>
      <c r="K32" s="123">
        <f t="shared" si="125"/>
        <v>8</v>
      </c>
      <c r="L32" s="123">
        <f>$A$32+1</f>
        <v>9</v>
      </c>
      <c r="M32" s="123">
        <f t="shared" ref="M32:P32" si="126">$A$32+1</f>
        <v>9</v>
      </c>
      <c r="N32" s="123">
        <f t="shared" si="126"/>
        <v>9</v>
      </c>
      <c r="O32" s="123">
        <f t="shared" si="126"/>
        <v>9</v>
      </c>
      <c r="P32" s="123">
        <f t="shared" si="126"/>
        <v>9</v>
      </c>
      <c r="Q32" s="123">
        <f>$A$32+2</f>
        <v>10</v>
      </c>
      <c r="R32" s="123">
        <f t="shared" ref="R32:W32" si="127">$A$32+2</f>
        <v>10</v>
      </c>
      <c r="S32" s="123">
        <f t="shared" si="127"/>
        <v>10</v>
      </c>
      <c r="T32" s="123">
        <f t="shared" si="127"/>
        <v>10</v>
      </c>
      <c r="U32" s="123">
        <f t="shared" si="127"/>
        <v>10</v>
      </c>
      <c r="V32" s="123">
        <f t="shared" si="127"/>
        <v>10</v>
      </c>
      <c r="W32" s="123">
        <f t="shared" si="127"/>
        <v>10</v>
      </c>
      <c r="X32" s="123">
        <f>$A$32+3</f>
        <v>11</v>
      </c>
      <c r="Y32" s="123">
        <f t="shared" ref="Y32:AD32" si="128">$A$32+3</f>
        <v>11</v>
      </c>
      <c r="Z32" s="123">
        <f t="shared" si="128"/>
        <v>11</v>
      </c>
      <c r="AA32" s="123">
        <f t="shared" si="128"/>
        <v>11</v>
      </c>
      <c r="AB32" s="123">
        <f t="shared" si="128"/>
        <v>11</v>
      </c>
      <c r="AC32" s="123">
        <f t="shared" si="128"/>
        <v>11</v>
      </c>
      <c r="AD32" s="123">
        <f t="shared" si="128"/>
        <v>11</v>
      </c>
      <c r="AE32" s="123">
        <f>$A$32+4</f>
        <v>12</v>
      </c>
      <c r="AF32" s="123">
        <f t="shared" ref="AF32:AL32" si="129">$A$32+4</f>
        <v>12</v>
      </c>
      <c r="AG32" s="123">
        <f t="shared" si="129"/>
        <v>12</v>
      </c>
      <c r="AH32" s="123">
        <f t="shared" si="129"/>
        <v>12</v>
      </c>
      <c r="AI32" s="123">
        <f t="shared" si="129"/>
        <v>12</v>
      </c>
      <c r="AJ32" s="123">
        <f t="shared" si="129"/>
        <v>12</v>
      </c>
      <c r="AK32" s="123">
        <f t="shared" si="129"/>
        <v>12</v>
      </c>
      <c r="AL32" s="123">
        <f t="shared" si="129"/>
        <v>12</v>
      </c>
      <c r="AM32" s="123">
        <f t="shared" ref="AM32:AX32" si="130">$A$32+3</f>
        <v>11</v>
      </c>
      <c r="AN32" s="123">
        <f t="shared" si="130"/>
        <v>11</v>
      </c>
      <c r="AO32" s="123">
        <f t="shared" si="130"/>
        <v>11</v>
      </c>
      <c r="AP32" s="123">
        <f t="shared" ref="AP32:AW32" si="131">$A$32+4</f>
        <v>12</v>
      </c>
      <c r="AQ32" s="123">
        <f t="shared" si="131"/>
        <v>12</v>
      </c>
      <c r="AR32" s="123">
        <f t="shared" si="131"/>
        <v>12</v>
      </c>
      <c r="AS32" s="123">
        <f t="shared" si="131"/>
        <v>12</v>
      </c>
      <c r="AT32" s="123">
        <f t="shared" si="131"/>
        <v>12</v>
      </c>
      <c r="AU32" s="123">
        <f t="shared" si="131"/>
        <v>12</v>
      </c>
      <c r="AV32" s="123">
        <f t="shared" si="131"/>
        <v>12</v>
      </c>
      <c r="AW32" s="123">
        <f t="shared" si="131"/>
        <v>12</v>
      </c>
      <c r="AX32" s="123">
        <f t="shared" si="130"/>
        <v>11</v>
      </c>
    </row>
    <row r="33" spans="1:50" ht="18.75" x14ac:dyDescent="0.35">
      <c r="A33" s="142">
        <v>14</v>
      </c>
      <c r="B33" s="76" t="s">
        <v>47</v>
      </c>
      <c r="C33" s="124">
        <f>$A$33</f>
        <v>14</v>
      </c>
      <c r="D33" s="124">
        <f t="shared" ref="D33:N33" si="132">$A$33</f>
        <v>14</v>
      </c>
      <c r="E33" s="124">
        <f t="shared" si="132"/>
        <v>14</v>
      </c>
      <c r="F33" s="124">
        <f t="shared" si="132"/>
        <v>14</v>
      </c>
      <c r="G33" s="124">
        <f t="shared" si="132"/>
        <v>14</v>
      </c>
      <c r="H33" s="124">
        <f t="shared" si="132"/>
        <v>14</v>
      </c>
      <c r="I33" s="124">
        <f t="shared" si="132"/>
        <v>14</v>
      </c>
      <c r="J33" s="124">
        <f t="shared" si="132"/>
        <v>14</v>
      </c>
      <c r="K33" s="124">
        <f t="shared" si="132"/>
        <v>14</v>
      </c>
      <c r="L33" s="124">
        <f t="shared" si="132"/>
        <v>14</v>
      </c>
      <c r="M33" s="124">
        <f t="shared" si="132"/>
        <v>14</v>
      </c>
      <c r="N33" s="124">
        <f t="shared" si="132"/>
        <v>14</v>
      </c>
      <c r="O33" s="124">
        <f>$A$33*105%</f>
        <v>14.700000000000001</v>
      </c>
      <c r="P33" s="124">
        <f t="shared" ref="P33:Z33" si="133">$A$33*105%</f>
        <v>14.700000000000001</v>
      </c>
      <c r="Q33" s="124">
        <f t="shared" si="133"/>
        <v>14.700000000000001</v>
      </c>
      <c r="R33" s="124">
        <f t="shared" si="133"/>
        <v>14.700000000000001</v>
      </c>
      <c r="S33" s="124">
        <f t="shared" si="133"/>
        <v>14.700000000000001</v>
      </c>
      <c r="T33" s="124">
        <f t="shared" si="133"/>
        <v>14.700000000000001</v>
      </c>
      <c r="U33" s="124">
        <f t="shared" si="133"/>
        <v>14.700000000000001</v>
      </c>
      <c r="V33" s="124">
        <f t="shared" si="133"/>
        <v>14.700000000000001</v>
      </c>
      <c r="W33" s="124">
        <f t="shared" si="133"/>
        <v>14.700000000000001</v>
      </c>
      <c r="X33" s="124">
        <f t="shared" si="133"/>
        <v>14.700000000000001</v>
      </c>
      <c r="Y33" s="124">
        <f t="shared" si="133"/>
        <v>14.700000000000001</v>
      </c>
      <c r="Z33" s="124">
        <f t="shared" si="133"/>
        <v>14.700000000000001</v>
      </c>
      <c r="AA33" s="124">
        <f>$A$33*112%</f>
        <v>15.680000000000001</v>
      </c>
      <c r="AB33" s="124">
        <f t="shared" ref="AB33:AX33" si="134">$A$33*112%</f>
        <v>15.680000000000001</v>
      </c>
      <c r="AC33" s="124">
        <f t="shared" si="134"/>
        <v>15.680000000000001</v>
      </c>
      <c r="AD33" s="124">
        <f t="shared" si="134"/>
        <v>15.680000000000001</v>
      </c>
      <c r="AE33" s="124">
        <f t="shared" si="134"/>
        <v>15.680000000000001</v>
      </c>
      <c r="AF33" s="124">
        <f t="shared" si="134"/>
        <v>15.680000000000001</v>
      </c>
      <c r="AG33" s="124">
        <f t="shared" si="134"/>
        <v>15.680000000000001</v>
      </c>
      <c r="AH33" s="124">
        <f t="shared" si="134"/>
        <v>15.680000000000001</v>
      </c>
      <c r="AI33" s="124">
        <f t="shared" si="134"/>
        <v>15.680000000000001</v>
      </c>
      <c r="AJ33" s="124">
        <f t="shared" si="134"/>
        <v>15.680000000000001</v>
      </c>
      <c r="AK33" s="124">
        <f t="shared" si="134"/>
        <v>15.680000000000001</v>
      </c>
      <c r="AL33" s="124">
        <f t="shared" si="134"/>
        <v>15.680000000000001</v>
      </c>
      <c r="AM33" s="124">
        <f t="shared" si="134"/>
        <v>15.680000000000001</v>
      </c>
      <c r="AN33" s="124">
        <f t="shared" si="134"/>
        <v>15.680000000000001</v>
      </c>
      <c r="AO33" s="124">
        <f t="shared" si="134"/>
        <v>15.680000000000001</v>
      </c>
      <c r="AP33" s="124">
        <f t="shared" si="134"/>
        <v>15.680000000000001</v>
      </c>
      <c r="AQ33" s="124">
        <f t="shared" si="134"/>
        <v>15.680000000000001</v>
      </c>
      <c r="AR33" s="124">
        <f t="shared" si="134"/>
        <v>15.680000000000001</v>
      </c>
      <c r="AS33" s="124">
        <f t="shared" si="134"/>
        <v>15.680000000000001</v>
      </c>
      <c r="AT33" s="124">
        <f t="shared" si="134"/>
        <v>15.680000000000001</v>
      </c>
      <c r="AU33" s="124">
        <f t="shared" si="134"/>
        <v>15.680000000000001</v>
      </c>
      <c r="AV33" s="124">
        <f t="shared" si="134"/>
        <v>15.680000000000001</v>
      </c>
      <c r="AW33" s="124">
        <f t="shared" si="134"/>
        <v>15.680000000000001</v>
      </c>
      <c r="AX33" s="124">
        <f t="shared" si="134"/>
        <v>15.680000000000001</v>
      </c>
    </row>
    <row r="34" spans="1:50" ht="18.75" x14ac:dyDescent="0.35">
      <c r="A34" s="113"/>
      <c r="B34" s="113"/>
      <c r="C34" s="131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</row>
    <row r="35" spans="1:50" ht="26.45" customHeight="1" x14ac:dyDescent="0.35">
      <c r="A35" s="113"/>
      <c r="B35" s="109" t="s">
        <v>91</v>
      </c>
      <c r="C35" s="110">
        <f ca="1">SUM(C36:C41)</f>
        <v>157924.11200000002</v>
      </c>
      <c r="D35" s="110">
        <f t="shared" ref="D35:AL35" ca="1" si="135">SUM(D36:D41)</f>
        <v>142918.46720000001</v>
      </c>
      <c r="E35" s="110">
        <f t="shared" ca="1" si="135"/>
        <v>134912.39012</v>
      </c>
      <c r="F35" s="110">
        <f t="shared" ca="1" si="135"/>
        <v>131664.552452</v>
      </c>
      <c r="G35" s="110">
        <f t="shared" ca="1" si="135"/>
        <v>131303.97193669999</v>
      </c>
      <c r="H35" s="110">
        <f t="shared" ca="1" si="135"/>
        <v>132723.95867882</v>
      </c>
      <c r="I35" s="110">
        <f t="shared" ca="1" si="135"/>
        <v>135271.28431127826</v>
      </c>
      <c r="J35" s="110">
        <f t="shared" ca="1" si="135"/>
        <v>138561.78157701806</v>
      </c>
      <c r="K35" s="110">
        <f t="shared" ca="1" si="135"/>
        <v>142370.96506608455</v>
      </c>
      <c r="L35" s="110">
        <f t="shared" ca="1" si="135"/>
        <v>151517.8496640636</v>
      </c>
      <c r="M35" s="110">
        <f t="shared" ca="1" si="135"/>
        <v>156630.14395407168</v>
      </c>
      <c r="N35" s="110">
        <f t="shared" ca="1" si="135"/>
        <v>162074.89223585819</v>
      </c>
      <c r="O35" s="110">
        <f t="shared" ca="1" si="135"/>
        <v>177996.37896281516</v>
      </c>
      <c r="P35" s="110">
        <f t="shared" ca="1" si="135"/>
        <v>185953.34951069357</v>
      </c>
      <c r="Q35" s="110">
        <f t="shared" ca="1" si="135"/>
        <v>198418.28802605774</v>
      </c>
      <c r="R35" s="110">
        <f t="shared" ca="1" si="135"/>
        <v>206324.05110324983</v>
      </c>
      <c r="S35" s="110">
        <f t="shared" ca="1" si="135"/>
        <v>214409.67779774027</v>
      </c>
      <c r="T35" s="110">
        <f t="shared" ca="1" si="135"/>
        <v>222759.55987819046</v>
      </c>
      <c r="U35" s="110">
        <f t="shared" ca="1" si="135"/>
        <v>231435.91919596604</v>
      </c>
      <c r="V35" s="110">
        <f t="shared" ca="1" si="135"/>
        <v>240486.93551627727</v>
      </c>
      <c r="W35" s="110">
        <f t="shared" ca="1" si="135"/>
        <v>249952.04802642454</v>
      </c>
      <c r="X35" s="110">
        <f t="shared" ca="1" si="135"/>
        <v>264485.42065506248</v>
      </c>
      <c r="Y35" s="110">
        <f t="shared" ca="1" si="135"/>
        <v>274878.21483557147</v>
      </c>
      <c r="Z35" s="110">
        <f t="shared" ca="1" si="135"/>
        <v>285780.08812339138</v>
      </c>
      <c r="AA35" s="110">
        <f t="shared" ca="1" si="135"/>
        <v>318058.32103134121</v>
      </c>
      <c r="AB35" s="110">
        <f t="shared" ca="1" si="135"/>
        <v>334358.47948603379</v>
      </c>
      <c r="AC35" s="110">
        <f t="shared" ca="1" si="135"/>
        <v>350455.3056425234</v>
      </c>
      <c r="AD35" s="110">
        <f t="shared" ca="1" si="135"/>
        <v>366644.13495218108</v>
      </c>
      <c r="AE35" s="110">
        <f t="shared" ca="1" si="135"/>
        <v>387983.41901906219</v>
      </c>
      <c r="AF35" s="110">
        <f t="shared" ca="1" si="135"/>
        <v>404958.37659350573</v>
      </c>
      <c r="AG35" s="110">
        <f t="shared" ca="1" si="135"/>
        <v>422537.57855962426</v>
      </c>
      <c r="AH35" s="110">
        <f t="shared" ca="1" si="135"/>
        <v>440824.58818311582</v>
      </c>
      <c r="AI35" s="110">
        <f t="shared" ca="1" si="135"/>
        <v>459906.14157912886</v>
      </c>
      <c r="AJ35" s="110">
        <f t="shared" ca="1" si="135"/>
        <v>479857.90794888535</v>
      </c>
      <c r="AK35" s="110">
        <f t="shared" ca="1" si="135"/>
        <v>500748.55734988971</v>
      </c>
      <c r="AL35" s="110">
        <f t="shared" ca="1" si="135"/>
        <v>522642.64551987615</v>
      </c>
      <c r="AM35" s="110">
        <f t="shared" ref="AM35:AX35" ca="1" si="136">SUM(AM36:AM41)</f>
        <v>540762.67250761436</v>
      </c>
      <c r="AN35" s="110">
        <f t="shared" ca="1" si="136"/>
        <v>564850.56493121618</v>
      </c>
      <c r="AO35" s="110">
        <f t="shared" ca="1" si="136"/>
        <v>590128.7568365318</v>
      </c>
      <c r="AP35" s="110">
        <f t="shared" ca="1" si="136"/>
        <v>621500.99173948681</v>
      </c>
      <c r="AQ35" s="110">
        <f t="shared" ca="1" si="136"/>
        <v>649352.93176925089</v>
      </c>
      <c r="AR35" s="110">
        <f t="shared" ca="1" si="136"/>
        <v>678592.63416766631</v>
      </c>
      <c r="AS35" s="110">
        <f t="shared" ca="1" si="136"/>
        <v>709290.93744301656</v>
      </c>
      <c r="AT35" s="110">
        <f t="shared" ca="1" si="136"/>
        <v>741521.78691204439</v>
      </c>
      <c r="AU35" s="110">
        <f t="shared" ca="1" si="136"/>
        <v>775362.5205754604</v>
      </c>
      <c r="AV35" s="110">
        <f t="shared" ca="1" si="136"/>
        <v>810894.13012670306</v>
      </c>
      <c r="AW35" s="110">
        <f t="shared" ca="1" si="136"/>
        <v>848201.50759876706</v>
      </c>
      <c r="AX35" s="110">
        <f t="shared" ca="1" si="136"/>
        <v>882533.68515471555</v>
      </c>
    </row>
    <row r="36" spans="1:50" ht="18.75" x14ac:dyDescent="0.35">
      <c r="A36" s="139">
        <v>5300</v>
      </c>
      <c r="B36" s="76" t="s">
        <v>95</v>
      </c>
      <c r="C36" s="125">
        <f>$A$36</f>
        <v>5300</v>
      </c>
      <c r="D36" s="125">
        <f t="shared" ref="D36:M36" si="137">$A$36</f>
        <v>5300</v>
      </c>
      <c r="E36" s="125">
        <f t="shared" si="137"/>
        <v>5300</v>
      </c>
      <c r="F36" s="125">
        <f t="shared" si="137"/>
        <v>5300</v>
      </c>
      <c r="G36" s="125">
        <f t="shared" si="137"/>
        <v>5300</v>
      </c>
      <c r="H36" s="125">
        <f t="shared" si="137"/>
        <v>5300</v>
      </c>
      <c r="I36" s="125">
        <f t="shared" si="137"/>
        <v>5300</v>
      </c>
      <c r="J36" s="125">
        <f t="shared" si="137"/>
        <v>5300</v>
      </c>
      <c r="K36" s="125">
        <f t="shared" si="137"/>
        <v>5300</v>
      </c>
      <c r="L36" s="125">
        <f t="shared" si="137"/>
        <v>5300</v>
      </c>
      <c r="M36" s="125">
        <f t="shared" si="137"/>
        <v>5300</v>
      </c>
      <c r="N36" s="125">
        <f>$A$36</f>
        <v>5300</v>
      </c>
      <c r="O36" s="125">
        <f>$A$36*110%</f>
        <v>5830.0000000000009</v>
      </c>
      <c r="P36" s="125">
        <f t="shared" ref="P36:Z36" si="138">$A$36*110%</f>
        <v>5830.0000000000009</v>
      </c>
      <c r="Q36" s="125">
        <f t="shared" si="138"/>
        <v>5830.0000000000009</v>
      </c>
      <c r="R36" s="125">
        <f t="shared" si="138"/>
        <v>5830.0000000000009</v>
      </c>
      <c r="S36" s="125">
        <f t="shared" si="138"/>
        <v>5830.0000000000009</v>
      </c>
      <c r="T36" s="125">
        <f t="shared" si="138"/>
        <v>5830.0000000000009</v>
      </c>
      <c r="U36" s="125">
        <f t="shared" si="138"/>
        <v>5830.0000000000009</v>
      </c>
      <c r="V36" s="125">
        <f t="shared" si="138"/>
        <v>5830.0000000000009</v>
      </c>
      <c r="W36" s="125">
        <f t="shared" si="138"/>
        <v>5830.0000000000009</v>
      </c>
      <c r="X36" s="125">
        <f t="shared" si="138"/>
        <v>5830.0000000000009</v>
      </c>
      <c r="Y36" s="125">
        <f t="shared" si="138"/>
        <v>5830.0000000000009</v>
      </c>
      <c r="Z36" s="125">
        <f t="shared" si="138"/>
        <v>5830.0000000000009</v>
      </c>
      <c r="AA36" s="125">
        <f>$A$36*115%</f>
        <v>6094.9999999999991</v>
      </c>
      <c r="AB36" s="125">
        <f t="shared" ref="AB36:AX36" si="139">$A$36*115%</f>
        <v>6094.9999999999991</v>
      </c>
      <c r="AC36" s="125">
        <f t="shared" si="139"/>
        <v>6094.9999999999991</v>
      </c>
      <c r="AD36" s="125">
        <f t="shared" si="139"/>
        <v>6094.9999999999991</v>
      </c>
      <c r="AE36" s="125">
        <f t="shared" si="139"/>
        <v>6094.9999999999991</v>
      </c>
      <c r="AF36" s="125">
        <f t="shared" si="139"/>
        <v>6094.9999999999991</v>
      </c>
      <c r="AG36" s="125">
        <f t="shared" si="139"/>
        <v>6094.9999999999991</v>
      </c>
      <c r="AH36" s="125">
        <f t="shared" si="139"/>
        <v>6094.9999999999991</v>
      </c>
      <c r="AI36" s="125">
        <f t="shared" si="139"/>
        <v>6094.9999999999991</v>
      </c>
      <c r="AJ36" s="125">
        <f t="shared" si="139"/>
        <v>6094.9999999999991</v>
      </c>
      <c r="AK36" s="125">
        <f t="shared" si="139"/>
        <v>6094.9999999999991</v>
      </c>
      <c r="AL36" s="125">
        <f t="shared" si="139"/>
        <v>6094.9999999999991</v>
      </c>
      <c r="AM36" s="125">
        <f t="shared" si="139"/>
        <v>6094.9999999999991</v>
      </c>
      <c r="AN36" s="125">
        <f t="shared" si="139"/>
        <v>6094.9999999999991</v>
      </c>
      <c r="AO36" s="125">
        <f t="shared" si="139"/>
        <v>6094.9999999999991</v>
      </c>
      <c r="AP36" s="125">
        <f t="shared" si="139"/>
        <v>6094.9999999999991</v>
      </c>
      <c r="AQ36" s="125">
        <f t="shared" si="139"/>
        <v>6094.9999999999991</v>
      </c>
      <c r="AR36" s="125">
        <f t="shared" si="139"/>
        <v>6094.9999999999991</v>
      </c>
      <c r="AS36" s="125">
        <f t="shared" si="139"/>
        <v>6094.9999999999991</v>
      </c>
      <c r="AT36" s="125">
        <f t="shared" si="139"/>
        <v>6094.9999999999991</v>
      </c>
      <c r="AU36" s="125">
        <f t="shared" si="139"/>
        <v>6094.9999999999991</v>
      </c>
      <c r="AV36" s="125">
        <f t="shared" si="139"/>
        <v>6094.9999999999991</v>
      </c>
      <c r="AW36" s="125">
        <f t="shared" si="139"/>
        <v>6094.9999999999991</v>
      </c>
      <c r="AX36" s="125">
        <f t="shared" si="139"/>
        <v>6094.9999999999991</v>
      </c>
    </row>
    <row r="37" spans="1:50" ht="18.75" x14ac:dyDescent="0.35">
      <c r="A37" s="139">
        <v>4000</v>
      </c>
      <c r="B37" s="76" t="s">
        <v>119</v>
      </c>
      <c r="C37" s="125">
        <f>$A$37*C32</f>
        <v>32000</v>
      </c>
      <c r="D37" s="125">
        <f t="shared" ref="D37:N37" si="140">$A$37*D32</f>
        <v>32000</v>
      </c>
      <c r="E37" s="125">
        <f t="shared" si="140"/>
        <v>32000</v>
      </c>
      <c r="F37" s="125">
        <f t="shared" si="140"/>
        <v>32000</v>
      </c>
      <c r="G37" s="125">
        <f t="shared" si="140"/>
        <v>32000</v>
      </c>
      <c r="H37" s="125">
        <f t="shared" si="140"/>
        <v>32000</v>
      </c>
      <c r="I37" s="125">
        <f t="shared" si="140"/>
        <v>32000</v>
      </c>
      <c r="J37" s="125">
        <f t="shared" si="140"/>
        <v>32000</v>
      </c>
      <c r="K37" s="125">
        <f t="shared" si="140"/>
        <v>32000</v>
      </c>
      <c r="L37" s="125">
        <f t="shared" si="140"/>
        <v>36000</v>
      </c>
      <c r="M37" s="125">
        <f t="shared" si="140"/>
        <v>36000</v>
      </c>
      <c r="N37" s="125">
        <f t="shared" si="140"/>
        <v>36000</v>
      </c>
      <c r="O37" s="125">
        <f>$A$37*O32*105%</f>
        <v>37800</v>
      </c>
      <c r="P37" s="125">
        <f t="shared" ref="P37:Z37" si="141">$A$37*P32*105%</f>
        <v>37800</v>
      </c>
      <c r="Q37" s="125">
        <f t="shared" si="141"/>
        <v>42000</v>
      </c>
      <c r="R37" s="125">
        <f t="shared" si="141"/>
        <v>42000</v>
      </c>
      <c r="S37" s="125">
        <f t="shared" si="141"/>
        <v>42000</v>
      </c>
      <c r="T37" s="125">
        <f t="shared" si="141"/>
        <v>42000</v>
      </c>
      <c r="U37" s="125">
        <f t="shared" si="141"/>
        <v>42000</v>
      </c>
      <c r="V37" s="125">
        <f t="shared" si="141"/>
        <v>42000</v>
      </c>
      <c r="W37" s="125">
        <f t="shared" si="141"/>
        <v>42000</v>
      </c>
      <c r="X37" s="125">
        <f t="shared" si="141"/>
        <v>46200</v>
      </c>
      <c r="Y37" s="125">
        <f t="shared" si="141"/>
        <v>46200</v>
      </c>
      <c r="Z37" s="125">
        <f t="shared" si="141"/>
        <v>46200</v>
      </c>
      <c r="AA37" s="125">
        <f>$A$37*AA32*110%</f>
        <v>48400.000000000007</v>
      </c>
      <c r="AB37" s="125">
        <f t="shared" ref="AB37:AL37" si="142">$A$37*AB32*110%</f>
        <v>48400.000000000007</v>
      </c>
      <c r="AC37" s="125">
        <f t="shared" si="142"/>
        <v>48400.000000000007</v>
      </c>
      <c r="AD37" s="125">
        <f t="shared" si="142"/>
        <v>48400.000000000007</v>
      </c>
      <c r="AE37" s="125">
        <f t="shared" si="142"/>
        <v>52800.000000000007</v>
      </c>
      <c r="AF37" s="125">
        <f t="shared" si="142"/>
        <v>52800.000000000007</v>
      </c>
      <c r="AG37" s="125">
        <f t="shared" si="142"/>
        <v>52800.000000000007</v>
      </c>
      <c r="AH37" s="125">
        <f t="shared" si="142"/>
        <v>52800.000000000007</v>
      </c>
      <c r="AI37" s="125">
        <f t="shared" si="142"/>
        <v>52800.000000000007</v>
      </c>
      <c r="AJ37" s="125">
        <f t="shared" si="142"/>
        <v>52800.000000000007</v>
      </c>
      <c r="AK37" s="125">
        <f t="shared" si="142"/>
        <v>52800.000000000007</v>
      </c>
      <c r="AL37" s="125">
        <f t="shared" si="142"/>
        <v>52800.000000000007</v>
      </c>
      <c r="AM37" s="125">
        <f t="shared" ref="AM37:AX37" si="143">$A$37*AM32*110%</f>
        <v>48400.000000000007</v>
      </c>
      <c r="AN37" s="125">
        <f t="shared" si="143"/>
        <v>48400.000000000007</v>
      </c>
      <c r="AO37" s="125">
        <f t="shared" si="143"/>
        <v>48400.000000000007</v>
      </c>
      <c r="AP37" s="125">
        <f t="shared" si="143"/>
        <v>52800.000000000007</v>
      </c>
      <c r="AQ37" s="125">
        <f t="shared" si="143"/>
        <v>52800.000000000007</v>
      </c>
      <c r="AR37" s="125">
        <f t="shared" si="143"/>
        <v>52800.000000000007</v>
      </c>
      <c r="AS37" s="125">
        <f t="shared" si="143"/>
        <v>52800.000000000007</v>
      </c>
      <c r="AT37" s="125">
        <f t="shared" si="143"/>
        <v>52800.000000000007</v>
      </c>
      <c r="AU37" s="125">
        <f t="shared" si="143"/>
        <v>52800.000000000007</v>
      </c>
      <c r="AV37" s="125">
        <f t="shared" si="143"/>
        <v>52800.000000000007</v>
      </c>
      <c r="AW37" s="125">
        <f t="shared" si="143"/>
        <v>52800.000000000007</v>
      </c>
      <c r="AX37" s="125">
        <f t="shared" si="143"/>
        <v>48400.000000000007</v>
      </c>
    </row>
    <row r="38" spans="1:50" ht="18.75" x14ac:dyDescent="0.35">
      <c r="A38" s="130"/>
      <c r="B38" s="76" t="s">
        <v>94</v>
      </c>
      <c r="C38" s="125">
        <f>C14*C33</f>
        <v>42000</v>
      </c>
      <c r="D38" s="125">
        <f t="shared" ref="D38:AL38" si="144">D14*D33</f>
        <v>44100</v>
      </c>
      <c r="E38" s="125">
        <f t="shared" si="144"/>
        <v>46305</v>
      </c>
      <c r="F38" s="125">
        <f t="shared" si="144"/>
        <v>48620.25</v>
      </c>
      <c r="G38" s="125">
        <f t="shared" si="144"/>
        <v>51051.262500000004</v>
      </c>
      <c r="H38" s="125">
        <f t="shared" si="144"/>
        <v>53603.825624999998</v>
      </c>
      <c r="I38" s="125">
        <f t="shared" si="144"/>
        <v>56284.016906250006</v>
      </c>
      <c r="J38" s="125">
        <f t="shared" si="144"/>
        <v>59098.217751562501</v>
      </c>
      <c r="K38" s="125">
        <f t="shared" si="144"/>
        <v>62053.128639140632</v>
      </c>
      <c r="L38" s="125">
        <f t="shared" si="144"/>
        <v>65155.785071097664</v>
      </c>
      <c r="M38" s="125">
        <f t="shared" si="144"/>
        <v>68413.574324652538</v>
      </c>
      <c r="N38" s="125">
        <f t="shared" si="144"/>
        <v>71834.253040885174</v>
      </c>
      <c r="O38" s="125">
        <f t="shared" si="144"/>
        <v>79197.263977575902</v>
      </c>
      <c r="P38" s="125">
        <f t="shared" si="144"/>
        <v>83157.127176454713</v>
      </c>
      <c r="Q38" s="125">
        <f t="shared" si="144"/>
        <v>87314.983535277439</v>
      </c>
      <c r="R38" s="125">
        <f t="shared" si="144"/>
        <v>91680.732712041325</v>
      </c>
      <c r="S38" s="125">
        <f t="shared" si="144"/>
        <v>96264.769347643378</v>
      </c>
      <c r="T38" s="125">
        <f t="shared" si="144"/>
        <v>101078.00781502554</v>
      </c>
      <c r="U38" s="125">
        <f t="shared" si="144"/>
        <v>106131.90820577682</v>
      </c>
      <c r="V38" s="125">
        <f t="shared" si="144"/>
        <v>111438.50361606566</v>
      </c>
      <c r="W38" s="125">
        <f t="shared" si="144"/>
        <v>117010.42879686893</v>
      </c>
      <c r="X38" s="125">
        <f t="shared" si="144"/>
        <v>122860.95023671238</v>
      </c>
      <c r="Y38" s="125">
        <f t="shared" si="144"/>
        <v>129003.99774854799</v>
      </c>
      <c r="Z38" s="125">
        <f t="shared" si="144"/>
        <v>135454.1976359754</v>
      </c>
      <c r="AA38" s="125">
        <f t="shared" si="144"/>
        <v>151708.70135229244</v>
      </c>
      <c r="AB38" s="125">
        <f t="shared" si="144"/>
        <v>159294.13641990707</v>
      </c>
      <c r="AC38" s="125">
        <f t="shared" si="144"/>
        <v>167258.84324090244</v>
      </c>
      <c r="AD38" s="125">
        <f t="shared" si="144"/>
        <v>175621.78540294754</v>
      </c>
      <c r="AE38" s="125">
        <f t="shared" si="144"/>
        <v>184402.87467309492</v>
      </c>
      <c r="AF38" s="125">
        <f t="shared" si="144"/>
        <v>193623.01840674964</v>
      </c>
      <c r="AG38" s="125">
        <f t="shared" si="144"/>
        <v>203304.16932708712</v>
      </c>
      <c r="AH38" s="125">
        <f t="shared" si="144"/>
        <v>213469.37779344147</v>
      </c>
      <c r="AI38" s="125">
        <f t="shared" si="144"/>
        <v>224142.84668311354</v>
      </c>
      <c r="AJ38" s="125">
        <f t="shared" si="144"/>
        <v>235349.98901726925</v>
      </c>
      <c r="AK38" s="125">
        <f t="shared" si="144"/>
        <v>247117.48846813271</v>
      </c>
      <c r="AL38" s="125">
        <f t="shared" si="144"/>
        <v>259473.36289153932</v>
      </c>
      <c r="AM38" s="125">
        <f t="shared" ref="AM38:AX38" si="145">AM14*AM33</f>
        <v>272447.0310361163</v>
      </c>
      <c r="AN38" s="125">
        <f t="shared" si="145"/>
        <v>286069.3825879221</v>
      </c>
      <c r="AO38" s="125">
        <f t="shared" si="145"/>
        <v>300372.85171731823</v>
      </c>
      <c r="AP38" s="125">
        <f t="shared" si="145"/>
        <v>315391.49430318415</v>
      </c>
      <c r="AQ38" s="125">
        <f t="shared" si="145"/>
        <v>331161.06901834335</v>
      </c>
      <c r="AR38" s="125">
        <f t="shared" si="145"/>
        <v>347719.12246926047</v>
      </c>
      <c r="AS38" s="125">
        <f t="shared" si="145"/>
        <v>365105.07859272353</v>
      </c>
      <c r="AT38" s="125">
        <f t="shared" si="145"/>
        <v>383360.33252235968</v>
      </c>
      <c r="AU38" s="125">
        <f t="shared" si="145"/>
        <v>402528.34914847772</v>
      </c>
      <c r="AV38" s="125">
        <f t="shared" si="145"/>
        <v>422654.76660590159</v>
      </c>
      <c r="AW38" s="125">
        <f t="shared" si="145"/>
        <v>443787.50493619661</v>
      </c>
      <c r="AX38" s="125">
        <f t="shared" si="145"/>
        <v>465976.88018300646</v>
      </c>
    </row>
    <row r="39" spans="1:50" ht="18.75" x14ac:dyDescent="0.35">
      <c r="A39" s="130"/>
      <c r="B39" s="76" t="s">
        <v>121</v>
      </c>
      <c r="C39" s="125">
        <f>C13*C28</f>
        <v>27534.600000000002</v>
      </c>
      <c r="D39" s="125">
        <f t="shared" ref="D39:AL39" si="146">D13*D28</f>
        <v>21245.760000000002</v>
      </c>
      <c r="E39" s="125">
        <f t="shared" si="146"/>
        <v>17118.415799999999</v>
      </c>
      <c r="F39" s="125">
        <f t="shared" si="146"/>
        <v>14778.90036</v>
      </c>
      <c r="G39" s="125">
        <f t="shared" si="146"/>
        <v>13473.449806499997</v>
      </c>
      <c r="H39" s="125">
        <f t="shared" si="146"/>
        <v>12762.157981949995</v>
      </c>
      <c r="I39" s="125">
        <f t="shared" si="146"/>
        <v>12388.142103468746</v>
      </c>
      <c r="J39" s="125">
        <f t="shared" si="146"/>
        <v>12201.131373160495</v>
      </c>
      <c r="K39" s="125">
        <f t="shared" si="146"/>
        <v>12112.871820639548</v>
      </c>
      <c r="L39" s="125">
        <f t="shared" si="146"/>
        <v>12619.805437509607</v>
      </c>
      <c r="M39" s="125">
        <f t="shared" si="146"/>
        <v>13191.569724887937</v>
      </c>
      <c r="N39" s="125">
        <f t="shared" si="146"/>
        <v>13815.612620434042</v>
      </c>
      <c r="O39" s="125">
        <f t="shared" si="146"/>
        <v>15175.852528058474</v>
      </c>
      <c r="P39" s="125">
        <f t="shared" si="146"/>
        <v>16369.793684253167</v>
      </c>
      <c r="Q39" s="125">
        <f t="shared" si="146"/>
        <v>17471.129912830482</v>
      </c>
      <c r="R39" s="125">
        <f t="shared" si="146"/>
        <v>18528.536662309027</v>
      </c>
      <c r="S39" s="125">
        <f t="shared" si="146"/>
        <v>19574.466160418549</v>
      </c>
      <c r="T39" s="125">
        <f t="shared" si="146"/>
        <v>20630.866200685618</v>
      </c>
      <c r="U39" s="125">
        <f t="shared" si="146"/>
        <v>21712.899386679888</v>
      </c>
      <c r="V39" s="125">
        <f t="shared" si="146"/>
        <v>22831.362775387875</v>
      </c>
      <c r="W39" s="125">
        <f t="shared" si="146"/>
        <v>23994.262886750366</v>
      </c>
      <c r="X39" s="125">
        <f t="shared" si="146"/>
        <v>25207.8418132734</v>
      </c>
      <c r="Y39" s="125">
        <f t="shared" si="146"/>
        <v>26477.246662357658</v>
      </c>
      <c r="Z39" s="125">
        <f t="shared" si="146"/>
        <v>27806.967288448919</v>
      </c>
      <c r="AA39" s="125">
        <f t="shared" si="146"/>
        <v>30591.471907726507</v>
      </c>
      <c r="AB39" s="125">
        <f t="shared" si="146"/>
        <v>33096.954881511425</v>
      </c>
      <c r="AC39" s="125">
        <f t="shared" si="146"/>
        <v>35434.939190466015</v>
      </c>
      <c r="AD39" s="125">
        <f t="shared" si="146"/>
        <v>37684.881745404629</v>
      </c>
      <c r="AE39" s="125">
        <f t="shared" si="146"/>
        <v>39903.862749465581</v>
      </c>
      <c r="AF39" s="125">
        <f t="shared" si="146"/>
        <v>42133.371728692364</v>
      </c>
      <c r="AG39" s="125">
        <f t="shared" si="146"/>
        <v>44404.061404354434</v>
      </c>
      <c r="AH39" s="125">
        <f t="shared" si="146"/>
        <v>46739.079237031372</v>
      </c>
      <c r="AI39" s="125">
        <f t="shared" si="146"/>
        <v>49156.403532604389</v>
      </c>
      <c r="AJ39" s="125">
        <f t="shared" si="146"/>
        <v>51670.482942839619</v>
      </c>
      <c r="AK39" s="125">
        <f t="shared" si="146"/>
        <v>54293.388553505116</v>
      </c>
      <c r="AL39" s="125">
        <f t="shared" si="146"/>
        <v>57035.625005646834</v>
      </c>
      <c r="AM39" s="125">
        <f t="shared" ref="AM39:AX39" si="147">AM13*AM28</f>
        <v>59906.703173055692</v>
      </c>
      <c r="AN39" s="125">
        <f t="shared" si="147"/>
        <v>62915.546173697039</v>
      </c>
      <c r="AO39" s="125">
        <f t="shared" si="147"/>
        <v>66070.778971773892</v>
      </c>
      <c r="AP39" s="125">
        <f t="shared" si="147"/>
        <v>69380.936762936995</v>
      </c>
      <c r="AQ39" s="125">
        <f t="shared" si="147"/>
        <v>72854.616790885921</v>
      </c>
      <c r="AR39" s="125">
        <f t="shared" si="147"/>
        <v>76500.590863291669</v>
      </c>
      <c r="AS39" s="125">
        <f t="shared" si="147"/>
        <v>80327.890669459259</v>
      </c>
      <c r="AT39" s="125">
        <f t="shared" si="147"/>
        <v>84345.874387034331</v>
      </c>
      <c r="AU39" s="125">
        <f t="shared" si="147"/>
        <v>88564.280535257523</v>
      </c>
      <c r="AV39" s="125">
        <f t="shared" si="147"/>
        <v>92993.273262230447</v>
      </c>
      <c r="AW39" s="125">
        <f t="shared" si="147"/>
        <v>97643.482015488975</v>
      </c>
      <c r="AX39" s="125">
        <f t="shared" si="147"/>
        <v>102526.03767936635</v>
      </c>
    </row>
    <row r="40" spans="1:50" ht="18.75" x14ac:dyDescent="0.35">
      <c r="A40" s="143">
        <v>2.5</v>
      </c>
      <c r="B40" s="76" t="s">
        <v>120</v>
      </c>
      <c r="C40" s="125">
        <f ca="1">C21*($A$40-1)</f>
        <v>47359.512000000002</v>
      </c>
      <c r="D40" s="125">
        <f t="shared" ref="D40:AL40" ca="1" si="148">D21*($A$40-1)</f>
        <v>36542.707199999997</v>
      </c>
      <c r="E40" s="125">
        <f t="shared" ca="1" si="148"/>
        <v>30458.974320000001</v>
      </c>
      <c r="F40" s="125">
        <f t="shared" ca="1" si="148"/>
        <v>27235.402092</v>
      </c>
      <c r="G40" s="125">
        <f t="shared" ca="1" si="148"/>
        <v>25749.259630199995</v>
      </c>
      <c r="H40" s="125">
        <f t="shared" ca="1" si="148"/>
        <v>25327.975071869994</v>
      </c>
      <c r="I40" s="125">
        <f t="shared" ca="1" si="148"/>
        <v>25569.125301559499</v>
      </c>
      <c r="J40" s="125">
        <f t="shared" ca="1" si="148"/>
        <v>26232.43245229507</v>
      </c>
      <c r="K40" s="125">
        <f t="shared" ca="1" si="148"/>
        <v>27174.964606304387</v>
      </c>
      <c r="L40" s="125">
        <f t="shared" ca="1" si="148"/>
        <v>28312.259155456341</v>
      </c>
      <c r="M40" s="125">
        <f t="shared" ca="1" si="148"/>
        <v>29594.999904531203</v>
      </c>
      <c r="N40" s="125">
        <f t="shared" ca="1" si="148"/>
        <v>30995.026574538992</v>
      </c>
      <c r="O40" s="125">
        <f t="shared" ca="1" si="148"/>
        <v>35630.262457180776</v>
      </c>
      <c r="P40" s="125">
        <f t="shared" ca="1" si="148"/>
        <v>38433.428649985712</v>
      </c>
      <c r="Q40" s="125">
        <f t="shared" ca="1" si="148"/>
        <v>41019.174577949838</v>
      </c>
      <c r="R40" s="125">
        <f t="shared" ca="1" si="148"/>
        <v>43501.78172889947</v>
      </c>
      <c r="S40" s="125">
        <f t="shared" ca="1" si="148"/>
        <v>45957.442289678344</v>
      </c>
      <c r="T40" s="125">
        <f t="shared" ca="1" si="148"/>
        <v>48437.685862479288</v>
      </c>
      <c r="U40" s="125">
        <f t="shared" ca="1" si="148"/>
        <v>50978.111603509315</v>
      </c>
      <c r="V40" s="125">
        <f t="shared" ca="1" si="148"/>
        <v>53604.06912482372</v>
      </c>
      <c r="W40" s="125">
        <f t="shared" ca="1" si="148"/>
        <v>56334.356342805222</v>
      </c>
      <c r="X40" s="125">
        <f ca="1">X21*($A$40-1)</f>
        <v>59183.628605076701</v>
      </c>
      <c r="Y40" s="125">
        <f t="shared" ca="1" si="148"/>
        <v>62163.970424665829</v>
      </c>
      <c r="Z40" s="125">
        <f t="shared" ca="1" si="148"/>
        <v>65285.923198967052</v>
      </c>
      <c r="AA40" s="125">
        <f t="shared" ca="1" si="148"/>
        <v>75813.647771322227</v>
      </c>
      <c r="AB40" s="125">
        <f t="shared" ca="1" si="148"/>
        <v>82022.88818461528</v>
      </c>
      <c r="AC40" s="125">
        <f t="shared" ca="1" si="148"/>
        <v>87817.023211154927</v>
      </c>
      <c r="AD40" s="125">
        <f t="shared" ca="1" si="148"/>
        <v>93392.967803828884</v>
      </c>
      <c r="AE40" s="125">
        <f t="shared" ca="1" si="148"/>
        <v>98892.181596501672</v>
      </c>
      <c r="AF40" s="125">
        <f t="shared" ca="1" si="148"/>
        <v>104417.48645806371</v>
      </c>
      <c r="AG40" s="125">
        <f t="shared" ca="1" si="148"/>
        <v>110044.84782818276</v>
      </c>
      <c r="AH40" s="125">
        <f t="shared" ca="1" si="148"/>
        <v>115831.63115264298</v>
      </c>
      <c r="AI40" s="125">
        <f t="shared" ca="1" si="148"/>
        <v>121822.39136341092</v>
      </c>
      <c r="AJ40" s="125">
        <f t="shared" ca="1" si="148"/>
        <v>128052.93598877647</v>
      </c>
      <c r="AK40" s="125">
        <f t="shared" ca="1" si="148"/>
        <v>134553.18032825185</v>
      </c>
      <c r="AL40" s="125">
        <f t="shared" ca="1" si="148"/>
        <v>141349.15762268999</v>
      </c>
      <c r="AM40" s="125">
        <f t="shared" ref="AM40:AX40" ca="1" si="149">AM21*($A$40-1)</f>
        <v>148464.4382984424</v>
      </c>
      <c r="AN40" s="125">
        <f t="shared" ca="1" si="149"/>
        <v>155921.13616959704</v>
      </c>
      <c r="AO40" s="125">
        <f t="shared" ca="1" si="149"/>
        <v>163740.62614743967</v>
      </c>
      <c r="AP40" s="125">
        <f t="shared" ca="1" si="149"/>
        <v>171944.06067336563</v>
      </c>
      <c r="AQ40" s="125">
        <f t="shared" ca="1" si="149"/>
        <v>180552.74596002168</v>
      </c>
      <c r="AR40" s="125">
        <f t="shared" ca="1" si="149"/>
        <v>189588.4208351142</v>
      </c>
      <c r="AS40" s="125">
        <f t="shared" ca="1" si="149"/>
        <v>199073.46818083385</v>
      </c>
      <c r="AT40" s="125">
        <f t="shared" ca="1" si="149"/>
        <v>209031.08000265036</v>
      </c>
      <c r="AU40" s="125">
        <f t="shared" ca="1" si="149"/>
        <v>219485.3908917252</v>
      </c>
      <c r="AV40" s="125">
        <f t="shared" ca="1" si="149"/>
        <v>230461.59025857114</v>
      </c>
      <c r="AW40" s="125">
        <f t="shared" ca="1" si="149"/>
        <v>241986.02064708143</v>
      </c>
      <c r="AX40" s="125">
        <f t="shared" ca="1" si="149"/>
        <v>254086.26729234276</v>
      </c>
    </row>
    <row r="41" spans="1:50" ht="18.75" x14ac:dyDescent="0.35">
      <c r="A41" s="130"/>
      <c r="B41" s="76" t="s">
        <v>96</v>
      </c>
      <c r="C41" s="125">
        <f>SUM(C36:C37)*10%</f>
        <v>3730</v>
      </c>
      <c r="D41" s="125">
        <f t="shared" ref="D41:AL41" si="150">SUM(D36:D37)*10%</f>
        <v>3730</v>
      </c>
      <c r="E41" s="125">
        <f t="shared" si="150"/>
        <v>3730</v>
      </c>
      <c r="F41" s="125">
        <f t="shared" si="150"/>
        <v>3730</v>
      </c>
      <c r="G41" s="125">
        <f t="shared" si="150"/>
        <v>3730</v>
      </c>
      <c r="H41" s="125">
        <f t="shared" si="150"/>
        <v>3730</v>
      </c>
      <c r="I41" s="125">
        <f t="shared" si="150"/>
        <v>3730</v>
      </c>
      <c r="J41" s="125">
        <f t="shared" si="150"/>
        <v>3730</v>
      </c>
      <c r="K41" s="125">
        <f t="shared" si="150"/>
        <v>3730</v>
      </c>
      <c r="L41" s="125">
        <f t="shared" si="150"/>
        <v>4130</v>
      </c>
      <c r="M41" s="125">
        <f t="shared" si="150"/>
        <v>4130</v>
      </c>
      <c r="N41" s="125">
        <f t="shared" si="150"/>
        <v>4130</v>
      </c>
      <c r="O41" s="125">
        <f t="shared" si="150"/>
        <v>4363</v>
      </c>
      <c r="P41" s="125">
        <f t="shared" si="150"/>
        <v>4363</v>
      </c>
      <c r="Q41" s="125">
        <f t="shared" si="150"/>
        <v>4783</v>
      </c>
      <c r="R41" s="125">
        <f t="shared" si="150"/>
        <v>4783</v>
      </c>
      <c r="S41" s="125">
        <f t="shared" si="150"/>
        <v>4783</v>
      </c>
      <c r="T41" s="125">
        <f t="shared" si="150"/>
        <v>4783</v>
      </c>
      <c r="U41" s="125">
        <f t="shared" si="150"/>
        <v>4783</v>
      </c>
      <c r="V41" s="125">
        <f t="shared" si="150"/>
        <v>4783</v>
      </c>
      <c r="W41" s="125">
        <f t="shared" si="150"/>
        <v>4783</v>
      </c>
      <c r="X41" s="125">
        <f t="shared" si="150"/>
        <v>5203</v>
      </c>
      <c r="Y41" s="125">
        <f t="shared" si="150"/>
        <v>5203</v>
      </c>
      <c r="Z41" s="125">
        <f t="shared" si="150"/>
        <v>5203</v>
      </c>
      <c r="AA41" s="125">
        <f t="shared" si="150"/>
        <v>5449.5000000000009</v>
      </c>
      <c r="AB41" s="125">
        <f t="shared" si="150"/>
        <v>5449.5000000000009</v>
      </c>
      <c r="AC41" s="125">
        <f t="shared" si="150"/>
        <v>5449.5000000000009</v>
      </c>
      <c r="AD41" s="125">
        <f t="shared" si="150"/>
        <v>5449.5000000000009</v>
      </c>
      <c r="AE41" s="125">
        <f t="shared" si="150"/>
        <v>5889.5000000000009</v>
      </c>
      <c r="AF41" s="125">
        <f t="shared" si="150"/>
        <v>5889.5000000000009</v>
      </c>
      <c r="AG41" s="125">
        <f t="shared" si="150"/>
        <v>5889.5000000000009</v>
      </c>
      <c r="AH41" s="125">
        <f t="shared" si="150"/>
        <v>5889.5000000000009</v>
      </c>
      <c r="AI41" s="125">
        <f t="shared" si="150"/>
        <v>5889.5000000000009</v>
      </c>
      <c r="AJ41" s="125">
        <f t="shared" si="150"/>
        <v>5889.5000000000009</v>
      </c>
      <c r="AK41" s="125">
        <f t="shared" si="150"/>
        <v>5889.5000000000009</v>
      </c>
      <c r="AL41" s="125">
        <f t="shared" si="150"/>
        <v>5889.5000000000009</v>
      </c>
      <c r="AM41" s="125">
        <f t="shared" ref="AM41:AX41" si="151">SUM(AM36:AM37)*10%</f>
        <v>5449.5000000000009</v>
      </c>
      <c r="AN41" s="125">
        <f t="shared" si="151"/>
        <v>5449.5000000000009</v>
      </c>
      <c r="AO41" s="125">
        <f t="shared" si="151"/>
        <v>5449.5000000000009</v>
      </c>
      <c r="AP41" s="125">
        <f t="shared" si="151"/>
        <v>5889.5000000000009</v>
      </c>
      <c r="AQ41" s="125">
        <f t="shared" si="151"/>
        <v>5889.5000000000009</v>
      </c>
      <c r="AR41" s="125">
        <f t="shared" si="151"/>
        <v>5889.5000000000009</v>
      </c>
      <c r="AS41" s="125">
        <f t="shared" si="151"/>
        <v>5889.5000000000009</v>
      </c>
      <c r="AT41" s="125">
        <f t="shared" si="151"/>
        <v>5889.5000000000009</v>
      </c>
      <c r="AU41" s="125">
        <f t="shared" si="151"/>
        <v>5889.5000000000009</v>
      </c>
      <c r="AV41" s="125">
        <f t="shared" si="151"/>
        <v>5889.5000000000009</v>
      </c>
      <c r="AW41" s="125">
        <f t="shared" si="151"/>
        <v>5889.5000000000009</v>
      </c>
      <c r="AX41" s="125">
        <f t="shared" si="151"/>
        <v>5449.5000000000009</v>
      </c>
    </row>
    <row r="42" spans="1:50" ht="26.45" customHeight="1" x14ac:dyDescent="0.35">
      <c r="A42" s="113"/>
      <c r="B42" s="76" t="s">
        <v>92</v>
      </c>
      <c r="C42" s="114">
        <v>1</v>
      </c>
      <c r="D42" s="114">
        <f ca="1">(D35/C35)-100%</f>
        <v>-9.5018072984320523E-2</v>
      </c>
      <c r="E42" s="114">
        <f t="shared" ref="E42:AL42" ca="1" si="152">(E35/D35)-100%</f>
        <v>-5.601849247932611E-2</v>
      </c>
      <c r="F42" s="114">
        <f t="shared" ca="1" si="152"/>
        <v>-2.4073679705111983E-2</v>
      </c>
      <c r="G42" s="114">
        <f t="shared" ca="1" si="152"/>
        <v>-2.738630167230971E-3</v>
      </c>
      <c r="H42" s="114">
        <f t="shared" ca="1" si="152"/>
        <v>1.0814499524847365E-2</v>
      </c>
      <c r="I42" s="114">
        <f t="shared" ca="1" si="152"/>
        <v>1.9192658641402849E-2</v>
      </c>
      <c r="J42" s="114">
        <f t="shared" ca="1" si="152"/>
        <v>2.4325172060671196E-2</v>
      </c>
      <c r="K42" s="114">
        <f t="shared" ca="1" si="152"/>
        <v>2.7490866858905116E-2</v>
      </c>
      <c r="L42" s="114">
        <f t="shared" ca="1" si="152"/>
        <v>6.4246839892764029E-2</v>
      </c>
      <c r="M42" s="114">
        <f t="shared" ca="1" si="152"/>
        <v>3.3740541469818641E-2</v>
      </c>
      <c r="N42" s="114">
        <f t="shared" ca="1" si="152"/>
        <v>3.4761816240065802E-2</v>
      </c>
      <c r="O42" s="114">
        <f t="shared" ca="1" si="152"/>
        <v>9.8235368275225277E-2</v>
      </c>
      <c r="P42" s="114">
        <f t="shared" ca="1" si="152"/>
        <v>4.4702991118379387E-2</v>
      </c>
      <c r="Q42" s="114">
        <f t="shared" ca="1" si="152"/>
        <v>6.7032610857312713E-2</v>
      </c>
      <c r="R42" s="114">
        <f t="shared" ca="1" si="152"/>
        <v>3.9843923439929263E-2</v>
      </c>
      <c r="S42" s="114">
        <f t="shared" ca="1" si="152"/>
        <v>3.9188968281958392E-2</v>
      </c>
      <c r="T42" s="114">
        <f t="shared" ca="1" si="152"/>
        <v>3.894358765058592E-2</v>
      </c>
      <c r="U42" s="114">
        <f t="shared" ca="1" si="152"/>
        <v>3.8949436435051332E-2</v>
      </c>
      <c r="V42" s="114">
        <f t="shared" ca="1" si="152"/>
        <v>3.9108088112491224E-2</v>
      </c>
      <c r="W42" s="114">
        <f t="shared" ca="1" si="152"/>
        <v>3.9358115191694631E-2</v>
      </c>
      <c r="X42" s="114">
        <f t="shared" ca="1" si="152"/>
        <v>5.8144643116112782E-2</v>
      </c>
      <c r="Y42" s="114">
        <f t="shared" ca="1" si="152"/>
        <v>3.9294393448110254E-2</v>
      </c>
      <c r="Z42" s="114">
        <f t="shared" ca="1" si="152"/>
        <v>3.9660739554574276E-2</v>
      </c>
      <c r="AA42" s="114">
        <f t="shared" ca="1" si="152"/>
        <v>0.11294780234658286</v>
      </c>
      <c r="AB42" s="114">
        <f t="shared" ca="1" si="152"/>
        <v>5.1248960888170991E-2</v>
      </c>
      <c r="AC42" s="114">
        <f t="shared" ca="1" si="152"/>
        <v>4.8142419421314475E-2</v>
      </c>
      <c r="AD42" s="114">
        <f t="shared" ca="1" si="152"/>
        <v>4.6193705870644974E-2</v>
      </c>
      <c r="AE42" s="114">
        <f t="shared" ca="1" si="152"/>
        <v>5.8201623952512493E-2</v>
      </c>
      <c r="AF42" s="114">
        <f t="shared" ca="1" si="152"/>
        <v>4.3751760364814762E-2</v>
      </c>
      <c r="AG42" s="114">
        <f t="shared" ca="1" si="152"/>
        <v>4.3409898355465826E-2</v>
      </c>
      <c r="AH42" s="114">
        <f t="shared" ca="1" si="152"/>
        <v>4.3279013634312857E-2</v>
      </c>
      <c r="AI42" s="114">
        <f t="shared" ca="1" si="152"/>
        <v>4.3286045986361099E-2</v>
      </c>
      <c r="AJ42" s="114">
        <f t="shared" ca="1" si="152"/>
        <v>4.3382256869304525E-2</v>
      </c>
      <c r="AK42" s="114">
        <f t="shared" ca="1" si="152"/>
        <v>4.3535073726928442E-2</v>
      </c>
      <c r="AL42" s="114">
        <f t="shared" ca="1" si="152"/>
        <v>4.3722718415518669E-2</v>
      </c>
      <c r="AM42" s="114">
        <f t="shared" ref="AM42" ca="1" si="153">(AM35/AL35)-100%</f>
        <v>3.4670012374734771E-2</v>
      </c>
      <c r="AN42" s="114">
        <f t="shared" ref="AN42" ca="1" si="154">(AN35/AM35)-100%</f>
        <v>4.4544295766388409E-2</v>
      </c>
      <c r="AO42" s="114">
        <f t="shared" ref="AO42" ca="1" si="155">(AO35/AN35)-100%</f>
        <v>4.475199897940052E-2</v>
      </c>
      <c r="AP42" s="114">
        <f t="shared" ref="AP42" ca="1" si="156">(AP35/AO35)-100%</f>
        <v>5.316167792115456E-2</v>
      </c>
      <c r="AQ42" s="114">
        <f t="shared" ref="AQ42" ca="1" si="157">(AQ35/AP35)-100%</f>
        <v>4.4813991288751964E-2</v>
      </c>
      <c r="AR42" s="114">
        <f t="shared" ref="AR42" ca="1" si="158">(AR35/AQ35)-100%</f>
        <v>4.5028983420076107E-2</v>
      </c>
      <c r="AS42" s="114">
        <f t="shared" ref="AS42" ca="1" si="159">(AS35/AR35)-100%</f>
        <v>4.5238191117419779E-2</v>
      </c>
      <c r="AT42" s="114">
        <f t="shared" ref="AT42" ca="1" si="160">(AT35/AS35)-100%</f>
        <v>4.5440943578413107E-2</v>
      </c>
      <c r="AU42" s="114">
        <f t="shared" ref="AU42" ca="1" si="161">(AU35/AT35)-100%</f>
        <v>4.5636870366736915E-2</v>
      </c>
      <c r="AV42" s="114">
        <f t="shared" ref="AV42" ca="1" si="162">(AV35/AU35)-100%</f>
        <v>4.5825802264561011E-2</v>
      </c>
      <c r="AW42" s="114">
        <f t="shared" ref="AW42" ca="1" si="163">(AW35/AV35)-100%</f>
        <v>4.6007704441311859E-2</v>
      </c>
      <c r="AX42" s="114">
        <f t="shared" ref="AX42" ca="1" si="164">(AX35/AW35)-100%</f>
        <v>4.0476440148216497E-2</v>
      </c>
    </row>
    <row r="43" spans="1:50" ht="18.75" x14ac:dyDescent="0.35">
      <c r="A43" s="113"/>
      <c r="B43" s="126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</row>
    <row r="44" spans="1:50" ht="27.95" customHeight="1" x14ac:dyDescent="0.35">
      <c r="A44" s="113"/>
      <c r="B44" s="109" t="s">
        <v>97</v>
      </c>
      <c r="C44" s="110">
        <f ca="1">C9-C35</f>
        <v>-22956.111104000011</v>
      </c>
      <c r="D44" s="110">
        <f t="shared" ref="D44:AL44" ca="1" si="165">D9-D35</f>
        <v>-38776.850662400015</v>
      </c>
      <c r="E44" s="110">
        <f t="shared" ca="1" si="165"/>
        <v>-48108.563397440012</v>
      </c>
      <c r="F44" s="110">
        <f t="shared" ca="1" si="165"/>
        <v>-54047.456778464009</v>
      </c>
      <c r="G44" s="110">
        <f t="shared" ca="1" si="165"/>
        <v>-57922.174910578397</v>
      </c>
      <c r="H44" s="110">
        <f t="shared" ca="1" si="165"/>
        <v>-60542.763860047053</v>
      </c>
      <c r="I44" s="110">
        <f t="shared" ca="1" si="165"/>
        <v>-62402.844986759475</v>
      </c>
      <c r="J44" s="110">
        <f t="shared" ca="1" si="165"/>
        <v>-63803.009427389057</v>
      </c>
      <c r="K44" s="110">
        <f t="shared" ca="1" si="165"/>
        <v>-64926.107793643518</v>
      </c>
      <c r="L44" s="110">
        <f t="shared" ca="1" si="165"/>
        <v>-70831.861618802155</v>
      </c>
      <c r="M44" s="110">
        <f t="shared" ca="1" si="165"/>
        <v>-72288.523761028147</v>
      </c>
      <c r="N44" s="110">
        <f t="shared" ca="1" si="165"/>
        <v>-73743.391385851079</v>
      </c>
      <c r="O44" s="110">
        <f t="shared" ca="1" si="165"/>
        <v>-48064.688535629248</v>
      </c>
      <c r="P44" s="110">
        <f t="shared" ca="1" si="165"/>
        <v>-45799.446367079014</v>
      </c>
      <c r="Q44" s="110">
        <f t="shared" ca="1" si="165"/>
        <v>-48835.031398467341</v>
      </c>
      <c r="R44" s="110">
        <f t="shared" ca="1" si="165"/>
        <v>-47687.553731863096</v>
      </c>
      <c r="S44" s="110">
        <f t="shared" ca="1" si="165"/>
        <v>-46818.20491471322</v>
      </c>
      <c r="T44" s="110">
        <f t="shared" ca="1" si="165"/>
        <v>-46123.465433015983</v>
      </c>
      <c r="U44" s="110">
        <f t="shared" ca="1" si="165"/>
        <v>-45535.738881835423</v>
      </c>
      <c r="V44" s="110">
        <f t="shared" ca="1" si="165"/>
        <v>-45010.763441086747</v>
      </c>
      <c r="W44" s="110">
        <f t="shared" ca="1" si="165"/>
        <v>-44519.428562994814</v>
      </c>
      <c r="X44" s="110">
        <f t="shared" ca="1" si="165"/>
        <v>-48662.455008549441</v>
      </c>
      <c r="Y44" s="110">
        <f t="shared" ca="1" si="165"/>
        <v>-48186.936020290072</v>
      </c>
      <c r="Z44" s="110">
        <f t="shared" ca="1" si="165"/>
        <v>-47704.088191158226</v>
      </c>
      <c r="AA44" s="110">
        <f t="shared" ca="1" si="165"/>
        <v>13170.176017569611</v>
      </c>
      <c r="AB44" s="110">
        <f t="shared" ca="1" si="165"/>
        <v>23998.079994512023</v>
      </c>
      <c r="AC44" s="110">
        <f t="shared" ca="1" si="165"/>
        <v>33215.728117482446</v>
      </c>
      <c r="AD44" s="110">
        <f t="shared" ca="1" si="165"/>
        <v>41388.102909627953</v>
      </c>
      <c r="AE44" s="110">
        <f t="shared" ca="1" si="165"/>
        <v>44074.787425499293</v>
      </c>
      <c r="AF44" s="110">
        <f t="shared" ca="1" si="165"/>
        <v>51239.789856047253</v>
      </c>
      <c r="AG44" s="110">
        <f t="shared" ca="1" si="165"/>
        <v>58246.43099034077</v>
      </c>
      <c r="AH44" s="110">
        <f t="shared" ca="1" si="165"/>
        <v>65241.776188901509</v>
      </c>
      <c r="AI44" s="110">
        <f t="shared" ca="1" si="165"/>
        <v>72333.749052677245</v>
      </c>
      <c r="AJ44" s="110">
        <f t="shared" ca="1" si="165"/>
        <v>79603.122843342368</v>
      </c>
      <c r="AK44" s="110">
        <f t="shared" ca="1" si="165"/>
        <v>87111.926922131621</v>
      </c>
      <c r="AL44" s="110">
        <f t="shared" ca="1" si="165"/>
        <v>94909.34432387352</v>
      </c>
      <c r="AM44" s="110">
        <f t="shared" ref="AM44:AX44" ca="1" si="166">AM9-AM35</f>
        <v>107875.8537790121</v>
      </c>
      <c r="AN44" s="110">
        <f t="shared" ca="1" si="166"/>
        <v>116366.14353522402</v>
      </c>
      <c r="AO44" s="110">
        <f t="shared" ca="1" si="166"/>
        <v>125251.16615906812</v>
      </c>
      <c r="AP44" s="110">
        <f t="shared" ca="1" si="166"/>
        <v>129719.59277997958</v>
      </c>
      <c r="AQ44" s="110">
        <f t="shared" ca="1" si="166"/>
        <v>139478.84773804946</v>
      </c>
      <c r="AR44" s="110">
        <f t="shared" ca="1" si="166"/>
        <v>149715.85034830146</v>
      </c>
      <c r="AS44" s="110">
        <f t="shared" ca="1" si="166"/>
        <v>160457.55252206093</v>
      </c>
      <c r="AT44" s="110">
        <f t="shared" ca="1" si="166"/>
        <v>171731.33440760511</v>
      </c>
      <c r="AU44" s="110">
        <f t="shared" ca="1" si="166"/>
        <v>183565.30160959426</v>
      </c>
      <c r="AV44" s="110">
        <f t="shared" ca="1" si="166"/>
        <v>195988.51452720026</v>
      </c>
      <c r="AW44" s="110">
        <f t="shared" ca="1" si="166"/>
        <v>209031.17123954836</v>
      </c>
      <c r="AX44" s="110">
        <f t="shared" ca="1" si="166"/>
        <v>227564.75899171783</v>
      </c>
    </row>
    <row r="45" spans="1:50" ht="24" customHeight="1" x14ac:dyDescent="0.35">
      <c r="A45" s="113"/>
      <c r="B45" s="76" t="s">
        <v>98</v>
      </c>
      <c r="C45" s="125">
        <f ca="1">C44</f>
        <v>-22956.111104000011</v>
      </c>
      <c r="D45" s="125">
        <f ca="1">D44+C45</f>
        <v>-61732.961766400025</v>
      </c>
      <c r="E45" s="125">
        <f t="shared" ref="E45:AL45" ca="1" si="167">E44+D45</f>
        <v>-109841.52516384004</v>
      </c>
      <c r="F45" s="125">
        <f t="shared" ca="1" si="167"/>
        <v>-163888.98194230406</v>
      </c>
      <c r="G45" s="125">
        <f t="shared" ca="1" si="167"/>
        <v>-221811.15685288247</v>
      </c>
      <c r="H45" s="125">
        <f t="shared" ca="1" si="167"/>
        <v>-282353.92071292951</v>
      </c>
      <c r="I45" s="125">
        <f t="shared" ca="1" si="167"/>
        <v>-344756.76569968899</v>
      </c>
      <c r="J45" s="125">
        <f t="shared" ca="1" si="167"/>
        <v>-408559.77512707806</v>
      </c>
      <c r="K45" s="125">
        <f t="shared" ca="1" si="167"/>
        <v>-473485.88292072155</v>
      </c>
      <c r="L45" s="125">
        <f t="shared" ca="1" si="167"/>
        <v>-544317.74453952373</v>
      </c>
      <c r="M45" s="125">
        <f t="shared" ca="1" si="167"/>
        <v>-616606.26830055192</v>
      </c>
      <c r="N45" s="125">
        <f t="shared" ca="1" si="167"/>
        <v>-690349.659686403</v>
      </c>
      <c r="O45" s="125">
        <f t="shared" ca="1" si="167"/>
        <v>-738414.34822203219</v>
      </c>
      <c r="P45" s="125">
        <f t="shared" ca="1" si="167"/>
        <v>-784213.79458911123</v>
      </c>
      <c r="Q45" s="125">
        <f t="shared" ca="1" si="167"/>
        <v>-833048.8259875786</v>
      </c>
      <c r="R45" s="125">
        <f t="shared" ca="1" si="167"/>
        <v>-880736.37971944176</v>
      </c>
      <c r="S45" s="125">
        <f t="shared" ca="1" si="167"/>
        <v>-927554.58463415504</v>
      </c>
      <c r="T45" s="125">
        <f t="shared" ca="1" si="167"/>
        <v>-973678.05006717099</v>
      </c>
      <c r="U45" s="125">
        <f t="shared" ca="1" si="167"/>
        <v>-1019213.7889490065</v>
      </c>
      <c r="V45" s="125">
        <f t="shared" ca="1" si="167"/>
        <v>-1064224.5523900932</v>
      </c>
      <c r="W45" s="125">
        <f t="shared" ca="1" si="167"/>
        <v>-1108743.980953088</v>
      </c>
      <c r="X45" s="125">
        <f t="shared" ca="1" si="167"/>
        <v>-1157406.4359616374</v>
      </c>
      <c r="Y45" s="125">
        <f t="shared" ca="1" si="167"/>
        <v>-1205593.3719819274</v>
      </c>
      <c r="Z45" s="125">
        <f t="shared" ca="1" si="167"/>
        <v>-1253297.4601730856</v>
      </c>
      <c r="AA45" s="125">
        <f t="shared" ca="1" si="167"/>
        <v>-1240127.284155516</v>
      </c>
      <c r="AB45" s="125">
        <f t="shared" ca="1" si="167"/>
        <v>-1216129.2041610039</v>
      </c>
      <c r="AC45" s="125">
        <f t="shared" ca="1" si="167"/>
        <v>-1182913.4760435214</v>
      </c>
      <c r="AD45" s="125">
        <f t="shared" ca="1" si="167"/>
        <v>-1141525.3731338936</v>
      </c>
      <c r="AE45" s="125">
        <f t="shared" ca="1" si="167"/>
        <v>-1097450.5857083942</v>
      </c>
      <c r="AF45" s="125">
        <f t="shared" ca="1" si="167"/>
        <v>-1046210.7958523469</v>
      </c>
      <c r="AG45" s="125">
        <f t="shared" ca="1" si="167"/>
        <v>-987964.36486200616</v>
      </c>
      <c r="AH45" s="125">
        <f t="shared" ca="1" si="167"/>
        <v>-922722.58867310465</v>
      </c>
      <c r="AI45" s="125">
        <f t="shared" ca="1" si="167"/>
        <v>-850388.83962042746</v>
      </c>
      <c r="AJ45" s="125">
        <f t="shared" ca="1" si="167"/>
        <v>-770785.71677708509</v>
      </c>
      <c r="AK45" s="125">
        <f t="shared" ca="1" si="167"/>
        <v>-683673.78985495353</v>
      </c>
      <c r="AL45" s="125">
        <f t="shared" ca="1" si="167"/>
        <v>-588764.44553108001</v>
      </c>
      <c r="AM45" s="125">
        <f t="shared" ref="AM45" ca="1" si="168">AM44+AL45</f>
        <v>-480888.59175206791</v>
      </c>
      <c r="AN45" s="125">
        <f t="shared" ref="AN45" ca="1" si="169">AN44+AM45</f>
        <v>-364522.44821684388</v>
      </c>
      <c r="AO45" s="125">
        <f t="shared" ref="AO45" ca="1" si="170">AO44+AN45</f>
        <v>-239271.28205777577</v>
      </c>
      <c r="AP45" s="125">
        <f t="shared" ref="AP45" ca="1" si="171">AP44+AO45</f>
        <v>-109551.68927779619</v>
      </c>
      <c r="AQ45" s="125">
        <f t="shared" ref="AQ45" ca="1" si="172">AQ44+AP45</f>
        <v>29927.158460253268</v>
      </c>
      <c r="AR45" s="125">
        <f t="shared" ref="AR45" ca="1" si="173">AR44+AQ45</f>
        <v>179643.00880855473</v>
      </c>
      <c r="AS45" s="125">
        <f t="shared" ref="AS45" ca="1" si="174">AS44+AR45</f>
        <v>340100.56133061566</v>
      </c>
      <c r="AT45" s="125">
        <f t="shared" ref="AT45" ca="1" si="175">AT44+AS45</f>
        <v>511831.89573822077</v>
      </c>
      <c r="AU45" s="125">
        <f t="shared" ref="AU45" ca="1" si="176">AU44+AT45</f>
        <v>695397.19734781503</v>
      </c>
      <c r="AV45" s="125">
        <f t="shared" ref="AV45" ca="1" si="177">AV44+AU45</f>
        <v>891385.71187501529</v>
      </c>
      <c r="AW45" s="125">
        <f t="shared" ref="AW45" ca="1" si="178">AW44+AV45</f>
        <v>1100416.8831145638</v>
      </c>
      <c r="AX45" s="125">
        <f t="shared" ref="AX45" ca="1" si="179">AX44+AW45</f>
        <v>1327981.6421062816</v>
      </c>
    </row>
    <row r="46" spans="1:50" ht="26.45" customHeight="1" x14ac:dyDescent="0.35">
      <c r="A46" s="113"/>
      <c r="B46" s="76" t="s">
        <v>99</v>
      </c>
      <c r="C46" s="114">
        <f ca="1">C44/C9</f>
        <v>-0.17008558289078393</v>
      </c>
      <c r="D46" s="114">
        <f t="shared" ref="D46:AL46" ca="1" si="180">D44/D9</f>
        <v>-0.37234730890123791</v>
      </c>
      <c r="E46" s="114">
        <f t="shared" ca="1" si="180"/>
        <v>-0.55422168830417218</v>
      </c>
      <c r="F46" s="114">
        <f t="shared" ca="1" si="180"/>
        <v>-0.69633443907502213</v>
      </c>
      <c r="G46" s="114">
        <f t="shared" ca="1" si="180"/>
        <v>-0.78932619883865662</v>
      </c>
      <c r="H46" s="114">
        <f t="shared" ca="1" si="180"/>
        <v>-0.83876089904099294</v>
      </c>
      <c r="I46" s="114">
        <f t="shared" ca="1" si="180"/>
        <v>-0.8563768562250812</v>
      </c>
      <c r="J46" s="114">
        <f t="shared" ca="1" si="180"/>
        <v>-0.85345181030646022</v>
      </c>
      <c r="K46" s="114">
        <f t="shared" ca="1" si="180"/>
        <v>-0.83835273354874729</v>
      </c>
      <c r="L46" s="114">
        <f t="shared" ca="1" si="180"/>
        <v>-0.87787066050512341</v>
      </c>
      <c r="M46" s="114">
        <f t="shared" ca="1" si="180"/>
        <v>-0.85709195051710041</v>
      </c>
      <c r="N46" s="114">
        <f t="shared" ca="1" si="180"/>
        <v>-0.83484816488143188</v>
      </c>
      <c r="O46" s="114">
        <f t="shared" ca="1" si="180"/>
        <v>-0.36992275231395405</v>
      </c>
      <c r="P46" s="114">
        <f t="shared" ca="1" si="180"/>
        <v>-0.32677967106023936</v>
      </c>
      <c r="Q46" s="114">
        <f t="shared" ca="1" si="180"/>
        <v>-0.32647391492518019</v>
      </c>
      <c r="R46" s="114">
        <f t="shared" ca="1" si="180"/>
        <v>-0.30060896781035773</v>
      </c>
      <c r="S46" s="114">
        <f t="shared" ca="1" si="180"/>
        <v>-0.27935911123229212</v>
      </c>
      <c r="T46" s="114">
        <f t="shared" ca="1" si="180"/>
        <v>-0.26112140657260796</v>
      </c>
      <c r="U46" s="114">
        <f t="shared" ca="1" si="180"/>
        <v>-0.24494725505316881</v>
      </c>
      <c r="V46" s="114">
        <f t="shared" ca="1" si="180"/>
        <v>-0.23026214890157157</v>
      </c>
      <c r="W46" s="114">
        <f t="shared" ca="1" si="180"/>
        <v>-0.21671061138817821</v>
      </c>
      <c r="X46" s="114">
        <f t="shared" ca="1" si="180"/>
        <v>-0.22547394278814398</v>
      </c>
      <c r="Y46" s="114">
        <f t="shared" ca="1" si="180"/>
        <v>-0.2125663425259294</v>
      </c>
      <c r="Z46" s="114">
        <f t="shared" ca="1" si="180"/>
        <v>-0.20037336062743366</v>
      </c>
      <c r="AA46" s="114">
        <f t="shared" ca="1" si="180"/>
        <v>3.9761603047170302E-2</v>
      </c>
      <c r="AB46" s="114">
        <f t="shared" ca="1" si="180"/>
        <v>6.6967045417832827E-2</v>
      </c>
      <c r="AC46" s="114">
        <f t="shared" ca="1" si="180"/>
        <v>8.6573457975093235E-2</v>
      </c>
      <c r="AD46" s="114">
        <f t="shared" ca="1" si="180"/>
        <v>0.10143341400305025</v>
      </c>
      <c r="AE46" s="114">
        <f t="shared" ca="1" si="180"/>
        <v>0.1020112261914753</v>
      </c>
      <c r="AF46" s="114">
        <f t="shared" ca="1" si="180"/>
        <v>0.112319149054961</v>
      </c>
      <c r="AG46" s="114">
        <f t="shared" ca="1" si="180"/>
        <v>0.12114885236067229</v>
      </c>
      <c r="AH46" s="114">
        <f t="shared" ca="1" si="180"/>
        <v>0.1289194081686513</v>
      </c>
      <c r="AI46" s="114">
        <f t="shared" ca="1" si="180"/>
        <v>0.13590441138639947</v>
      </c>
      <c r="AJ46" s="114">
        <f t="shared" ca="1" si="180"/>
        <v>0.14228537549902259</v>
      </c>
      <c r="AK46" s="114">
        <f t="shared" ca="1" si="180"/>
        <v>0.14818469560852848</v>
      </c>
      <c r="AL46" s="114">
        <f t="shared" ca="1" si="180"/>
        <v>0.15368640354941948</v>
      </c>
      <c r="AM46" s="114">
        <f t="shared" ref="AM46:AX46" ca="1" si="181">AM44/AM9</f>
        <v>0.1663112032468804</v>
      </c>
      <c r="AN46" s="114">
        <f t="shared" ca="1" si="181"/>
        <v>0.1708210354927851</v>
      </c>
      <c r="AO46" s="114">
        <f t="shared" ca="1" si="181"/>
        <v>0.1750834236926698</v>
      </c>
      <c r="AP46" s="114">
        <f t="shared" ca="1" si="181"/>
        <v>0.17267843221170165</v>
      </c>
      <c r="AQ46" s="114">
        <f t="shared" ca="1" si="181"/>
        <v>0.1768169733541505</v>
      </c>
      <c r="AR46" s="114">
        <f t="shared" ca="1" si="181"/>
        <v>0.18074890351484177</v>
      </c>
      <c r="AS46" s="114">
        <f t="shared" ca="1" si="181"/>
        <v>0.18448730221825815</v>
      </c>
      <c r="AT46" s="114">
        <f t="shared" ca="1" si="181"/>
        <v>0.18804352309188233</v>
      </c>
      <c r="AU46" s="114">
        <f t="shared" ca="1" si="181"/>
        <v>0.19142765217857</v>
      </c>
      <c r="AV46" s="114">
        <f t="shared" ca="1" si="181"/>
        <v>0.19464881589509128</v>
      </c>
      <c r="AW46" s="114">
        <f t="shared" ca="1" si="181"/>
        <v>0.19771538983190654</v>
      </c>
      <c r="AX46" s="114">
        <f t="shared" ca="1" si="181"/>
        <v>0.20499511569597309</v>
      </c>
    </row>
    <row r="47" spans="1:50" ht="18.75" x14ac:dyDescent="0.35">
      <c r="A47" s="113"/>
      <c r="B47" s="126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</row>
    <row r="48" spans="1:50" ht="24.6" customHeight="1" x14ac:dyDescent="0.35">
      <c r="A48" s="113"/>
      <c r="B48" s="109" t="s">
        <v>100</v>
      </c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</row>
    <row r="49" spans="1:50" ht="18.75" x14ac:dyDescent="0.35">
      <c r="A49" s="128">
        <v>0.21</v>
      </c>
      <c r="B49" s="126" t="s">
        <v>101</v>
      </c>
      <c r="C49" s="125">
        <f ca="1">IF(C44&gt;0, C44*$A$49, 0)</f>
        <v>0</v>
      </c>
      <c r="D49" s="125">
        <f t="shared" ref="D49:AL49" ca="1" si="182">IF(D44&gt;0, D44*$A$49, 0)</f>
        <v>0</v>
      </c>
      <c r="E49" s="125">
        <f t="shared" ca="1" si="182"/>
        <v>0</v>
      </c>
      <c r="F49" s="125">
        <f t="shared" ca="1" si="182"/>
        <v>0</v>
      </c>
      <c r="G49" s="125">
        <f t="shared" ca="1" si="182"/>
        <v>0</v>
      </c>
      <c r="H49" s="125">
        <f t="shared" ca="1" si="182"/>
        <v>0</v>
      </c>
      <c r="I49" s="125">
        <f t="shared" ca="1" si="182"/>
        <v>0</v>
      </c>
      <c r="J49" s="125">
        <f t="shared" ca="1" si="182"/>
        <v>0</v>
      </c>
      <c r="K49" s="125">
        <f t="shared" ca="1" si="182"/>
        <v>0</v>
      </c>
      <c r="L49" s="125">
        <f t="shared" ca="1" si="182"/>
        <v>0</v>
      </c>
      <c r="M49" s="125">
        <f t="shared" ca="1" si="182"/>
        <v>0</v>
      </c>
      <c r="N49" s="125">
        <f t="shared" ca="1" si="182"/>
        <v>0</v>
      </c>
      <c r="O49" s="125">
        <f t="shared" ca="1" si="182"/>
        <v>0</v>
      </c>
      <c r="P49" s="125">
        <f t="shared" ca="1" si="182"/>
        <v>0</v>
      </c>
      <c r="Q49" s="125">
        <f t="shared" ca="1" si="182"/>
        <v>0</v>
      </c>
      <c r="R49" s="125">
        <f t="shared" ca="1" si="182"/>
        <v>0</v>
      </c>
      <c r="S49" s="125">
        <f t="shared" ca="1" si="182"/>
        <v>0</v>
      </c>
      <c r="T49" s="125">
        <f t="shared" ca="1" si="182"/>
        <v>0</v>
      </c>
      <c r="U49" s="125">
        <f t="shared" ca="1" si="182"/>
        <v>0</v>
      </c>
      <c r="V49" s="125">
        <f t="shared" ca="1" si="182"/>
        <v>0</v>
      </c>
      <c r="W49" s="125">
        <f t="shared" ca="1" si="182"/>
        <v>0</v>
      </c>
      <c r="X49" s="125">
        <f t="shared" ca="1" si="182"/>
        <v>0</v>
      </c>
      <c r="Y49" s="125">
        <f t="shared" ca="1" si="182"/>
        <v>0</v>
      </c>
      <c r="Z49" s="125">
        <f t="shared" ca="1" si="182"/>
        <v>0</v>
      </c>
      <c r="AA49" s="125">
        <f t="shared" ca="1" si="182"/>
        <v>2765.7369636896183</v>
      </c>
      <c r="AB49" s="125">
        <f t="shared" ca="1" si="182"/>
        <v>5039.596798847525</v>
      </c>
      <c r="AC49" s="125">
        <f t="shared" ca="1" si="182"/>
        <v>6975.3029046713136</v>
      </c>
      <c r="AD49" s="125">
        <f t="shared" ca="1" si="182"/>
        <v>8691.5016110218694</v>
      </c>
      <c r="AE49" s="125">
        <f t="shared" ca="1" si="182"/>
        <v>9255.7053593548517</v>
      </c>
      <c r="AF49" s="125">
        <f t="shared" ca="1" si="182"/>
        <v>10760.355869769923</v>
      </c>
      <c r="AG49" s="125">
        <f t="shared" ca="1" si="182"/>
        <v>12231.750507971561</v>
      </c>
      <c r="AH49" s="125">
        <f t="shared" ca="1" si="182"/>
        <v>13700.772999669316</v>
      </c>
      <c r="AI49" s="125">
        <f t="shared" ca="1" si="182"/>
        <v>15190.087301062222</v>
      </c>
      <c r="AJ49" s="125">
        <f t="shared" ca="1" si="182"/>
        <v>16716.655797101896</v>
      </c>
      <c r="AK49" s="125">
        <f t="shared" ca="1" si="182"/>
        <v>18293.50465364764</v>
      </c>
      <c r="AL49" s="125">
        <f t="shared" ca="1" si="182"/>
        <v>19930.962308013437</v>
      </c>
      <c r="AM49" s="125">
        <f t="shared" ref="AM49:AX49" ca="1" si="183">IF(AM44&gt;0, AM44*$A$49, 0)</f>
        <v>22653.92929359254</v>
      </c>
      <c r="AN49" s="125">
        <f t="shared" ca="1" si="183"/>
        <v>24436.890142397046</v>
      </c>
      <c r="AO49" s="125">
        <f t="shared" ca="1" si="183"/>
        <v>26302.744893404302</v>
      </c>
      <c r="AP49" s="125">
        <f t="shared" ca="1" si="183"/>
        <v>27241.114483795711</v>
      </c>
      <c r="AQ49" s="125">
        <f t="shared" ca="1" si="183"/>
        <v>29290.558024990387</v>
      </c>
      <c r="AR49" s="125">
        <f t="shared" ca="1" si="183"/>
        <v>31440.328573143306</v>
      </c>
      <c r="AS49" s="125">
        <f t="shared" ca="1" si="183"/>
        <v>33696.086029632796</v>
      </c>
      <c r="AT49" s="125">
        <f t="shared" ca="1" si="183"/>
        <v>36063.58022559707</v>
      </c>
      <c r="AU49" s="125">
        <f t="shared" ca="1" si="183"/>
        <v>38548.713338014793</v>
      </c>
      <c r="AV49" s="125">
        <f t="shared" ca="1" si="183"/>
        <v>41157.588050712053</v>
      </c>
      <c r="AW49" s="125">
        <f t="shared" ca="1" si="183"/>
        <v>43896.545960305157</v>
      </c>
      <c r="AX49" s="125">
        <f t="shared" ca="1" si="183"/>
        <v>47788.599388260744</v>
      </c>
    </row>
    <row r="50" spans="1:50" ht="18.75" x14ac:dyDescent="0.35">
      <c r="A50" s="113"/>
      <c r="B50" s="76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</row>
    <row r="51" spans="1:50" ht="21" customHeight="1" x14ac:dyDescent="0.35">
      <c r="A51" s="113"/>
      <c r="B51" s="109" t="s">
        <v>102</v>
      </c>
      <c r="C51" s="110">
        <f ca="1">C44-C49</f>
        <v>-22956.111104000011</v>
      </c>
      <c r="D51" s="110">
        <f t="shared" ref="D51:AL51" ca="1" si="184">D44-D49</f>
        <v>-38776.850662400015</v>
      </c>
      <c r="E51" s="110">
        <f t="shared" ca="1" si="184"/>
        <v>-48108.563397440012</v>
      </c>
      <c r="F51" s="110">
        <f t="shared" ca="1" si="184"/>
        <v>-54047.456778464009</v>
      </c>
      <c r="G51" s="110">
        <f t="shared" ca="1" si="184"/>
        <v>-57922.174910578397</v>
      </c>
      <c r="H51" s="110">
        <f t="shared" ca="1" si="184"/>
        <v>-60542.763860047053</v>
      </c>
      <c r="I51" s="110">
        <f t="shared" ca="1" si="184"/>
        <v>-62402.844986759475</v>
      </c>
      <c r="J51" s="110">
        <f t="shared" ca="1" si="184"/>
        <v>-63803.009427389057</v>
      </c>
      <c r="K51" s="110">
        <f t="shared" ca="1" si="184"/>
        <v>-64926.107793643518</v>
      </c>
      <c r="L51" s="110">
        <f t="shared" ca="1" si="184"/>
        <v>-70831.861618802155</v>
      </c>
      <c r="M51" s="110">
        <f t="shared" ca="1" si="184"/>
        <v>-72288.523761028147</v>
      </c>
      <c r="N51" s="110">
        <f t="shared" ca="1" si="184"/>
        <v>-73743.391385851079</v>
      </c>
      <c r="O51" s="110">
        <f t="shared" ca="1" si="184"/>
        <v>-48064.688535629248</v>
      </c>
      <c r="P51" s="110">
        <f t="shared" ca="1" si="184"/>
        <v>-45799.446367079014</v>
      </c>
      <c r="Q51" s="110">
        <f t="shared" ca="1" si="184"/>
        <v>-48835.031398467341</v>
      </c>
      <c r="R51" s="110">
        <f t="shared" ca="1" si="184"/>
        <v>-47687.553731863096</v>
      </c>
      <c r="S51" s="110">
        <f t="shared" ca="1" si="184"/>
        <v>-46818.20491471322</v>
      </c>
      <c r="T51" s="110">
        <f t="shared" ca="1" si="184"/>
        <v>-46123.465433015983</v>
      </c>
      <c r="U51" s="110">
        <f t="shared" ca="1" si="184"/>
        <v>-45535.738881835423</v>
      </c>
      <c r="V51" s="110">
        <f t="shared" ca="1" si="184"/>
        <v>-45010.763441086747</v>
      </c>
      <c r="W51" s="110">
        <f t="shared" ca="1" si="184"/>
        <v>-44519.428562994814</v>
      </c>
      <c r="X51" s="110">
        <f t="shared" ca="1" si="184"/>
        <v>-48662.455008549441</v>
      </c>
      <c r="Y51" s="110">
        <f t="shared" ca="1" si="184"/>
        <v>-48186.936020290072</v>
      </c>
      <c r="Z51" s="110">
        <f t="shared" ca="1" si="184"/>
        <v>-47704.088191158226</v>
      </c>
      <c r="AA51" s="110">
        <f t="shared" ca="1" si="184"/>
        <v>10404.439053879993</v>
      </c>
      <c r="AB51" s="110">
        <f t="shared" ca="1" si="184"/>
        <v>18958.483195664499</v>
      </c>
      <c r="AC51" s="110">
        <f t="shared" ca="1" si="184"/>
        <v>26240.425212811133</v>
      </c>
      <c r="AD51" s="110">
        <f t="shared" ca="1" si="184"/>
        <v>32696.601298606081</v>
      </c>
      <c r="AE51" s="110">
        <f t="shared" ca="1" si="184"/>
        <v>34819.082066144445</v>
      </c>
      <c r="AF51" s="110">
        <f t="shared" ca="1" si="184"/>
        <v>40479.433986277334</v>
      </c>
      <c r="AG51" s="110">
        <f t="shared" ca="1" si="184"/>
        <v>46014.680482369207</v>
      </c>
      <c r="AH51" s="110">
        <f t="shared" ca="1" si="184"/>
        <v>51541.003189232193</v>
      </c>
      <c r="AI51" s="110">
        <f t="shared" ca="1" si="184"/>
        <v>57143.661751615022</v>
      </c>
      <c r="AJ51" s="110">
        <f t="shared" ca="1" si="184"/>
        <v>62886.467046240476</v>
      </c>
      <c r="AK51" s="110">
        <f t="shared" ca="1" si="184"/>
        <v>68818.422268483977</v>
      </c>
      <c r="AL51" s="110">
        <f t="shared" ca="1" si="184"/>
        <v>74978.382015860087</v>
      </c>
      <c r="AM51" s="110">
        <f t="shared" ref="AM51:AX51" ca="1" si="185">AM44-AM49</f>
        <v>85221.924485419557</v>
      </c>
      <c r="AN51" s="110">
        <f t="shared" ca="1" si="185"/>
        <v>91929.25339282697</v>
      </c>
      <c r="AO51" s="110">
        <f t="shared" ca="1" si="185"/>
        <v>98948.421265663812</v>
      </c>
      <c r="AP51" s="110">
        <f t="shared" ca="1" si="185"/>
        <v>102478.47829618386</v>
      </c>
      <c r="AQ51" s="110">
        <f t="shared" ca="1" si="185"/>
        <v>110188.28971305907</v>
      </c>
      <c r="AR51" s="110">
        <f t="shared" ca="1" si="185"/>
        <v>118275.52177515815</v>
      </c>
      <c r="AS51" s="110">
        <f t="shared" ca="1" si="185"/>
        <v>126761.46649242812</v>
      </c>
      <c r="AT51" s="110">
        <f t="shared" ca="1" si="185"/>
        <v>135667.75418200804</v>
      </c>
      <c r="AU51" s="110">
        <f t="shared" ca="1" si="185"/>
        <v>145016.58827157947</v>
      </c>
      <c r="AV51" s="110">
        <f t="shared" ca="1" si="185"/>
        <v>154830.92647648821</v>
      </c>
      <c r="AW51" s="110">
        <f t="shared" ca="1" si="185"/>
        <v>165134.62527924322</v>
      </c>
      <c r="AX51" s="110">
        <f t="shared" ca="1" si="185"/>
        <v>179776.15960345708</v>
      </c>
    </row>
    <row r="52" spans="1:50" ht="24" customHeight="1" x14ac:dyDescent="0.35">
      <c r="A52" s="113"/>
      <c r="B52" s="76" t="s">
        <v>103</v>
      </c>
      <c r="C52" s="125">
        <f ca="1">C51</f>
        <v>-22956.111104000011</v>
      </c>
      <c r="D52" s="125">
        <f ca="1">C52+D51</f>
        <v>-61732.961766400025</v>
      </c>
      <c r="E52" s="125">
        <f t="shared" ref="E52:AL52" ca="1" si="186">D52+E51</f>
        <v>-109841.52516384004</v>
      </c>
      <c r="F52" s="125">
        <f t="shared" ca="1" si="186"/>
        <v>-163888.98194230406</v>
      </c>
      <c r="G52" s="125">
        <f t="shared" ca="1" si="186"/>
        <v>-221811.15685288247</v>
      </c>
      <c r="H52" s="125">
        <f t="shared" ca="1" si="186"/>
        <v>-282353.92071292951</v>
      </c>
      <c r="I52" s="125">
        <f t="shared" ca="1" si="186"/>
        <v>-344756.76569968899</v>
      </c>
      <c r="J52" s="125">
        <f t="shared" ca="1" si="186"/>
        <v>-408559.77512707806</v>
      </c>
      <c r="K52" s="125">
        <f t="shared" ca="1" si="186"/>
        <v>-473485.88292072155</v>
      </c>
      <c r="L52" s="125">
        <f t="shared" ca="1" si="186"/>
        <v>-544317.74453952373</v>
      </c>
      <c r="M52" s="125">
        <f t="shared" ca="1" si="186"/>
        <v>-616606.26830055192</v>
      </c>
      <c r="N52" s="125">
        <f t="shared" ca="1" si="186"/>
        <v>-690349.659686403</v>
      </c>
      <c r="O52" s="125">
        <f t="shared" ca="1" si="186"/>
        <v>-738414.34822203219</v>
      </c>
      <c r="P52" s="125">
        <f t="shared" ca="1" si="186"/>
        <v>-784213.79458911123</v>
      </c>
      <c r="Q52" s="125">
        <f t="shared" ca="1" si="186"/>
        <v>-833048.8259875786</v>
      </c>
      <c r="R52" s="125">
        <f t="shared" ca="1" si="186"/>
        <v>-880736.37971944176</v>
      </c>
      <c r="S52" s="125">
        <f t="shared" ca="1" si="186"/>
        <v>-927554.58463415504</v>
      </c>
      <c r="T52" s="125">
        <f t="shared" ca="1" si="186"/>
        <v>-973678.05006717099</v>
      </c>
      <c r="U52" s="125">
        <f t="shared" ca="1" si="186"/>
        <v>-1019213.7889490065</v>
      </c>
      <c r="V52" s="125">
        <f t="shared" ca="1" si="186"/>
        <v>-1064224.5523900932</v>
      </c>
      <c r="W52" s="125">
        <f t="shared" ca="1" si="186"/>
        <v>-1108743.980953088</v>
      </c>
      <c r="X52" s="125">
        <f t="shared" ca="1" si="186"/>
        <v>-1157406.4359616374</v>
      </c>
      <c r="Y52" s="125">
        <f t="shared" ca="1" si="186"/>
        <v>-1205593.3719819274</v>
      </c>
      <c r="Z52" s="125">
        <f t="shared" ca="1" si="186"/>
        <v>-1253297.4601730856</v>
      </c>
      <c r="AA52" s="125">
        <f t="shared" ca="1" si="186"/>
        <v>-1242893.0211192055</v>
      </c>
      <c r="AB52" s="125">
        <f t="shared" ca="1" si="186"/>
        <v>-1223934.5379235409</v>
      </c>
      <c r="AC52" s="125">
        <f t="shared" ca="1" si="186"/>
        <v>-1197694.1127107297</v>
      </c>
      <c r="AD52" s="125">
        <f t="shared" ca="1" si="186"/>
        <v>-1164997.5114121237</v>
      </c>
      <c r="AE52" s="125">
        <f t="shared" ca="1" si="186"/>
        <v>-1130178.4293459794</v>
      </c>
      <c r="AF52" s="125">
        <f t="shared" ca="1" si="186"/>
        <v>-1089698.995359702</v>
      </c>
      <c r="AG52" s="125">
        <f t="shared" ca="1" si="186"/>
        <v>-1043684.3148773329</v>
      </c>
      <c r="AH52" s="125">
        <f t="shared" ca="1" si="186"/>
        <v>-992143.31168810069</v>
      </c>
      <c r="AI52" s="125">
        <f t="shared" ca="1" si="186"/>
        <v>-934999.64993648569</v>
      </c>
      <c r="AJ52" s="125">
        <f t="shared" ca="1" si="186"/>
        <v>-872113.18289024523</v>
      </c>
      <c r="AK52" s="125">
        <f t="shared" ca="1" si="186"/>
        <v>-803294.7606217612</v>
      </c>
      <c r="AL52" s="125">
        <f t="shared" ca="1" si="186"/>
        <v>-728316.37860590115</v>
      </c>
      <c r="AM52" s="125">
        <f t="shared" ref="AM52" ca="1" si="187">AL52+AM51</f>
        <v>-643094.45412048162</v>
      </c>
      <c r="AN52" s="125">
        <f t="shared" ref="AN52" ca="1" si="188">AM52+AN51</f>
        <v>-551165.20072765462</v>
      </c>
      <c r="AO52" s="125">
        <f t="shared" ref="AO52" ca="1" si="189">AN52+AO51</f>
        <v>-452216.77946199081</v>
      </c>
      <c r="AP52" s="125">
        <f t="shared" ref="AP52" ca="1" si="190">AO52+AP51</f>
        <v>-349738.30116580694</v>
      </c>
      <c r="AQ52" s="125">
        <f t="shared" ref="AQ52" ca="1" si="191">AP52+AQ51</f>
        <v>-239550.01145274786</v>
      </c>
      <c r="AR52" s="125">
        <f t="shared" ref="AR52" ca="1" si="192">AQ52+AR51</f>
        <v>-121274.48967758971</v>
      </c>
      <c r="AS52" s="125">
        <f t="shared" ref="AS52" ca="1" si="193">AR52+AS51</f>
        <v>5486.9768148384173</v>
      </c>
      <c r="AT52" s="125">
        <f t="shared" ref="AT52" ca="1" si="194">AS52+AT51</f>
        <v>141154.73099684645</v>
      </c>
      <c r="AU52" s="125">
        <f t="shared" ref="AU52" ca="1" si="195">AT52+AU51</f>
        <v>286171.31926842593</v>
      </c>
      <c r="AV52" s="125">
        <f t="shared" ref="AV52" ca="1" si="196">AU52+AV51</f>
        <v>441002.24574491417</v>
      </c>
      <c r="AW52" s="125">
        <f t="shared" ref="AW52" ca="1" si="197">AV52+AW51</f>
        <v>606136.87102415739</v>
      </c>
      <c r="AX52" s="125">
        <f t="shared" ref="AX52" ca="1" si="198">AW52+AX51</f>
        <v>785913.03062761447</v>
      </c>
    </row>
    <row r="53" spans="1:50" ht="20.45" customHeight="1" x14ac:dyDescent="0.35">
      <c r="A53" s="113"/>
      <c r="B53" s="76" t="s">
        <v>104</v>
      </c>
      <c r="C53" s="114">
        <f ca="1">C51/C9</f>
        <v>-0.17008558289078393</v>
      </c>
      <c r="D53" s="114">
        <f t="shared" ref="D53:AL53" ca="1" si="199">D51/D9</f>
        <v>-0.37234730890123791</v>
      </c>
      <c r="E53" s="114">
        <f t="shared" ca="1" si="199"/>
        <v>-0.55422168830417218</v>
      </c>
      <c r="F53" s="114">
        <f t="shared" ca="1" si="199"/>
        <v>-0.69633443907502213</v>
      </c>
      <c r="G53" s="114">
        <f t="shared" ca="1" si="199"/>
        <v>-0.78932619883865662</v>
      </c>
      <c r="H53" s="114">
        <f t="shared" ca="1" si="199"/>
        <v>-0.83876089904099294</v>
      </c>
      <c r="I53" s="114">
        <f t="shared" ca="1" si="199"/>
        <v>-0.8563768562250812</v>
      </c>
      <c r="J53" s="114">
        <f t="shared" ca="1" si="199"/>
        <v>-0.85345181030646022</v>
      </c>
      <c r="K53" s="114">
        <f t="shared" ca="1" si="199"/>
        <v>-0.83835273354874729</v>
      </c>
      <c r="L53" s="114">
        <f t="shared" ca="1" si="199"/>
        <v>-0.87787066050512341</v>
      </c>
      <c r="M53" s="114">
        <f t="shared" ca="1" si="199"/>
        <v>-0.85709195051710041</v>
      </c>
      <c r="N53" s="114">
        <f t="shared" ca="1" si="199"/>
        <v>-0.83484816488143188</v>
      </c>
      <c r="O53" s="114">
        <f t="shared" ca="1" si="199"/>
        <v>-0.36992275231395405</v>
      </c>
      <c r="P53" s="114">
        <f t="shared" ca="1" si="199"/>
        <v>-0.32677967106023936</v>
      </c>
      <c r="Q53" s="114">
        <f t="shared" ca="1" si="199"/>
        <v>-0.32647391492518019</v>
      </c>
      <c r="R53" s="114">
        <f t="shared" ca="1" si="199"/>
        <v>-0.30060896781035773</v>
      </c>
      <c r="S53" s="114">
        <f t="shared" ca="1" si="199"/>
        <v>-0.27935911123229212</v>
      </c>
      <c r="T53" s="114">
        <f t="shared" ca="1" si="199"/>
        <v>-0.26112140657260796</v>
      </c>
      <c r="U53" s="114">
        <f t="shared" ca="1" si="199"/>
        <v>-0.24494725505316881</v>
      </c>
      <c r="V53" s="114">
        <f t="shared" ca="1" si="199"/>
        <v>-0.23026214890157157</v>
      </c>
      <c r="W53" s="114">
        <f t="shared" ca="1" si="199"/>
        <v>-0.21671061138817821</v>
      </c>
      <c r="X53" s="114">
        <f t="shared" ca="1" si="199"/>
        <v>-0.22547394278814398</v>
      </c>
      <c r="Y53" s="114">
        <f t="shared" ca="1" si="199"/>
        <v>-0.2125663425259294</v>
      </c>
      <c r="Z53" s="114">
        <f t="shared" ca="1" si="199"/>
        <v>-0.20037336062743366</v>
      </c>
      <c r="AA53" s="114">
        <f t="shared" ca="1" si="199"/>
        <v>3.1411666407264532E-2</v>
      </c>
      <c r="AB53" s="114">
        <f t="shared" ca="1" si="199"/>
        <v>5.2903965880087937E-2</v>
      </c>
      <c r="AC53" s="114">
        <f t="shared" ca="1" si="199"/>
        <v>6.8393031800323661E-2</v>
      </c>
      <c r="AD53" s="114">
        <f t="shared" ca="1" si="199"/>
        <v>8.0132397062409697E-2</v>
      </c>
      <c r="AE53" s="114">
        <f t="shared" ca="1" si="199"/>
        <v>8.0588868691265497E-2</v>
      </c>
      <c r="AF53" s="114">
        <f t="shared" ca="1" si="199"/>
        <v>8.873212775341921E-2</v>
      </c>
      <c r="AG53" s="114">
        <f t="shared" ca="1" si="199"/>
        <v>9.5707593364931107E-2</v>
      </c>
      <c r="AH53" s="114">
        <f t="shared" ca="1" si="199"/>
        <v>0.10184633245323452</v>
      </c>
      <c r="AI53" s="114">
        <f t="shared" ca="1" si="199"/>
        <v>0.10736448499525558</v>
      </c>
      <c r="AJ53" s="114">
        <f t="shared" ca="1" si="199"/>
        <v>0.11240544664422787</v>
      </c>
      <c r="AK53" s="114">
        <f t="shared" ca="1" si="199"/>
        <v>0.11706590953073749</v>
      </c>
      <c r="AL53" s="114">
        <f t="shared" ca="1" si="199"/>
        <v>0.12141225880404141</v>
      </c>
      <c r="AM53" s="114">
        <f t="shared" ref="AM53:AX53" ca="1" si="200">AM51/AM9</f>
        <v>0.13138585056503549</v>
      </c>
      <c r="AN53" s="114">
        <f t="shared" ca="1" si="200"/>
        <v>0.13494861803930022</v>
      </c>
      <c r="AO53" s="114">
        <f t="shared" ca="1" si="200"/>
        <v>0.13831590471720914</v>
      </c>
      <c r="AP53" s="114">
        <f t="shared" ca="1" si="200"/>
        <v>0.1364159614472443</v>
      </c>
      <c r="AQ53" s="114">
        <f t="shared" ca="1" si="200"/>
        <v>0.13968540894977891</v>
      </c>
      <c r="AR53" s="114">
        <f t="shared" ca="1" si="200"/>
        <v>0.14279163377672499</v>
      </c>
      <c r="AS53" s="114">
        <f t="shared" ca="1" si="200"/>
        <v>0.14574496875242393</v>
      </c>
      <c r="AT53" s="114">
        <f t="shared" ca="1" si="200"/>
        <v>0.14855438324258702</v>
      </c>
      <c r="AU53" s="114">
        <f t="shared" ca="1" si="200"/>
        <v>0.1512278452210703</v>
      </c>
      <c r="AV53" s="114">
        <f t="shared" ca="1" si="200"/>
        <v>0.15377256455712213</v>
      </c>
      <c r="AW53" s="114">
        <f t="shared" ca="1" si="200"/>
        <v>0.15619515796720618</v>
      </c>
      <c r="AX53" s="114">
        <f t="shared" ca="1" si="200"/>
        <v>0.16194614139981875</v>
      </c>
    </row>
    <row r="54" spans="1:50" ht="18.75" x14ac:dyDescent="0.35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</row>
    <row r="55" spans="1:50" ht="18.75" x14ac:dyDescent="0.3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</row>
    <row r="56" spans="1:50" ht="18.75" x14ac:dyDescent="0.35">
      <c r="A56" s="97"/>
      <c r="B56" s="97"/>
      <c r="C56" s="125"/>
      <c r="D56" s="125"/>
      <c r="E56" s="125"/>
      <c r="F56" s="125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</row>
    <row r="57" spans="1:50" ht="18.75" x14ac:dyDescent="0.35">
      <c r="A57" s="97"/>
      <c r="B57" s="166"/>
      <c r="C57" s="146" t="s">
        <v>123</v>
      </c>
      <c r="D57" s="146" t="s">
        <v>124</v>
      </c>
      <c r="E57" s="146" t="s">
        <v>125</v>
      </c>
      <c r="F57" s="147" t="s">
        <v>126</v>
      </c>
      <c r="G57" s="162" t="s">
        <v>135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</row>
    <row r="58" spans="1:50" ht="18.75" x14ac:dyDescent="0.35">
      <c r="A58" s="97"/>
      <c r="B58" s="153" t="s">
        <v>127</v>
      </c>
      <c r="C58" s="111">
        <v>-1477422</v>
      </c>
      <c r="D58" s="111">
        <f ca="1">SUM(C51:N51)</f>
        <v>-690349.659686403</v>
      </c>
      <c r="E58" s="111">
        <f ca="1">SUM(O51:Z51)</f>
        <v>-562947.80048668256</v>
      </c>
      <c r="F58" s="159">
        <f ca="1">SUM(AA51:AL51)</f>
        <v>524981.08156718442</v>
      </c>
      <c r="G58" s="163">
        <f ca="1">SUM(AM51:AX51)</f>
        <v>1514229.4092335152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</row>
    <row r="59" spans="1:50" ht="18.75" x14ac:dyDescent="0.35">
      <c r="A59" s="97"/>
      <c r="B59" s="153" t="s">
        <v>128</v>
      </c>
      <c r="C59" s="125"/>
      <c r="D59" s="125"/>
      <c r="E59" s="125"/>
      <c r="F59" s="149">
        <f ca="1">C58 + NPV(0.15, D58:F58)</f>
        <v>-2158211.8834077544</v>
      </c>
      <c r="G59" s="164">
        <f ca="1">C58 + NPV(0.15, D58:G58)</f>
        <v>-1292446.3041060704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</row>
    <row r="60" spans="1:50" ht="18.75" x14ac:dyDescent="0.35">
      <c r="A60" s="97"/>
      <c r="B60" s="154" t="s">
        <v>129</v>
      </c>
      <c r="C60" s="160"/>
      <c r="D60" s="161"/>
      <c r="E60" s="161"/>
      <c r="F60" s="151">
        <f ca="1">IRR(C58:F58)</f>
        <v>-0.55133350474028542</v>
      </c>
      <c r="G60" s="165">
        <f ca="1">IRR(C58:G58)</f>
        <v>-9.1139266925105433E-2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</row>
    <row r="61" spans="1:50" ht="18.75" x14ac:dyDescent="0.35">
      <c r="A61" s="97"/>
      <c r="B61" s="97"/>
      <c r="C61" s="125"/>
      <c r="D61" s="125"/>
      <c r="E61" s="125"/>
      <c r="F61" s="125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</row>
    <row r="62" spans="1:50" ht="18.75" x14ac:dyDescent="0.35">
      <c r="A62" s="97"/>
      <c r="B62" s="97"/>
      <c r="C62" s="125"/>
      <c r="D62" s="125"/>
      <c r="E62" s="125"/>
      <c r="F62" s="125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</row>
    <row r="63" spans="1:50" ht="18.75" x14ac:dyDescent="0.35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</row>
    <row r="64" spans="1:50" ht="18.75" x14ac:dyDescent="0.35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</row>
    <row r="65" spans="1:38" ht="18.75" x14ac:dyDescent="0.3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</row>
    <row r="66" spans="1:38" ht="18.75" x14ac:dyDescent="0.35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</row>
    <row r="67" spans="1:38" ht="18.75" x14ac:dyDescent="0.35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</row>
    <row r="68" spans="1:38" ht="18.75" x14ac:dyDescent="0.3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</row>
    <row r="69" spans="1:38" ht="18.75" x14ac:dyDescent="0.3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</row>
    <row r="70" spans="1:38" ht="18.75" x14ac:dyDescent="0.3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</row>
    <row r="71" spans="1:38" ht="18.75" x14ac:dyDescent="0.3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</row>
    <row r="72" spans="1:38" ht="18.75" x14ac:dyDescent="0.3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</row>
    <row r="73" spans="1:38" ht="18.75" x14ac:dyDescent="0.3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</row>
    <row r="74" spans="1:38" ht="18.75" x14ac:dyDescent="0.3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</row>
    <row r="75" spans="1:38" ht="18.75" x14ac:dyDescent="0.3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</row>
    <row r="76" spans="1:38" ht="18.75" x14ac:dyDescent="0.3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</row>
    <row r="77" spans="1:38" ht="18.75" x14ac:dyDescent="0.3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</row>
    <row r="78" spans="1:38" ht="18.75" x14ac:dyDescent="0.35">
      <c r="A78" s="97"/>
      <c r="B78" s="97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</row>
    <row r="79" spans="1:38" ht="18.75" x14ac:dyDescent="0.3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</row>
    <row r="80" spans="1:38" ht="18.75" x14ac:dyDescent="0.3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</row>
    <row r="81" spans="1:38" ht="18.75" x14ac:dyDescent="0.3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</row>
    <row r="94" spans="1:38" x14ac:dyDescent="0.25"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</row>
  </sheetData>
  <mergeCells count="4">
    <mergeCell ref="C2:N2"/>
    <mergeCell ref="O2:Z2"/>
    <mergeCell ref="AA2:AL2"/>
    <mergeCell ref="AM2:AX2"/>
  </mergeCells>
  <phoneticPr fontId="31" type="noConversion"/>
  <conditionalFormatting sqref="C11:AX1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1:AX5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</conditionalFormatting>
  <conditionalFormatting sqref="C9:AX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AL7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:AL7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000"/>
  <sheetViews>
    <sheetView showGridLines="0" zoomScale="97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28" sqref="F28"/>
    </sheetView>
  </sheetViews>
  <sheetFormatPr defaultColWidth="14.42578125" defaultRowHeight="15" customHeight="1" x14ac:dyDescent="0.25"/>
  <cols>
    <col min="1" max="1" width="8.7109375" customWidth="1"/>
    <col min="2" max="2" width="29.42578125" customWidth="1"/>
    <col min="3" max="3" width="17.42578125" customWidth="1"/>
    <col min="4" max="15" width="10.140625" customWidth="1"/>
    <col min="16" max="26" width="8.7109375" customWidth="1"/>
  </cols>
  <sheetData>
    <row r="1" spans="2:15" ht="14.25" customHeight="1" x14ac:dyDescent="0.25"/>
    <row r="2" spans="2:15" ht="14.25" customHeight="1" x14ac:dyDescent="0.25"/>
    <row r="3" spans="2:15" ht="14.25" customHeight="1" x14ac:dyDescent="0.25"/>
    <row r="4" spans="2:15" ht="14.25" customHeight="1" x14ac:dyDescent="0.25">
      <c r="B4" s="20" t="s">
        <v>21</v>
      </c>
      <c r="C4" s="20" t="s">
        <v>22</v>
      </c>
      <c r="D4" s="21">
        <v>45658</v>
      </c>
      <c r="E4" s="21">
        <f t="shared" ref="E4:O4" si="0">EOMONTH(D4,0)+1</f>
        <v>45689</v>
      </c>
      <c r="F4" s="21">
        <f t="shared" si="0"/>
        <v>45717</v>
      </c>
      <c r="G4" s="21">
        <f t="shared" si="0"/>
        <v>45748</v>
      </c>
      <c r="H4" s="21">
        <f t="shared" si="0"/>
        <v>45778</v>
      </c>
      <c r="I4" s="21">
        <f t="shared" si="0"/>
        <v>45809</v>
      </c>
      <c r="J4" s="21">
        <f t="shared" si="0"/>
        <v>45839</v>
      </c>
      <c r="K4" s="21">
        <f t="shared" si="0"/>
        <v>45870</v>
      </c>
      <c r="L4" s="21">
        <f t="shared" si="0"/>
        <v>45901</v>
      </c>
      <c r="M4" s="21">
        <f t="shared" si="0"/>
        <v>45931</v>
      </c>
      <c r="N4" s="21">
        <f t="shared" si="0"/>
        <v>45962</v>
      </c>
      <c r="O4" s="21">
        <f t="shared" si="0"/>
        <v>45992</v>
      </c>
    </row>
    <row r="5" spans="2:15" ht="14.25" customHeight="1" x14ac:dyDescent="0.25"/>
    <row r="6" spans="2:15" ht="14.25" customHeight="1" x14ac:dyDescent="0.25">
      <c r="B6" s="22" t="s">
        <v>49</v>
      </c>
      <c r="C6" s="22" t="s">
        <v>24</v>
      </c>
      <c r="D6" s="23">
        <f>'Operational Data'!D15</f>
        <v>758.8</v>
      </c>
      <c r="E6" s="23">
        <f>'Operational Data'!E15</f>
        <v>1517.6</v>
      </c>
      <c r="F6" s="23">
        <f>'Operational Data'!F15</f>
        <v>4085.8995199999999</v>
      </c>
      <c r="G6" s="23">
        <f>'Operational Data'!G15</f>
        <v>4233.7860266666676</v>
      </c>
      <c r="H6" s="23">
        <f>'Operational Data'!H15</f>
        <v>6103.6657920000016</v>
      </c>
      <c r="I6" s="23">
        <f>'Operational Data'!I15</f>
        <v>10337.019721813334</v>
      </c>
      <c r="J6" s="23">
        <f>'Operational Data'!J15</f>
        <v>14291.925621801778</v>
      </c>
      <c r="K6" s="23">
        <f>'Operational Data'!K15</f>
        <v>17071.452628036357</v>
      </c>
      <c r="L6" s="23">
        <f>'Operational Data'!L15</f>
        <v>27785.851419710503</v>
      </c>
      <c r="M6" s="23">
        <f>'Operational Data'!M15</f>
        <v>35296.926314300057</v>
      </c>
      <c r="N6" s="23">
        <f>'Operational Data'!N15</f>
        <v>22888.184188512238</v>
      </c>
      <c r="O6" s="23">
        <f>'Operational Data'!O15</f>
        <v>53545.036828138451</v>
      </c>
    </row>
    <row r="7" spans="2:15" ht="14.25" customHeight="1" x14ac:dyDescent="0.25">
      <c r="B7" s="22" t="s">
        <v>50</v>
      </c>
      <c r="C7" s="22" t="s">
        <v>36</v>
      </c>
      <c r="D7" s="23">
        <f>'Operational Data'!D16*'Operational Data'!D25</f>
        <v>2276.3999999999996</v>
      </c>
      <c r="E7" s="23">
        <f>'Operational Data'!E16*'Operational Data'!E25</f>
        <v>5759.2920000000004</v>
      </c>
      <c r="F7" s="23">
        <f>'Operational Data'!F16*'Operational Data'!F25</f>
        <v>11327.426794285713</v>
      </c>
      <c r="G7" s="23">
        <f>'Operational Data'!G16*'Operational Data'!G25</f>
        <v>23996.494372571429</v>
      </c>
      <c r="H7" s="23">
        <f>'Operational Data'!H16*'Operational Data'!H25</f>
        <v>32432.536646999994</v>
      </c>
      <c r="I7" s="23">
        <f>'Operational Data'!I16*'Operational Data'!I25</f>
        <v>55763.936282589049</v>
      </c>
      <c r="J7" s="23">
        <f>'Operational Data'!J16*'Operational Data'!J25</f>
        <v>75554.347483444872</v>
      </c>
      <c r="K7" s="23">
        <f>'Operational Data'!K16*'Operational Data'!K25</f>
        <v>101078.13305233297</v>
      </c>
      <c r="L7" s="23">
        <f>'Operational Data'!L16*'Operational Data'!L25</f>
        <v>133392.05837425258</v>
      </c>
      <c r="M7" s="23">
        <f>'Operational Data'!M16*'Operational Data'!M25</f>
        <v>202085.55014692873</v>
      </c>
      <c r="N7" s="23">
        <f>'Operational Data'!N16*'Operational Data'!N25</f>
        <v>114215.81841379953</v>
      </c>
      <c r="O7" s="23">
        <f>'Operational Data'!O16*'Operational Data'!O25</f>
        <v>281014.69661431684</v>
      </c>
    </row>
    <row r="8" spans="2:15" ht="14.25" customHeight="1" x14ac:dyDescent="0.25"/>
    <row r="9" spans="2:15" ht="14.25" customHeight="1" x14ac:dyDescent="0.25">
      <c r="B9" s="22" t="s">
        <v>51</v>
      </c>
      <c r="C9" s="22" t="s">
        <v>36</v>
      </c>
      <c r="D9" s="23">
        <f t="shared" ref="D9:O9" si="1">SUM(D10:D13)</f>
        <v>113.82</v>
      </c>
      <c r="E9" s="23">
        <f t="shared" si="1"/>
        <v>287.96460000000002</v>
      </c>
      <c r="F9" s="23">
        <f t="shared" si="1"/>
        <v>566.37133971428568</v>
      </c>
      <c r="G9" s="23">
        <f t="shared" si="1"/>
        <v>7211.9520831390482</v>
      </c>
      <c r="H9" s="23">
        <f t="shared" si="1"/>
        <v>10224.18517176</v>
      </c>
      <c r="I9" s="23">
        <f t="shared" si="1"/>
        <v>34335.101898647656</v>
      </c>
      <c r="J9" s="23">
        <f t="shared" si="1"/>
        <v>48325.033101063244</v>
      </c>
      <c r="K9" s="23">
        <f t="shared" si="1"/>
        <v>58806.378170473858</v>
      </c>
      <c r="L9" s="23">
        <f t="shared" si="1"/>
        <v>87600.549789683137</v>
      </c>
      <c r="M9" s="23">
        <f t="shared" si="1"/>
        <v>119186.07802645821</v>
      </c>
      <c r="N9" s="23">
        <f t="shared" si="1"/>
        <v>91673.810294612398</v>
      </c>
      <c r="O9" s="23">
        <f t="shared" si="1"/>
        <v>165800.05107527954</v>
      </c>
    </row>
    <row r="10" spans="2:15" ht="14.25" customHeight="1" x14ac:dyDescent="0.25">
      <c r="B10" s="24" t="s">
        <v>52</v>
      </c>
      <c r="C10" s="13" t="s">
        <v>36</v>
      </c>
      <c r="D10" s="14">
        <f>'Operational Data'!D16*'Operational Data'!D21</f>
        <v>0</v>
      </c>
      <c r="E10" s="14">
        <f>'Operational Data'!E16*'Operational Data'!E21</f>
        <v>0</v>
      </c>
      <c r="F10" s="14">
        <f>'Operational Data'!F16*'Operational Data'!F21</f>
        <v>0</v>
      </c>
      <c r="G10" s="14">
        <f>'Operational Data'!G16*'Operational Data'!G21</f>
        <v>0</v>
      </c>
      <c r="H10" s="14">
        <f>'Operational Data'!H16*'Operational Data'!H21</f>
        <v>0</v>
      </c>
      <c r="I10" s="14">
        <f>'Operational Data'!I16*'Operational Data'!I21</f>
        <v>16952.712343773866</v>
      </c>
      <c r="J10" s="14">
        <f>'Operational Data'!J16*'Operational Data'!J21</f>
        <v>25725.4661192432</v>
      </c>
      <c r="K10" s="14">
        <f>'Operational Data'!K16*'Operational Data'!K21</f>
        <v>30728.614730465444</v>
      </c>
      <c r="L10" s="14">
        <f>'Operational Data'!L16*'Operational Data'!L21</f>
        <v>45013.079299931022</v>
      </c>
      <c r="M10" s="14">
        <f>'Operational Data'!M16*'Operational Data'!M21</f>
        <v>59298.836208024091</v>
      </c>
      <c r="N10" s="14">
        <f>'Operational Data'!N16*'Operational Data'!N21</f>
        <v>37536.622069160068</v>
      </c>
      <c r="O10" s="14">
        <f>'Operational Data'!O16*'Operational Data'!O21</f>
        <v>82459.356715333211</v>
      </c>
    </row>
    <row r="11" spans="2:15" ht="14.25" customHeight="1" x14ac:dyDescent="0.25">
      <c r="B11" s="24" t="s">
        <v>53</v>
      </c>
      <c r="C11" s="13" t="s">
        <v>36</v>
      </c>
      <c r="D11" s="14">
        <f>'Operational Data'!D19*'Operational Data'!D6</f>
        <v>0</v>
      </c>
      <c r="E11" s="14">
        <f>'Operational Data'!E19*'Operational Data'!E6</f>
        <v>0</v>
      </c>
      <c r="F11" s="14">
        <f>'Operational Data'!F19*'Operational Data'!F6</f>
        <v>0</v>
      </c>
      <c r="G11" s="14">
        <f>'Operational Data'!G19*'Operational Data'!G6</f>
        <v>5292.2325333333338</v>
      </c>
      <c r="H11" s="14">
        <f>'Operational Data'!H19*'Operational Data'!H6</f>
        <v>7629.5822400000015</v>
      </c>
      <c r="I11" s="14">
        <f>'Operational Data'!I19*'Operational Data'!I6</f>
        <v>12921.274652266668</v>
      </c>
      <c r="J11" s="14">
        <f>'Operational Data'!J19*'Operational Data'!J6</f>
        <v>15044.132233475557</v>
      </c>
      <c r="K11" s="14">
        <f>'Operational Data'!K19*'Operational Data'!K6</f>
        <v>17969.950134775114</v>
      </c>
      <c r="L11" s="14">
        <f>'Operational Data'!L19*'Operational Data'!L6</f>
        <v>29248.264652326849</v>
      </c>
      <c r="M11" s="14">
        <f>'Operational Data'!M19*'Operational Data'!M6</f>
        <v>33616.120299333386</v>
      </c>
      <c r="N11" s="14">
        <f>'Operational Data'!N19*'Operational Data'!N6</f>
        <v>38146.973647520397</v>
      </c>
      <c r="O11" s="14">
        <f>'Operational Data'!O19*'Operational Data'!O6</f>
        <v>41188.489867798809</v>
      </c>
    </row>
    <row r="12" spans="2:15" ht="14.25" customHeight="1" x14ac:dyDescent="0.25">
      <c r="B12" s="24" t="s">
        <v>54</v>
      </c>
      <c r="C12" s="13" t="s">
        <v>36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 spans="2:15" ht="14.25" customHeight="1" x14ac:dyDescent="0.25">
      <c r="B13" s="24" t="s">
        <v>55</v>
      </c>
      <c r="C13" s="13" t="s">
        <v>36</v>
      </c>
      <c r="D13" s="14">
        <f>'Operational Data'!D16*'Operational Data'!D25*'Operational Data'!D20</f>
        <v>113.82</v>
      </c>
      <c r="E13" s="14">
        <f>'Operational Data'!E16*'Operational Data'!E25*'Operational Data'!E20</f>
        <v>287.96460000000002</v>
      </c>
      <c r="F13" s="14">
        <f>'Operational Data'!F16*'Operational Data'!F25*'Operational Data'!F20</f>
        <v>566.37133971428568</v>
      </c>
      <c r="G13" s="14">
        <f>'Operational Data'!G16*'Operational Data'!G25*'Operational Data'!G20</f>
        <v>1919.7195498057145</v>
      </c>
      <c r="H13" s="14">
        <f>'Operational Data'!H16*'Operational Data'!H25*'Operational Data'!H20</f>
        <v>2594.6029317599996</v>
      </c>
      <c r="I13" s="14">
        <f>'Operational Data'!I16*'Operational Data'!I25*'Operational Data'!I20</f>
        <v>4461.1149026071243</v>
      </c>
      <c r="J13" s="14">
        <f>'Operational Data'!J16*'Operational Data'!J25*'Operational Data'!J20</f>
        <v>7555.4347483444872</v>
      </c>
      <c r="K13" s="14">
        <f>'Operational Data'!K16*'Operational Data'!K25*'Operational Data'!K20</f>
        <v>10107.813305233298</v>
      </c>
      <c r="L13" s="14">
        <f>'Operational Data'!L16*'Operational Data'!L25*'Operational Data'!L20</f>
        <v>13339.205837425259</v>
      </c>
      <c r="M13" s="14">
        <f>'Operational Data'!M16*'Operational Data'!M25*'Operational Data'!M20</f>
        <v>26271.121519100736</v>
      </c>
      <c r="N13" s="14">
        <f>'Operational Data'!N16*'Operational Data'!N25*'Operational Data'!N20</f>
        <v>15990.214577931934</v>
      </c>
      <c r="O13" s="14">
        <f>'Operational Data'!O16*'Operational Data'!O25*'Operational Data'!O20</f>
        <v>42152.204492147524</v>
      </c>
    </row>
    <row r="14" spans="2:15" ht="14.25" customHeight="1" x14ac:dyDescent="0.25"/>
    <row r="15" spans="2:15" ht="14.25" customHeight="1" x14ac:dyDescent="0.25">
      <c r="B15" s="22" t="s">
        <v>56</v>
      </c>
      <c r="C15" s="22" t="s">
        <v>36</v>
      </c>
      <c r="D15" s="23">
        <f t="shared" ref="D15:O15" si="2">D16+D17</f>
        <v>4800</v>
      </c>
      <c r="E15" s="23">
        <f t="shared" si="2"/>
        <v>6900</v>
      </c>
      <c r="F15" s="23">
        <f t="shared" si="2"/>
        <v>14950</v>
      </c>
      <c r="G15" s="23">
        <f t="shared" si="2"/>
        <v>14852.5</v>
      </c>
      <c r="H15" s="23">
        <f t="shared" si="2"/>
        <v>24700</v>
      </c>
      <c r="I15" s="23">
        <f t="shared" si="2"/>
        <v>32400</v>
      </c>
      <c r="J15" s="23">
        <f t="shared" si="2"/>
        <v>41600</v>
      </c>
      <c r="K15" s="23">
        <f t="shared" si="2"/>
        <v>48830</v>
      </c>
      <c r="L15" s="23">
        <f t="shared" si="2"/>
        <v>70150</v>
      </c>
      <c r="M15" s="23">
        <f t="shared" si="2"/>
        <v>81117.5</v>
      </c>
      <c r="N15" s="23">
        <f t="shared" si="2"/>
        <v>90830</v>
      </c>
      <c r="O15" s="23">
        <f t="shared" si="2"/>
        <v>97060.137499999997</v>
      </c>
    </row>
    <row r="16" spans="2:15" ht="14.25" customHeight="1" x14ac:dyDescent="0.25">
      <c r="B16" s="24" t="s">
        <v>57</v>
      </c>
      <c r="C16" s="13" t="s">
        <v>36</v>
      </c>
      <c r="D16" s="14">
        <f>'Operational Data'!D28*'Operational Data'!D30</f>
        <v>800</v>
      </c>
      <c r="E16" s="14">
        <f>'Operational Data'!E28*'Operational Data'!E30</f>
        <v>900</v>
      </c>
      <c r="F16" s="14">
        <f>'Operational Data'!F28*'Operational Data'!F30</f>
        <v>1950</v>
      </c>
      <c r="G16" s="14">
        <f>'Operational Data'!G28*'Operational Data'!G30</f>
        <v>1852.5</v>
      </c>
      <c r="H16" s="14">
        <f>'Operational Data'!H28*'Operational Data'!H30</f>
        <v>5700</v>
      </c>
      <c r="I16" s="14">
        <f>'Operational Data'!I28*'Operational Data'!I30</f>
        <v>5400</v>
      </c>
      <c r="J16" s="14">
        <f>'Operational Data'!J28*'Operational Data'!J30</f>
        <v>9600</v>
      </c>
      <c r="K16" s="14">
        <f>'Operational Data'!K28*'Operational Data'!K30</f>
        <v>10830</v>
      </c>
      <c r="L16" s="14">
        <f>'Operational Data'!L28*'Operational Data'!L30</f>
        <v>9150</v>
      </c>
      <c r="M16" s="14">
        <f>'Operational Data'!M28*'Operational Data'!M30</f>
        <v>10117.5</v>
      </c>
      <c r="N16" s="14">
        <f>'Operational Data'!N28*'Operational Data'!N30</f>
        <v>10830</v>
      </c>
      <c r="O16" s="14">
        <f>'Operational Data'!O28*'Operational Data'!O30</f>
        <v>11060.137499999999</v>
      </c>
    </row>
    <row r="17" spans="2:15" ht="14.25" customHeight="1" x14ac:dyDescent="0.25">
      <c r="B17" s="24" t="s">
        <v>58</v>
      </c>
      <c r="C17" s="13" t="s">
        <v>36</v>
      </c>
      <c r="D17" s="14">
        <f>'Operational Data'!D31*'Operational Data'!D30</f>
        <v>4000</v>
      </c>
      <c r="E17" s="14">
        <f>'Operational Data'!E31*'Operational Data'!E30</f>
        <v>6000</v>
      </c>
      <c r="F17" s="14">
        <f>'Operational Data'!F31*'Operational Data'!F30</f>
        <v>13000</v>
      </c>
      <c r="G17" s="14">
        <f>'Operational Data'!G31*'Operational Data'!G30</f>
        <v>13000</v>
      </c>
      <c r="H17" s="14">
        <f>'Operational Data'!H31*'Operational Data'!H30</f>
        <v>19000</v>
      </c>
      <c r="I17" s="14">
        <f>'Operational Data'!I31*'Operational Data'!I30</f>
        <v>27000</v>
      </c>
      <c r="J17" s="14">
        <f>'Operational Data'!J31*'Operational Data'!J30</f>
        <v>32000</v>
      </c>
      <c r="K17" s="14">
        <f>'Operational Data'!K31*'Operational Data'!K30</f>
        <v>38000</v>
      </c>
      <c r="L17" s="14">
        <f>'Operational Data'!L31*'Operational Data'!L30</f>
        <v>61000</v>
      </c>
      <c r="M17" s="14">
        <f>'Operational Data'!M31*'Operational Data'!M30</f>
        <v>71000</v>
      </c>
      <c r="N17" s="14">
        <f>'Operational Data'!N31*'Operational Data'!N30</f>
        <v>80000</v>
      </c>
      <c r="O17" s="14">
        <f>'Operational Data'!O31*'Operational Data'!O30</f>
        <v>86000</v>
      </c>
    </row>
    <row r="18" spans="2:15" ht="14.25" customHeight="1" x14ac:dyDescent="0.25"/>
    <row r="19" spans="2:15" ht="14.25" customHeight="1" x14ac:dyDescent="0.25">
      <c r="B19" s="25" t="s">
        <v>59</v>
      </c>
      <c r="C19" s="22" t="s">
        <v>36</v>
      </c>
      <c r="D19" s="23">
        <f t="shared" ref="D19:O19" si="3">SUM(D20:D21)</f>
        <v>11653</v>
      </c>
      <c r="E19" s="23">
        <f t="shared" si="3"/>
        <v>21138</v>
      </c>
      <c r="F19" s="23">
        <f t="shared" si="3"/>
        <v>52159.06106</v>
      </c>
      <c r="G19" s="23">
        <f t="shared" si="3"/>
        <v>48566.156429333336</v>
      </c>
      <c r="H19" s="23">
        <f t="shared" si="3"/>
        <v>58313.135484765007</v>
      </c>
      <c r="I19" s="23">
        <f t="shared" si="3"/>
        <v>91881.629461411663</v>
      </c>
      <c r="J19" s="23">
        <f t="shared" si="3"/>
        <v>98995.440458472862</v>
      </c>
      <c r="K19" s="23">
        <f t="shared" si="3"/>
        <v>99756.924138132163</v>
      </c>
      <c r="L19" s="23">
        <f t="shared" si="3"/>
        <v>176184.32112735292</v>
      </c>
      <c r="M19" s="23">
        <f t="shared" si="3"/>
        <v>167998.75711743679</v>
      </c>
      <c r="N19" s="23">
        <f t="shared" si="3"/>
        <v>170619.47530817904</v>
      </c>
      <c r="O19" s="23">
        <f t="shared" si="3"/>
        <v>162655.51730376846</v>
      </c>
    </row>
    <row r="20" spans="2:15" ht="14.25" customHeight="1" x14ac:dyDescent="0.25">
      <c r="B20" s="26" t="s">
        <v>60</v>
      </c>
      <c r="C20" s="14" t="s">
        <v>36</v>
      </c>
      <c r="D20" s="14">
        <f>'Operational Data'!D27*'Operational Data'!D6</f>
        <v>813</v>
      </c>
      <c r="E20" s="14">
        <f>'Operational Data'!E27*'Operational Data'!E6</f>
        <v>1626</v>
      </c>
      <c r="F20" s="14">
        <f>'Operational Data'!F27*'Operational Data'!F6</f>
        <v>3639.0042599999992</v>
      </c>
      <c r="G20" s="14">
        <f>'Operational Data'!G27*'Operational Data'!G6</f>
        <v>3582.1798959999996</v>
      </c>
      <c r="H20" s="14">
        <f>'Operational Data'!H27*'Operational Data'!H6</f>
        <v>4906.0598047650001</v>
      </c>
      <c r="I20" s="14">
        <f>'Operational Data'!I27*'Operational Data'!I6</f>
        <v>7893.3442216783296</v>
      </c>
      <c r="J20" s="14">
        <f>'Operational Data'!J27*'Operational Data'!J6</f>
        <v>8730.6470576195097</v>
      </c>
      <c r="K20" s="14">
        <f>'Operational Data'!K27*'Operational Data'!K6</f>
        <v>9907.1734642566025</v>
      </c>
      <c r="L20" s="14">
        <f>'Operational Data'!L27*'Operational Data'!L6</f>
        <v>15318.865539555241</v>
      </c>
      <c r="M20" s="14">
        <f>'Operational Data'!M27*'Operational Data'!M6</f>
        <v>16726.21577043656</v>
      </c>
      <c r="N20" s="14">
        <f>'Operational Data'!N27*'Operational Data'!N6</f>
        <v>18031.580718097455</v>
      </c>
      <c r="O20" s="14">
        <f>'Operational Data'!O27*'Operational Data'!O6</f>
        <v>18495.802766472614</v>
      </c>
    </row>
    <row r="21" spans="2:15" ht="14.25" customHeight="1" x14ac:dyDescent="0.25">
      <c r="B21" s="26" t="s">
        <v>61</v>
      </c>
      <c r="C21" s="14" t="s">
        <v>36</v>
      </c>
      <c r="D21" s="14">
        <f>'Operational Data'!D36*'Operational Data'!D6</f>
        <v>10840</v>
      </c>
      <c r="E21" s="14">
        <f>'Operational Data'!E36*'Operational Data'!E6</f>
        <v>19512</v>
      </c>
      <c r="F21" s="14">
        <f>'Operational Data'!F36*'Operational Data'!F6</f>
        <v>48520.056799999998</v>
      </c>
      <c r="G21" s="14">
        <f>'Operational Data'!G36*'Operational Data'!G6</f>
        <v>44983.976533333334</v>
      </c>
      <c r="H21" s="14">
        <f>'Operational Data'!H36*'Operational Data'!H6</f>
        <v>53407.075680000009</v>
      </c>
      <c r="I21" s="14">
        <f>'Operational Data'!I36*'Operational Data'!I6</f>
        <v>83988.285239733334</v>
      </c>
      <c r="J21" s="14">
        <f>'Operational Data'!J36*'Operational Data'!J6</f>
        <v>90264.793400853348</v>
      </c>
      <c r="K21" s="14">
        <f>'Operational Data'!K36*'Operational Data'!K6</f>
        <v>89849.750673875562</v>
      </c>
      <c r="L21" s="14">
        <f>'Operational Data'!L36*'Operational Data'!L6</f>
        <v>160865.45558779768</v>
      </c>
      <c r="M21" s="14">
        <f>'Operational Data'!M36*'Operational Data'!M6</f>
        <v>151272.54134700022</v>
      </c>
      <c r="N21" s="14">
        <f>'Operational Data'!N36*'Operational Data'!N6</f>
        <v>152587.89459008159</v>
      </c>
      <c r="O21" s="14">
        <f>'Operational Data'!O36*'Operational Data'!O6</f>
        <v>144159.71453729583</v>
      </c>
    </row>
    <row r="22" spans="2:15" ht="14.25" customHeight="1" x14ac:dyDescent="0.25"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2:15" ht="14.25" customHeight="1" x14ac:dyDescent="0.25">
      <c r="B23" s="22" t="s">
        <v>62</v>
      </c>
      <c r="C23" s="22" t="s">
        <v>36</v>
      </c>
      <c r="D23" s="23">
        <f t="shared" ref="D23:O23" si="4">SUM(D24:D26)</f>
        <v>29000</v>
      </c>
      <c r="E23" s="23">
        <f t="shared" si="4"/>
        <v>29800</v>
      </c>
      <c r="F23" s="23">
        <f t="shared" si="4"/>
        <v>29285.714285714286</v>
      </c>
      <c r="G23" s="23">
        <f t="shared" si="4"/>
        <v>30142.857142857141</v>
      </c>
      <c r="H23" s="23">
        <f t="shared" si="4"/>
        <v>33591.836734693876</v>
      </c>
      <c r="I23" s="23">
        <f t="shared" si="4"/>
        <v>34510.204081632648</v>
      </c>
      <c r="J23" s="23">
        <f t="shared" si="4"/>
        <v>33919.825072886299</v>
      </c>
      <c r="K23" s="23">
        <f t="shared" si="4"/>
        <v>34903.790087463552</v>
      </c>
      <c r="L23" s="23">
        <f t="shared" si="4"/>
        <v>34271.241149521033</v>
      </c>
      <c r="M23" s="23">
        <f t="shared" si="4"/>
        <v>39325.489379425235</v>
      </c>
      <c r="N23" s="23">
        <f t="shared" si="4"/>
        <v>42647.758374486817</v>
      </c>
      <c r="O23" s="23">
        <f t="shared" si="4"/>
        <v>42042.641405791801</v>
      </c>
    </row>
    <row r="24" spans="2:15" ht="14.25" customHeight="1" x14ac:dyDescent="0.25">
      <c r="B24" s="24" t="s">
        <v>63</v>
      </c>
      <c r="C24" s="14" t="s">
        <v>36</v>
      </c>
      <c r="D24" s="14">
        <f>'Operational Data'!D34*4000</f>
        <v>20000</v>
      </c>
      <c r="E24" s="14">
        <f>'Operational Data'!E34*4000</f>
        <v>20000</v>
      </c>
      <c r="F24" s="14">
        <f>'Operational Data'!F34*4000</f>
        <v>20000</v>
      </c>
      <c r="G24" s="14">
        <f>'Operational Data'!G34*4000</f>
        <v>20000</v>
      </c>
      <c r="H24" s="14">
        <f>'Operational Data'!H34*4000</f>
        <v>24000</v>
      </c>
      <c r="I24" s="14">
        <f>'Operational Data'!I34*4000</f>
        <v>24000</v>
      </c>
      <c r="J24" s="14">
        <f>'Operational Data'!J34*4000</f>
        <v>24000</v>
      </c>
      <c r="K24" s="14">
        <f>'Operational Data'!K34*4000</f>
        <v>24000</v>
      </c>
      <c r="L24" s="14">
        <f>'Operational Data'!L34*4000</f>
        <v>24000</v>
      </c>
      <c r="M24" s="14">
        <f>'Operational Data'!M34*4000</f>
        <v>28000</v>
      </c>
      <c r="N24" s="14">
        <f>'Operational Data'!N34*4000</f>
        <v>32000</v>
      </c>
      <c r="O24" s="14">
        <f>'Operational Data'!O34*4000</f>
        <v>32000</v>
      </c>
    </row>
    <row r="25" spans="2:15" ht="14.25" customHeight="1" x14ac:dyDescent="0.25">
      <c r="B25" s="24" t="s">
        <v>64</v>
      </c>
      <c r="C25" s="14" t="s">
        <v>36</v>
      </c>
      <c r="D25" s="14">
        <v>5000</v>
      </c>
      <c r="E25" s="14">
        <v>5000</v>
      </c>
      <c r="F25" s="14">
        <v>5000</v>
      </c>
      <c r="G25" s="14">
        <v>5000</v>
      </c>
      <c r="H25" s="14">
        <v>5000</v>
      </c>
      <c r="I25" s="14">
        <v>5000</v>
      </c>
      <c r="J25" s="14">
        <v>5000</v>
      </c>
      <c r="K25" s="14">
        <v>5000</v>
      </c>
      <c r="L25" s="14">
        <v>5000</v>
      </c>
      <c r="M25" s="14">
        <v>5000</v>
      </c>
      <c r="N25" s="14">
        <v>5000</v>
      </c>
      <c r="O25" s="14">
        <v>5000</v>
      </c>
    </row>
    <row r="26" spans="2:15" ht="14.25" customHeight="1" x14ac:dyDescent="0.25">
      <c r="B26" s="24" t="s">
        <v>65</v>
      </c>
      <c r="C26" s="14" t="s">
        <v>36</v>
      </c>
      <c r="D26" s="14">
        <v>4000</v>
      </c>
      <c r="E26" s="14">
        <v>4800</v>
      </c>
      <c r="F26" s="14">
        <v>4285.7142857142853</v>
      </c>
      <c r="G26" s="14">
        <v>5142.8571428571422</v>
      </c>
      <c r="H26" s="14">
        <v>4591.8367346938767</v>
      </c>
      <c r="I26" s="14">
        <v>5510.2040816326517</v>
      </c>
      <c r="J26" s="14">
        <v>4919.8250728862959</v>
      </c>
      <c r="K26" s="14">
        <v>5903.7900874635552</v>
      </c>
      <c r="L26" s="14">
        <v>5271.2411495210308</v>
      </c>
      <c r="M26" s="14">
        <v>6325.4893794252366</v>
      </c>
      <c r="N26" s="14">
        <v>5647.758374486818</v>
      </c>
      <c r="O26" s="14">
        <v>5042.6414057918009</v>
      </c>
    </row>
    <row r="27" spans="2:15" ht="14.25" customHeight="1" x14ac:dyDescent="0.25"/>
    <row r="28" spans="2:15" ht="14.25" customHeight="1" x14ac:dyDescent="0.25">
      <c r="B28" s="22" t="s">
        <v>66</v>
      </c>
      <c r="C28" s="22" t="s">
        <v>36</v>
      </c>
      <c r="D28" s="23">
        <f t="shared" ref="D28:O28" si="5">D9-D15-D19-D23</f>
        <v>-45339.18</v>
      </c>
      <c r="E28" s="23">
        <f t="shared" si="5"/>
        <v>-57550.035400000001</v>
      </c>
      <c r="F28" s="23">
        <f t="shared" si="5"/>
        <v>-95828.404005999997</v>
      </c>
      <c r="G28" s="23">
        <f t="shared" si="5"/>
        <v>-86349.561489051426</v>
      </c>
      <c r="H28" s="23">
        <f t="shared" si="5"/>
        <v>-106380.78704769889</v>
      </c>
      <c r="I28" s="23">
        <f t="shared" si="5"/>
        <v>-124456.73164439666</v>
      </c>
      <c r="J28" s="23">
        <f t="shared" si="5"/>
        <v>-126190.23243029593</v>
      </c>
      <c r="K28" s="23">
        <f t="shared" si="5"/>
        <v>-124684.33605512186</v>
      </c>
      <c r="L28" s="23">
        <f t="shared" si="5"/>
        <v>-193005.0124871908</v>
      </c>
      <c r="M28" s="23">
        <f t="shared" si="5"/>
        <v>-169255.66847040382</v>
      </c>
      <c r="N28" s="23">
        <f t="shared" si="5"/>
        <v>-212423.42338805346</v>
      </c>
      <c r="O28" s="23">
        <f t="shared" si="5"/>
        <v>-135958.2451342807</v>
      </c>
    </row>
    <row r="29" spans="2:15" ht="14.25" customHeight="1" x14ac:dyDescent="0.25">
      <c r="B29" s="27" t="s">
        <v>67</v>
      </c>
      <c r="C29" s="28" t="s">
        <v>28</v>
      </c>
      <c r="D29" s="29">
        <f t="shared" ref="D29:O29" si="6">D28/D7</f>
        <v>-19.917053241960993</v>
      </c>
      <c r="E29" s="29">
        <f t="shared" si="6"/>
        <v>-9.9925538416874851</v>
      </c>
      <c r="F29" s="29">
        <f t="shared" si="6"/>
        <v>-8.4598563951295667</v>
      </c>
      <c r="G29" s="29">
        <f t="shared" si="6"/>
        <v>-3.5984240092899173</v>
      </c>
      <c r="H29" s="29">
        <f t="shared" si="6"/>
        <v>-3.2800637275326752</v>
      </c>
      <c r="I29" s="29">
        <f t="shared" si="6"/>
        <v>-2.2318498287800259</v>
      </c>
      <c r="J29" s="29">
        <f t="shared" si="6"/>
        <v>-1.6701915459986756</v>
      </c>
      <c r="K29" s="29">
        <f t="shared" si="6"/>
        <v>-1.2335441137458172</v>
      </c>
      <c r="L29" s="29">
        <f t="shared" si="6"/>
        <v>-1.4469003240484124</v>
      </c>
      <c r="M29" s="29">
        <f t="shared" si="6"/>
        <v>-0.83754463566219584</v>
      </c>
      <c r="N29" s="29">
        <f t="shared" si="6"/>
        <v>-1.8598424135827802</v>
      </c>
      <c r="O29" s="29">
        <f t="shared" si="6"/>
        <v>-0.48381186739453275</v>
      </c>
    </row>
    <row r="30" spans="2:15" ht="14.25" customHeight="1" x14ac:dyDescent="0.25"/>
    <row r="31" spans="2:15" ht="14.25" customHeight="1" x14ac:dyDescent="0.25"/>
    <row r="32" spans="2:15" ht="14.25" customHeight="1" x14ac:dyDescent="0.25">
      <c r="D32" t="s">
        <v>68</v>
      </c>
      <c r="O32" s="83">
        <f>SUM(D28:O28)</f>
        <v>-1477421.6175524935</v>
      </c>
    </row>
    <row r="33" spans="4:4" ht="14.25" customHeight="1" x14ac:dyDescent="0.25">
      <c r="D33" t="s">
        <v>69</v>
      </c>
    </row>
    <row r="34" spans="4:4" ht="14.25" customHeight="1" x14ac:dyDescent="0.25">
      <c r="D34" t="s">
        <v>70</v>
      </c>
    </row>
    <row r="35" spans="4:4" ht="14.25" customHeight="1" x14ac:dyDescent="0.25"/>
    <row r="36" spans="4:4" ht="14.25" customHeight="1" x14ac:dyDescent="0.25">
      <c r="D36" t="s">
        <v>71</v>
      </c>
    </row>
    <row r="37" spans="4:4" ht="14.25" customHeight="1" x14ac:dyDescent="0.25"/>
    <row r="38" spans="4:4" ht="14.25" customHeight="1" x14ac:dyDescent="0.25"/>
    <row r="39" spans="4:4" ht="14.25" customHeight="1" x14ac:dyDescent="0.25"/>
    <row r="40" spans="4:4" ht="14.25" customHeight="1" x14ac:dyDescent="0.25"/>
    <row r="41" spans="4:4" ht="14.25" customHeight="1" x14ac:dyDescent="0.25"/>
    <row r="42" spans="4:4" ht="14.25" customHeight="1" x14ac:dyDescent="0.25"/>
    <row r="43" spans="4:4" ht="14.25" customHeight="1" x14ac:dyDescent="0.25"/>
    <row r="44" spans="4:4" ht="14.25" customHeight="1" x14ac:dyDescent="0.25"/>
    <row r="45" spans="4:4" ht="14.25" customHeight="1" x14ac:dyDescent="0.25"/>
    <row r="46" spans="4:4" ht="14.25" customHeight="1" x14ac:dyDescent="0.25"/>
    <row r="47" spans="4:4" ht="14.25" customHeight="1" x14ac:dyDescent="0.25"/>
    <row r="48" spans="4: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D7:O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O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000"/>
  <sheetViews>
    <sheetView showGridLines="0" zoomScale="95" zoomScaleNormal="6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28" sqref="D28"/>
    </sheetView>
  </sheetViews>
  <sheetFormatPr defaultColWidth="14.42578125" defaultRowHeight="15" customHeight="1" x14ac:dyDescent="0.25"/>
  <cols>
    <col min="1" max="1" width="8.7109375" customWidth="1"/>
    <col min="2" max="2" width="37.5703125" customWidth="1"/>
    <col min="3" max="3" width="5.7109375" customWidth="1"/>
    <col min="4" max="15" width="10.85546875" customWidth="1"/>
    <col min="16" max="26" width="8.7109375" customWidth="1"/>
  </cols>
  <sheetData>
    <row r="1" spans="2:15" ht="14.25" customHeight="1" x14ac:dyDescent="0.25"/>
    <row r="2" spans="2:15" ht="14.25" customHeight="1" x14ac:dyDescent="0.25"/>
    <row r="3" spans="2:15" ht="14.25" customHeight="1" x14ac:dyDescent="0.25"/>
    <row r="4" spans="2:15" ht="14.25" customHeight="1" x14ac:dyDescent="0.25">
      <c r="B4" s="11" t="s">
        <v>21</v>
      </c>
      <c r="C4" s="11" t="s">
        <v>22</v>
      </c>
      <c r="D4" s="12">
        <v>45658</v>
      </c>
      <c r="E4" s="12">
        <f t="shared" ref="E4:O4" si="0">EOMONTH(D4,0)+1</f>
        <v>45689</v>
      </c>
      <c r="F4" s="12">
        <f t="shared" si="0"/>
        <v>45717</v>
      </c>
      <c r="G4" s="12">
        <f t="shared" si="0"/>
        <v>45748</v>
      </c>
      <c r="H4" s="12">
        <f t="shared" si="0"/>
        <v>45778</v>
      </c>
      <c r="I4" s="12">
        <f t="shared" si="0"/>
        <v>45809</v>
      </c>
      <c r="J4" s="12">
        <f t="shared" si="0"/>
        <v>45839</v>
      </c>
      <c r="K4" s="12">
        <f t="shared" si="0"/>
        <v>45870</v>
      </c>
      <c r="L4" s="12">
        <f t="shared" si="0"/>
        <v>45901</v>
      </c>
      <c r="M4" s="12">
        <f t="shared" si="0"/>
        <v>45931</v>
      </c>
      <c r="N4" s="12">
        <f t="shared" si="0"/>
        <v>45962</v>
      </c>
      <c r="O4" s="12">
        <f t="shared" si="0"/>
        <v>45992</v>
      </c>
    </row>
    <row r="5" spans="2:15" ht="6" customHeight="1" x14ac:dyDescent="0.25"/>
    <row r="6" spans="2:15" ht="14.25" customHeight="1" x14ac:dyDescent="0.25">
      <c r="B6" s="13" t="s">
        <v>23</v>
      </c>
      <c r="C6" s="13" t="s">
        <v>24</v>
      </c>
      <c r="D6" s="14">
        <v>542</v>
      </c>
      <c r="E6" s="14">
        <v>1084</v>
      </c>
      <c r="F6" s="14">
        <v>2553.6871999999998</v>
      </c>
      <c r="G6" s="14">
        <v>2646.1162666666669</v>
      </c>
      <c r="H6" s="14">
        <v>3814.7911200000008</v>
      </c>
      <c r="I6" s="14">
        <v>6460.6373261333338</v>
      </c>
      <c r="J6" s="14">
        <v>7522.0661167377784</v>
      </c>
      <c r="K6" s="14">
        <v>8984.9750673875569</v>
      </c>
      <c r="L6" s="14">
        <v>14624.132326163424</v>
      </c>
      <c r="M6" s="14">
        <v>16808.060149666693</v>
      </c>
      <c r="N6" s="14">
        <v>19073.486823760199</v>
      </c>
      <c r="O6" s="14">
        <v>20594.244933899405</v>
      </c>
    </row>
    <row r="7" spans="2:15" ht="14.25" customHeight="1" x14ac:dyDescent="0.25">
      <c r="B7" s="13" t="s">
        <v>25</v>
      </c>
      <c r="C7" s="13" t="s">
        <v>24</v>
      </c>
      <c r="D7" s="14">
        <v>542</v>
      </c>
      <c r="E7" s="14">
        <v>775.06</v>
      </c>
      <c r="F7" s="14">
        <v>1643.1271999999999</v>
      </c>
      <c r="G7" s="14">
        <v>1369.2726666666667</v>
      </c>
      <c r="H7" s="14">
        <v>1697.8981066666668</v>
      </c>
      <c r="I7" s="14">
        <v>3599.5439861333339</v>
      </c>
      <c r="J7" s="14">
        <v>2999.619988444445</v>
      </c>
      <c r="K7" s="14">
        <v>3719.5287856711116</v>
      </c>
      <c r="L7" s="14">
        <v>7885.4010256227566</v>
      </c>
      <c r="M7" s="14">
        <v>6571.1675213522976</v>
      </c>
      <c r="N7" s="14">
        <v>8148.2477264768486</v>
      </c>
      <c r="O7" s="14">
        <v>10103.827180831293</v>
      </c>
    </row>
    <row r="8" spans="2:15" ht="14.25" customHeight="1" x14ac:dyDescent="0.25">
      <c r="B8" s="13" t="s">
        <v>26</v>
      </c>
      <c r="C8" s="13" t="s">
        <v>24</v>
      </c>
      <c r="D8" s="14"/>
      <c r="E8" s="14">
        <f t="shared" ref="E8:O8" si="1">E7+D6-E6</f>
        <v>233.05999999999995</v>
      </c>
      <c r="F8" s="14">
        <f t="shared" si="1"/>
        <v>173.44000000000005</v>
      </c>
      <c r="G8" s="14">
        <f t="shared" si="1"/>
        <v>1276.8435999999997</v>
      </c>
      <c r="H8" s="14">
        <f t="shared" si="1"/>
        <v>529.22325333333265</v>
      </c>
      <c r="I8" s="14">
        <f t="shared" si="1"/>
        <v>953.69778000000042</v>
      </c>
      <c r="J8" s="14">
        <f t="shared" si="1"/>
        <v>1938.1911978400003</v>
      </c>
      <c r="K8" s="14">
        <f t="shared" si="1"/>
        <v>2256.6198350213326</v>
      </c>
      <c r="L8" s="14">
        <f t="shared" si="1"/>
        <v>2246.2437668468883</v>
      </c>
      <c r="M8" s="14">
        <f t="shared" si="1"/>
        <v>4387.2396978490287</v>
      </c>
      <c r="N8" s="14">
        <f t="shared" si="1"/>
        <v>5882.8210523833441</v>
      </c>
      <c r="O8" s="14">
        <f t="shared" si="1"/>
        <v>8583.0690706920868</v>
      </c>
    </row>
    <row r="9" spans="2:15" ht="14.25" customHeight="1" x14ac:dyDescent="0.25">
      <c r="B9" s="13" t="s">
        <v>27</v>
      </c>
      <c r="C9" s="13" t="s">
        <v>28</v>
      </c>
      <c r="D9" s="14"/>
      <c r="E9" s="15">
        <f t="shared" ref="E9:O9" si="2">E8/E6</f>
        <v>0.21499999999999994</v>
      </c>
      <c r="F9" s="15">
        <f t="shared" si="2"/>
        <v>6.7917480261482324E-2</v>
      </c>
      <c r="G9" s="15">
        <f t="shared" si="2"/>
        <v>0.48253495739567387</v>
      </c>
      <c r="H9" s="15">
        <f t="shared" si="2"/>
        <v>0.1387292873150372</v>
      </c>
      <c r="I9" s="15">
        <f t="shared" si="2"/>
        <v>0.14761667183240337</v>
      </c>
      <c r="J9" s="15">
        <f t="shared" si="2"/>
        <v>0.25766739719652565</v>
      </c>
      <c r="K9" s="15">
        <f t="shared" si="2"/>
        <v>0.25115482437030962</v>
      </c>
      <c r="L9" s="15">
        <f t="shared" si="2"/>
        <v>0.15359843009818966</v>
      </c>
      <c r="M9" s="15">
        <f t="shared" si="2"/>
        <v>0.26101999033695916</v>
      </c>
      <c r="N9" s="15">
        <f t="shared" si="2"/>
        <v>0.30842924037648972</v>
      </c>
      <c r="O9" s="15">
        <f t="shared" si="2"/>
        <v>0.41677027238633169</v>
      </c>
    </row>
    <row r="10" spans="2:15" ht="6" customHeight="1" x14ac:dyDescent="0.25"/>
    <row r="11" spans="2:15" ht="14.25" customHeight="1" x14ac:dyDescent="0.25">
      <c r="B11" s="13" t="s">
        <v>29</v>
      </c>
      <c r="C11" s="13" t="s">
        <v>24</v>
      </c>
      <c r="D11" s="14">
        <v>20</v>
      </c>
      <c r="E11" s="14">
        <v>36</v>
      </c>
      <c r="F11" s="14">
        <v>51.3</v>
      </c>
      <c r="G11" s="14">
        <v>108.53999999999999</v>
      </c>
      <c r="H11" s="14">
        <v>174.58199999999999</v>
      </c>
      <c r="I11" s="14">
        <v>238.82310000000001</v>
      </c>
      <c r="J11" s="14">
        <v>305.08960500000001</v>
      </c>
      <c r="K11" s="14">
        <v>370.64623274999997</v>
      </c>
      <c r="L11" s="14">
        <v>409.52997615535708</v>
      </c>
      <c r="M11" s="14">
        <v>453.06839977473209</v>
      </c>
      <c r="N11" s="14">
        <v>474.45866522196997</v>
      </c>
      <c r="O11" s="14">
        <v>479.57045485809766</v>
      </c>
    </row>
    <row r="12" spans="2:15" ht="14.25" customHeight="1" x14ac:dyDescent="0.25">
      <c r="B12" s="13" t="s">
        <v>30</v>
      </c>
      <c r="C12" s="13" t="s">
        <v>24</v>
      </c>
      <c r="D12" s="14">
        <v>20</v>
      </c>
      <c r="E12" s="14">
        <v>20</v>
      </c>
      <c r="F12" s="14">
        <v>22.5</v>
      </c>
      <c r="G12" s="14">
        <v>67.5</v>
      </c>
      <c r="H12" s="14">
        <v>87.75</v>
      </c>
      <c r="I12" s="14">
        <v>99.157499999999985</v>
      </c>
      <c r="J12" s="14">
        <v>114.03112499999997</v>
      </c>
      <c r="K12" s="14">
        <v>126.57454874999998</v>
      </c>
      <c r="L12" s="14">
        <v>113.01298995535711</v>
      </c>
      <c r="M12" s="14">
        <v>125.44441885044641</v>
      </c>
      <c r="N12" s="14">
        <v>112.00394540218429</v>
      </c>
      <c r="O12" s="14">
        <v>100.00352268052167</v>
      </c>
    </row>
    <row r="13" spans="2:15" ht="14.25" customHeight="1" x14ac:dyDescent="0.25">
      <c r="B13" s="13" t="s">
        <v>31</v>
      </c>
      <c r="D13" s="14">
        <f t="shared" ref="D13:O13" si="3">D7/D11</f>
        <v>27.1</v>
      </c>
      <c r="E13" s="14">
        <f t="shared" si="3"/>
        <v>21.529444444444444</v>
      </c>
      <c r="F13" s="14">
        <f t="shared" si="3"/>
        <v>32.029769980506821</v>
      </c>
      <c r="G13" s="14">
        <f t="shared" si="3"/>
        <v>12.615373748541247</v>
      </c>
      <c r="H13" s="14">
        <f t="shared" si="3"/>
        <v>9.7255049585104238</v>
      </c>
      <c r="I13" s="14">
        <f t="shared" si="3"/>
        <v>15.07200930786567</v>
      </c>
      <c r="J13" s="14">
        <f t="shared" si="3"/>
        <v>9.8319311418179751</v>
      </c>
      <c r="K13" s="14">
        <f t="shared" si="3"/>
        <v>10.035253179491844</v>
      </c>
      <c r="L13" s="14">
        <f t="shared" si="3"/>
        <v>19.254759076857891</v>
      </c>
      <c r="M13" s="14">
        <f t="shared" si="3"/>
        <v>14.503698612879459</v>
      </c>
      <c r="N13" s="14">
        <f t="shared" si="3"/>
        <v>17.173777873073064</v>
      </c>
      <c r="O13" s="14">
        <f t="shared" si="3"/>
        <v>21.068493854194919</v>
      </c>
    </row>
    <row r="14" spans="2:15" ht="6" customHeight="1" x14ac:dyDescent="0.25"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2:15" ht="14.25" customHeight="1" x14ac:dyDescent="0.25">
      <c r="B15" s="13" t="s">
        <v>32</v>
      </c>
      <c r="C15" s="13" t="s">
        <v>24</v>
      </c>
      <c r="D15" s="14">
        <f>D6*1.4</f>
        <v>758.8</v>
      </c>
      <c r="E15" s="14">
        <f>E6*1.4</f>
        <v>1517.6</v>
      </c>
      <c r="F15" s="14">
        <f>F6*1.6</f>
        <v>4085.8995199999999</v>
      </c>
      <c r="G15" s="14">
        <f>G6*1.6</f>
        <v>4233.7860266666676</v>
      </c>
      <c r="H15" s="14">
        <f>H6*1.6</f>
        <v>6103.6657920000016</v>
      </c>
      <c r="I15" s="14">
        <f>I6*1.6</f>
        <v>10337.019721813334</v>
      </c>
      <c r="J15" s="14">
        <f>J6*1.9</f>
        <v>14291.925621801778</v>
      </c>
      <c r="K15" s="14">
        <f>K6*1.9</f>
        <v>17071.452628036357</v>
      </c>
      <c r="L15" s="14">
        <f>L6*1.9</f>
        <v>27785.851419710503</v>
      </c>
      <c r="M15" s="14">
        <f>M6*2.1</f>
        <v>35296.926314300057</v>
      </c>
      <c r="N15" s="14">
        <f>N6*1.2</f>
        <v>22888.184188512238</v>
      </c>
      <c r="O15" s="14">
        <f>O6*2.6</f>
        <v>53545.036828138451</v>
      </c>
    </row>
    <row r="16" spans="2:15" ht="14.25" customHeight="1" x14ac:dyDescent="0.25">
      <c r="B16" s="13" t="s">
        <v>33</v>
      </c>
      <c r="C16" s="13" t="s">
        <v>24</v>
      </c>
      <c r="D16" s="14">
        <f t="shared" ref="D16:O16" si="4">D15*D17</f>
        <v>379.4</v>
      </c>
      <c r="E16" s="14">
        <f t="shared" si="4"/>
        <v>834.68000000000006</v>
      </c>
      <c r="F16" s="14">
        <f t="shared" si="4"/>
        <v>1838.6547840000001</v>
      </c>
      <c r="G16" s="14">
        <f t="shared" si="4"/>
        <v>3387.0288213333342</v>
      </c>
      <c r="H16" s="14">
        <f t="shared" si="4"/>
        <v>5127.079265280001</v>
      </c>
      <c r="I16" s="14">
        <f t="shared" si="4"/>
        <v>8476.3561718869332</v>
      </c>
      <c r="J16" s="14">
        <f t="shared" si="4"/>
        <v>12862.7330596216</v>
      </c>
      <c r="K16" s="14">
        <f t="shared" si="4"/>
        <v>15364.307365232722</v>
      </c>
      <c r="L16" s="14">
        <f t="shared" si="4"/>
        <v>22506.539649965511</v>
      </c>
      <c r="M16" s="14">
        <f t="shared" si="4"/>
        <v>29649.418104012046</v>
      </c>
      <c r="N16" s="14">
        <f t="shared" si="4"/>
        <v>18768.311034580034</v>
      </c>
      <c r="O16" s="14">
        <f t="shared" si="4"/>
        <v>41229.678357666606</v>
      </c>
    </row>
    <row r="17" spans="2:15" ht="14.25" customHeight="1" x14ac:dyDescent="0.25">
      <c r="B17" s="13" t="s">
        <v>34</v>
      </c>
      <c r="C17" s="13" t="s">
        <v>28</v>
      </c>
      <c r="D17" s="15">
        <v>0.5</v>
      </c>
      <c r="E17" s="15">
        <v>0.55000000000000004</v>
      </c>
      <c r="F17" s="15">
        <v>0.45</v>
      </c>
      <c r="G17" s="15">
        <v>0.8</v>
      </c>
      <c r="H17" s="15">
        <v>0.84</v>
      </c>
      <c r="I17" s="15">
        <v>0.82</v>
      </c>
      <c r="J17" s="15">
        <v>0.9</v>
      </c>
      <c r="K17" s="15">
        <v>0.9</v>
      </c>
      <c r="L17" s="15">
        <v>0.81</v>
      </c>
      <c r="M17" s="15">
        <v>0.84</v>
      </c>
      <c r="N17" s="15">
        <v>0.82</v>
      </c>
      <c r="O17" s="15">
        <v>0.77</v>
      </c>
    </row>
    <row r="18" spans="2:15" ht="6" customHeight="1" x14ac:dyDescent="0.25"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2:15" ht="14.25" customHeight="1" x14ac:dyDescent="0.25">
      <c r="B19" s="13" t="s">
        <v>35</v>
      </c>
      <c r="C19" s="13" t="s">
        <v>36</v>
      </c>
      <c r="D19" s="13">
        <v>0</v>
      </c>
      <c r="E19" s="13">
        <v>0</v>
      </c>
      <c r="F19" s="13">
        <v>0</v>
      </c>
      <c r="G19" s="13">
        <v>2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2</v>
      </c>
      <c r="N19" s="13">
        <v>2</v>
      </c>
      <c r="O19" s="13">
        <v>2</v>
      </c>
    </row>
    <row r="20" spans="2:15" ht="14.25" customHeight="1" x14ac:dyDescent="0.25">
      <c r="B20" s="13" t="s">
        <v>37</v>
      </c>
      <c r="C20" s="13" t="s">
        <v>28</v>
      </c>
      <c r="D20" s="15">
        <v>0.05</v>
      </c>
      <c r="E20" s="15">
        <v>0.05</v>
      </c>
      <c r="F20" s="15">
        <v>0.05</v>
      </c>
      <c r="G20" s="15">
        <v>0.08</v>
      </c>
      <c r="H20" s="15">
        <v>0.08</v>
      </c>
      <c r="I20" s="15">
        <v>0.08</v>
      </c>
      <c r="J20" s="15">
        <v>0.1</v>
      </c>
      <c r="K20" s="15">
        <v>0.1</v>
      </c>
      <c r="L20" s="15">
        <v>0.1</v>
      </c>
      <c r="M20" s="15">
        <v>0.13</v>
      </c>
      <c r="N20" s="15">
        <v>0.14000000000000001</v>
      </c>
      <c r="O20" s="15">
        <v>0.15</v>
      </c>
    </row>
    <row r="21" spans="2:15" ht="14.25" customHeight="1" x14ac:dyDescent="0.25">
      <c r="B21" s="13" t="s">
        <v>38</v>
      </c>
      <c r="C21" s="13" t="s">
        <v>36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2</v>
      </c>
      <c r="J21" s="13">
        <v>2</v>
      </c>
      <c r="K21" s="13">
        <v>2</v>
      </c>
      <c r="L21" s="13">
        <v>2</v>
      </c>
      <c r="M21" s="13">
        <v>2</v>
      </c>
      <c r="N21" s="13">
        <v>2</v>
      </c>
      <c r="O21" s="13">
        <v>2</v>
      </c>
    </row>
    <row r="22" spans="2:15" ht="6" customHeight="1" x14ac:dyDescent="0.25"/>
    <row r="23" spans="2:15" ht="14.25" customHeight="1" x14ac:dyDescent="0.25">
      <c r="B23" s="13" t="s">
        <v>39</v>
      </c>
      <c r="C23" s="13" t="s">
        <v>28</v>
      </c>
      <c r="D23" s="15">
        <v>0.25</v>
      </c>
      <c r="E23" s="15">
        <v>0.3</v>
      </c>
      <c r="F23" s="15">
        <v>0.2</v>
      </c>
      <c r="G23" s="15">
        <v>0.5</v>
      </c>
      <c r="H23" s="15">
        <v>0.55000000000000004</v>
      </c>
      <c r="I23" s="15">
        <v>0.4</v>
      </c>
      <c r="J23" s="15">
        <v>0.64</v>
      </c>
      <c r="K23" s="15">
        <v>0.6</v>
      </c>
      <c r="L23" s="15">
        <v>0.35</v>
      </c>
      <c r="M23" s="15">
        <v>0.42</v>
      </c>
      <c r="N23" s="15">
        <v>0.33</v>
      </c>
      <c r="O23" s="15">
        <v>0.3</v>
      </c>
    </row>
    <row r="24" spans="2:15" ht="6" customHeight="1" x14ac:dyDescent="0.25"/>
    <row r="25" spans="2:15" ht="14.25" customHeight="1" x14ac:dyDescent="0.25">
      <c r="B25" s="13" t="s">
        <v>40</v>
      </c>
      <c r="C25" s="13" t="s">
        <v>36</v>
      </c>
      <c r="D25" s="18">
        <v>6</v>
      </c>
      <c r="E25" s="18">
        <v>6.8999999999999995</v>
      </c>
      <c r="F25" s="18">
        <v>6.1607142857142847</v>
      </c>
      <c r="G25" s="18">
        <v>7.084821428571427</v>
      </c>
      <c r="H25" s="18">
        <v>6.3257334183673448</v>
      </c>
      <c r="I25" s="18">
        <v>6.5787627551020389</v>
      </c>
      <c r="J25" s="18">
        <v>5.8738953170553909</v>
      </c>
      <c r="K25" s="18">
        <v>6.5787627551020389</v>
      </c>
      <c r="L25" s="18">
        <v>5.9268132928847193</v>
      </c>
      <c r="M25" s="18">
        <v>6.8158352868174266</v>
      </c>
      <c r="N25" s="18">
        <v>6.0855672203727016</v>
      </c>
      <c r="O25" s="18">
        <v>6.8158352868174266</v>
      </c>
    </row>
    <row r="26" spans="2:15" ht="6" customHeight="1" x14ac:dyDescent="0.25"/>
    <row r="27" spans="2:15" ht="14.25" customHeight="1" x14ac:dyDescent="0.25">
      <c r="B27" s="13" t="s">
        <v>41</v>
      </c>
      <c r="C27" s="13" t="s">
        <v>36</v>
      </c>
      <c r="D27" s="19">
        <v>1.5</v>
      </c>
      <c r="E27" s="19">
        <v>1.5</v>
      </c>
      <c r="F27" s="19">
        <f t="shared" ref="F27:O27" si="5">E27*0.95</f>
        <v>1.4249999999999998</v>
      </c>
      <c r="G27" s="19">
        <f t="shared" si="5"/>
        <v>1.3537499999999998</v>
      </c>
      <c r="H27" s="19">
        <f t="shared" si="5"/>
        <v>1.2860624999999997</v>
      </c>
      <c r="I27" s="19">
        <f t="shared" si="5"/>
        <v>1.2217593749999995</v>
      </c>
      <c r="J27" s="19">
        <f t="shared" si="5"/>
        <v>1.1606714062499994</v>
      </c>
      <c r="K27" s="19">
        <f t="shared" si="5"/>
        <v>1.1026378359374993</v>
      </c>
      <c r="L27" s="19">
        <f t="shared" si="5"/>
        <v>1.0475059441406243</v>
      </c>
      <c r="M27" s="19">
        <f t="shared" si="5"/>
        <v>0.99513064693359299</v>
      </c>
      <c r="N27" s="19">
        <f t="shared" si="5"/>
        <v>0.94537411458691334</v>
      </c>
      <c r="O27" s="19">
        <f t="shared" si="5"/>
        <v>0.89810540885756762</v>
      </c>
    </row>
    <row r="28" spans="2:15" ht="14.25" customHeight="1" x14ac:dyDescent="0.25">
      <c r="B28" s="13" t="s">
        <v>42</v>
      </c>
      <c r="C28" s="13" t="s">
        <v>36</v>
      </c>
      <c r="D28" s="14">
        <v>200</v>
      </c>
      <c r="E28" s="14">
        <v>150</v>
      </c>
      <c r="F28" s="14">
        <v>150</v>
      </c>
      <c r="G28" s="14">
        <f>F28*0.95</f>
        <v>142.5</v>
      </c>
      <c r="H28" s="14">
        <v>300</v>
      </c>
      <c r="I28" s="14">
        <v>200</v>
      </c>
      <c r="J28" s="14">
        <v>300</v>
      </c>
      <c r="K28" s="14">
        <f>J28*0.95</f>
        <v>285</v>
      </c>
      <c r="L28" s="14">
        <v>150</v>
      </c>
      <c r="M28" s="14">
        <f>L28*0.95</f>
        <v>142.5</v>
      </c>
      <c r="N28" s="14">
        <f>M28*0.95</f>
        <v>135.375</v>
      </c>
      <c r="O28" s="14">
        <f>N28*0.95</f>
        <v>128.60624999999999</v>
      </c>
    </row>
    <row r="29" spans="2:15" ht="6" customHeight="1" x14ac:dyDescent="0.25"/>
    <row r="30" spans="2:15" ht="14.25" customHeight="1" x14ac:dyDescent="0.25">
      <c r="B30" s="13" t="s">
        <v>43</v>
      </c>
      <c r="C30" s="13" t="s">
        <v>24</v>
      </c>
      <c r="D30" s="14">
        <f>ROUNDUP(D6/30/6,0)</f>
        <v>4</v>
      </c>
      <c r="E30" s="14">
        <f>ROUNDUP(E6/30/7,0)</f>
        <v>6</v>
      </c>
      <c r="F30" s="14">
        <f>ROUNDUP(F6/30/7,0)</f>
        <v>13</v>
      </c>
      <c r="G30" s="14">
        <f>ROUNDUP(G6/30/7,0)</f>
        <v>13</v>
      </c>
      <c r="H30" s="14">
        <f>ROUNDUP(H6/30/7,0)</f>
        <v>19</v>
      </c>
      <c r="I30" s="14">
        <f t="shared" ref="I30:O30" si="6">ROUNDUP(I6/30/8,0)</f>
        <v>27</v>
      </c>
      <c r="J30" s="14">
        <f t="shared" si="6"/>
        <v>32</v>
      </c>
      <c r="K30" s="14">
        <f t="shared" si="6"/>
        <v>38</v>
      </c>
      <c r="L30" s="14">
        <f t="shared" si="6"/>
        <v>61</v>
      </c>
      <c r="M30" s="14">
        <f t="shared" si="6"/>
        <v>71</v>
      </c>
      <c r="N30" s="14">
        <f t="shared" si="6"/>
        <v>80</v>
      </c>
      <c r="O30" s="14">
        <f t="shared" si="6"/>
        <v>86</v>
      </c>
    </row>
    <row r="31" spans="2:15" ht="14.25" customHeight="1" x14ac:dyDescent="0.25">
      <c r="B31" s="13" t="s">
        <v>44</v>
      </c>
      <c r="C31" s="13" t="s">
        <v>36</v>
      </c>
      <c r="D31" s="13">
        <v>1000</v>
      </c>
      <c r="E31" s="13">
        <v>1000</v>
      </c>
      <c r="F31" s="13">
        <v>1000</v>
      </c>
      <c r="G31" s="13">
        <v>1000</v>
      </c>
      <c r="H31" s="13">
        <v>1000</v>
      </c>
      <c r="I31" s="13">
        <v>1000</v>
      </c>
      <c r="J31" s="13">
        <v>1000</v>
      </c>
      <c r="K31" s="13">
        <v>1000</v>
      </c>
      <c r="L31" s="13">
        <v>1000</v>
      </c>
      <c r="M31" s="13">
        <v>1000</v>
      </c>
      <c r="N31" s="13">
        <v>1000</v>
      </c>
      <c r="O31" s="13">
        <v>1000</v>
      </c>
    </row>
    <row r="32" spans="2:15" ht="14.25" customHeight="1" x14ac:dyDescent="0.25">
      <c r="B32" s="13" t="s">
        <v>45</v>
      </c>
      <c r="C32" s="13" t="s">
        <v>24</v>
      </c>
      <c r="D32" s="13">
        <v>7</v>
      </c>
      <c r="E32" s="13">
        <v>7</v>
      </c>
      <c r="F32" s="13">
        <v>7</v>
      </c>
      <c r="G32" s="13">
        <v>7</v>
      </c>
      <c r="H32" s="13">
        <v>7</v>
      </c>
      <c r="I32" s="13">
        <v>8</v>
      </c>
      <c r="J32" s="13">
        <v>8</v>
      </c>
      <c r="K32" s="13">
        <v>8</v>
      </c>
      <c r="L32" s="13">
        <v>8</v>
      </c>
      <c r="M32" s="13">
        <v>8</v>
      </c>
      <c r="N32" s="13">
        <v>8</v>
      </c>
      <c r="O32" s="13">
        <v>8</v>
      </c>
    </row>
    <row r="33" spans="2:15" ht="6" customHeight="1" x14ac:dyDescent="0.25"/>
    <row r="34" spans="2:15" ht="14.25" customHeight="1" x14ac:dyDescent="0.25">
      <c r="B34" s="13" t="s">
        <v>46</v>
      </c>
      <c r="C34" s="13" t="s">
        <v>36</v>
      </c>
      <c r="D34" s="13">
        <v>5</v>
      </c>
      <c r="E34" s="13">
        <v>5</v>
      </c>
      <c r="F34" s="13">
        <v>5</v>
      </c>
      <c r="G34" s="13">
        <v>5</v>
      </c>
      <c r="H34" s="13">
        <f>G34+1</f>
        <v>6</v>
      </c>
      <c r="I34" s="13">
        <f>H34</f>
        <v>6</v>
      </c>
      <c r="J34" s="13">
        <f>I34</f>
        <v>6</v>
      </c>
      <c r="K34" s="13">
        <f>J34</f>
        <v>6</v>
      </c>
      <c r="L34" s="13">
        <f>K34</f>
        <v>6</v>
      </c>
      <c r="M34" s="13">
        <f>L34+1</f>
        <v>7</v>
      </c>
      <c r="N34" s="13">
        <f>M34+1</f>
        <v>8</v>
      </c>
      <c r="O34" s="13">
        <f>N34</f>
        <v>8</v>
      </c>
    </row>
    <row r="35" spans="2:15" ht="6" customHeight="1" x14ac:dyDescent="0.25"/>
    <row r="36" spans="2:15" ht="14.25" customHeight="1" x14ac:dyDescent="0.25">
      <c r="B36" s="13" t="s">
        <v>47</v>
      </c>
      <c r="C36" s="13" t="s">
        <v>36</v>
      </c>
      <c r="D36" s="13">
        <v>20</v>
      </c>
      <c r="E36" s="13">
        <v>18</v>
      </c>
      <c r="F36" s="13">
        <v>19</v>
      </c>
      <c r="G36" s="13">
        <v>17</v>
      </c>
      <c r="H36" s="13">
        <v>14</v>
      </c>
      <c r="I36" s="13">
        <v>13</v>
      </c>
      <c r="J36" s="13">
        <v>12</v>
      </c>
      <c r="K36" s="13">
        <v>10</v>
      </c>
      <c r="L36" s="13">
        <v>11</v>
      </c>
      <c r="M36" s="13">
        <v>9</v>
      </c>
      <c r="N36" s="13">
        <v>8</v>
      </c>
      <c r="O36" s="13">
        <v>7</v>
      </c>
    </row>
    <row r="37" spans="2:15" ht="14.25" customHeight="1" x14ac:dyDescent="0.25">
      <c r="B37" s="13" t="s">
        <v>48</v>
      </c>
      <c r="C37" s="13" t="s">
        <v>36</v>
      </c>
      <c r="D37" s="13">
        <v>3</v>
      </c>
      <c r="E37" s="13">
        <v>2</v>
      </c>
      <c r="F37" s="13">
        <v>4</v>
      </c>
      <c r="G37" s="13">
        <v>5</v>
      </c>
      <c r="H37" s="13">
        <v>4</v>
      </c>
      <c r="I37" s="13">
        <v>5</v>
      </c>
      <c r="J37" s="13">
        <v>6</v>
      </c>
      <c r="K37" s="13">
        <v>6</v>
      </c>
      <c r="L37" s="13">
        <v>7</v>
      </c>
      <c r="M37" s="13">
        <v>7</v>
      </c>
      <c r="N37" s="13">
        <v>8</v>
      </c>
      <c r="O37" s="13">
        <v>8</v>
      </c>
    </row>
    <row r="38" spans="2:15" ht="14.25" customHeight="1" x14ac:dyDescent="0.25">
      <c r="B38" t="s">
        <v>73</v>
      </c>
      <c r="D38" s="30">
        <f>D15/D6</f>
        <v>1.4</v>
      </c>
      <c r="E38" s="30">
        <f t="shared" ref="E38:O38" si="7">E15/E6</f>
        <v>1.4</v>
      </c>
      <c r="F38" s="30">
        <f t="shared" si="7"/>
        <v>1.6</v>
      </c>
      <c r="G38" s="30">
        <f t="shared" si="7"/>
        <v>1.6000000000000003</v>
      </c>
      <c r="H38" s="30">
        <f t="shared" si="7"/>
        <v>1.6</v>
      </c>
      <c r="I38" s="30">
        <f t="shared" si="7"/>
        <v>1.6</v>
      </c>
      <c r="J38" s="30">
        <f t="shared" si="7"/>
        <v>1.9</v>
      </c>
      <c r="K38" s="30">
        <f t="shared" si="7"/>
        <v>1.9</v>
      </c>
      <c r="L38" s="30">
        <f t="shared" si="7"/>
        <v>1.9</v>
      </c>
      <c r="M38" s="30">
        <f t="shared" si="7"/>
        <v>2.1</v>
      </c>
      <c r="N38" s="30">
        <f t="shared" si="7"/>
        <v>1.2</v>
      </c>
      <c r="O38" s="30">
        <f t="shared" si="7"/>
        <v>2.6</v>
      </c>
    </row>
    <row r="39" spans="2:15" ht="14.25" customHeight="1" x14ac:dyDescent="0.25">
      <c r="B39" t="s">
        <v>72</v>
      </c>
      <c r="D39" s="32">
        <f>D16/D6</f>
        <v>0.7</v>
      </c>
      <c r="E39" s="32">
        <f t="shared" ref="E39:O39" si="8">E16/E6</f>
        <v>0.77</v>
      </c>
      <c r="F39" s="32">
        <f t="shared" si="8"/>
        <v>0.72000000000000008</v>
      </c>
      <c r="G39" s="32">
        <f t="shared" si="8"/>
        <v>1.2800000000000002</v>
      </c>
      <c r="H39" s="32">
        <f t="shared" si="8"/>
        <v>1.3440000000000001</v>
      </c>
      <c r="I39" s="32">
        <f t="shared" si="8"/>
        <v>1.3119999999999998</v>
      </c>
      <c r="J39" s="32">
        <f t="shared" si="8"/>
        <v>1.7099999999999997</v>
      </c>
      <c r="K39" s="32">
        <f t="shared" si="8"/>
        <v>1.71</v>
      </c>
      <c r="L39" s="32">
        <f t="shared" si="8"/>
        <v>1.5390000000000001</v>
      </c>
      <c r="M39" s="32">
        <f t="shared" si="8"/>
        <v>1.764</v>
      </c>
      <c r="N39" s="32">
        <f t="shared" si="8"/>
        <v>0.98399999999999999</v>
      </c>
      <c r="O39" s="32">
        <f t="shared" si="8"/>
        <v>2.0019999999999998</v>
      </c>
    </row>
    <row r="40" spans="2:15" ht="14.25" customHeight="1" x14ac:dyDescent="0.25">
      <c r="B40" t="s">
        <v>74</v>
      </c>
      <c r="D40" s="30">
        <f>D38-D39</f>
        <v>0.7</v>
      </c>
      <c r="E40" s="30">
        <f t="shared" ref="E40:O40" si="9">E38-E39</f>
        <v>0.62999999999999989</v>
      </c>
      <c r="F40" s="30">
        <f t="shared" si="9"/>
        <v>0.88</v>
      </c>
      <c r="G40" s="30">
        <f t="shared" si="9"/>
        <v>0.32000000000000006</v>
      </c>
      <c r="H40" s="30">
        <f t="shared" si="9"/>
        <v>0.25600000000000001</v>
      </c>
      <c r="I40" s="30">
        <f t="shared" si="9"/>
        <v>0.28800000000000026</v>
      </c>
      <c r="J40" s="30">
        <f t="shared" si="9"/>
        <v>0.19000000000000017</v>
      </c>
      <c r="K40" s="30">
        <f t="shared" si="9"/>
        <v>0.18999999999999995</v>
      </c>
      <c r="L40" s="30">
        <f t="shared" si="9"/>
        <v>0.36099999999999977</v>
      </c>
      <c r="M40" s="30">
        <f t="shared" si="9"/>
        <v>0.33600000000000008</v>
      </c>
      <c r="N40" s="30">
        <f t="shared" si="9"/>
        <v>0.21599999999999997</v>
      </c>
      <c r="O40" s="30">
        <f t="shared" si="9"/>
        <v>0.59800000000000031</v>
      </c>
    </row>
    <row r="41" spans="2:15" ht="14.25" customHeight="1" x14ac:dyDescent="0.25">
      <c r="B41" t="s">
        <v>75</v>
      </c>
      <c r="C41" s="13" t="s">
        <v>36</v>
      </c>
      <c r="D41" s="31">
        <f>(('Financial Data'!D13 + 'Financial Data'!D10) / 'Financial Data'!D6)*D40</f>
        <v>0.105</v>
      </c>
      <c r="E41" s="31">
        <f>(('Financial Data'!E13 + 'Financial Data'!E10) / 'Financial Data'!E6)*E40</f>
        <v>0.1195425</v>
      </c>
      <c r="F41" s="31">
        <f>(('Financial Data'!F13 + 'Financial Data'!F10) / 'Financial Data'!F6)*F40</f>
        <v>0.12198214285714286</v>
      </c>
      <c r="G41" s="31">
        <f>(('Financial Data'!G13 + 'Financial Data'!G10) / 'Financial Data'!G6)*G40</f>
        <v>0.14509714285714287</v>
      </c>
      <c r="H41" s="31">
        <f>(('Financial Data'!H13 + 'Financial Data'!H10) / 'Financial Data'!H6)*H40</f>
        <v>0.10882285714285711</v>
      </c>
      <c r="I41" s="31">
        <f>(('Financial Data'!I13 + 'Financial Data'!I10) / 'Financial Data'!I6)*I40</f>
        <v>0.59661124897959239</v>
      </c>
      <c r="J41" s="31">
        <f>(('Financial Data'!J13 + 'Financial Data'!J10) / 'Financial Data'!J6)*J40</f>
        <v>0.44244360992164755</v>
      </c>
      <c r="K41" s="31">
        <f>(('Financial Data'!K13 + 'Financial Data'!K10) / 'Financial Data'!K6)*K40</f>
        <v>0.45449684311224481</v>
      </c>
      <c r="L41" s="31">
        <f>(('Financial Data'!L13 + 'Financial Data'!L10) / 'Financial Data'!L6)*L40</f>
        <v>0.7581259474972416</v>
      </c>
      <c r="M41" s="31">
        <f>(('Financial Data'!M13 + 'Financial Data'!M10) / 'Financial Data'!M6)*M40</f>
        <v>0.81456117567567576</v>
      </c>
      <c r="N41" s="31">
        <f>(('Financial Data'!N13 + 'Financial Data'!N10) / 'Financial Data'!N6)*N40</f>
        <v>0.50514259325013766</v>
      </c>
      <c r="O41" s="31">
        <f>(('Financial Data'!O13 + 'Financial Data'!O10) / 'Financial Data'!O6)*O40</f>
        <v>1.3916829274251934</v>
      </c>
    </row>
    <row r="42" spans="2:15" ht="14.25" customHeight="1" x14ac:dyDescent="0.25">
      <c r="B42" t="s">
        <v>75</v>
      </c>
      <c r="D42" s="31">
        <f>D41*D6</f>
        <v>56.91</v>
      </c>
      <c r="E42" s="31">
        <f t="shared" ref="E42:O42" si="10">E41*E6</f>
        <v>129.58407</v>
      </c>
      <c r="F42" s="31">
        <f t="shared" si="10"/>
        <v>311.50423684285715</v>
      </c>
      <c r="G42" s="31">
        <f t="shared" si="10"/>
        <v>383.94390996114294</v>
      </c>
      <c r="H42" s="31">
        <f t="shared" si="10"/>
        <v>415.13646908159996</v>
      </c>
      <c r="I42" s="31">
        <f t="shared" si="10"/>
        <v>3854.4889043485823</v>
      </c>
      <c r="J42" s="31">
        <f t="shared" si="10"/>
        <v>3328.090086758772</v>
      </c>
      <c r="K42" s="31">
        <f t="shared" si="10"/>
        <v>4083.6428035698736</v>
      </c>
      <c r="L42" s="31">
        <f t="shared" si="10"/>
        <v>11086.934176097686</v>
      </c>
      <c r="M42" s="31">
        <f t="shared" si="10"/>
        <v>13691.193236339976</v>
      </c>
      <c r="N42" s="31">
        <f t="shared" si="10"/>
        <v>9634.8305964765586</v>
      </c>
      <c r="O42" s="31">
        <f t="shared" si="10"/>
        <v>28660.659077720582</v>
      </c>
    </row>
    <row r="43" spans="2:15" ht="14.25" customHeight="1" x14ac:dyDescent="0.25"/>
    <row r="44" spans="2:15" ht="14.25" customHeight="1" x14ac:dyDescent="0.25"/>
    <row r="45" spans="2:15" ht="14.25" customHeight="1" x14ac:dyDescent="0.25"/>
    <row r="46" spans="2:15" ht="14.25" customHeight="1" x14ac:dyDescent="0.25">
      <c r="D46" t="s">
        <v>76</v>
      </c>
      <c r="E46" s="33">
        <f>CORREL(D13:O13,D17:O17)</f>
        <v>-0.90868396460529899</v>
      </c>
    </row>
    <row r="47" spans="2:15" ht="14.25" customHeight="1" x14ac:dyDescent="0.25"/>
    <row r="48" spans="2:1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D13:O1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7:O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3:O2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:O2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showGridLines="0" topLeftCell="A4" workbookViewId="0">
      <selection activeCell="I249" sqref="I249"/>
    </sheetView>
  </sheetViews>
  <sheetFormatPr defaultColWidth="14.42578125" defaultRowHeight="15" customHeight="1" outlineLevelRow="1" outlineLevelCol="1" x14ac:dyDescent="0.25"/>
  <cols>
    <col min="1" max="1" width="8.85546875" customWidth="1"/>
    <col min="2" max="2" width="147.28515625" customWidth="1"/>
    <col min="3" max="6" width="8.85546875" hidden="1" customWidth="1" outlineLevel="1"/>
    <col min="7" max="7" width="8.85546875" customWidth="1" collapsed="1"/>
    <col min="8" max="26" width="8.85546875" customWidth="1"/>
  </cols>
  <sheetData>
    <row r="1" spans="2:2" ht="14.25" customHeight="1" x14ac:dyDescent="0.25">
      <c r="B1" s="1"/>
    </row>
    <row r="2" spans="2:2" ht="14.25" customHeight="1" x14ac:dyDescent="0.25">
      <c r="B2" s="2" t="s">
        <v>0</v>
      </c>
    </row>
    <row r="3" spans="2:2" ht="14.25" customHeight="1" x14ac:dyDescent="0.25">
      <c r="B3" s="3"/>
    </row>
    <row r="4" spans="2:2" ht="14.25" customHeight="1" x14ac:dyDescent="0.25">
      <c r="B4" s="4" t="s">
        <v>1</v>
      </c>
    </row>
    <row r="5" spans="2:2" ht="14.25" customHeight="1" x14ac:dyDescent="0.25">
      <c r="B5" s="5"/>
    </row>
    <row r="6" spans="2:2" ht="14.25" customHeight="1" x14ac:dyDescent="0.25">
      <c r="B6" s="6" t="s">
        <v>2</v>
      </c>
    </row>
    <row r="7" spans="2:2" ht="14.25" customHeight="1" x14ac:dyDescent="0.25">
      <c r="B7" s="7" t="s">
        <v>3</v>
      </c>
    </row>
    <row r="8" spans="2:2" ht="14.25" customHeight="1" x14ac:dyDescent="0.25">
      <c r="B8" s="7" t="s">
        <v>4</v>
      </c>
    </row>
    <row r="9" spans="2:2" ht="14.25" customHeight="1" x14ac:dyDescent="0.25">
      <c r="B9" s="8" t="s">
        <v>5</v>
      </c>
    </row>
    <row r="10" spans="2:2" ht="14.25" customHeight="1" x14ac:dyDescent="0.25">
      <c r="B10" s="7" t="s">
        <v>6</v>
      </c>
    </row>
    <row r="11" spans="2:2" ht="14.25" customHeight="1" x14ac:dyDescent="0.25">
      <c r="B11" s="9" t="s">
        <v>7</v>
      </c>
    </row>
    <row r="12" spans="2:2" ht="14.25" customHeight="1" x14ac:dyDescent="0.25">
      <c r="B12" s="7"/>
    </row>
    <row r="13" spans="2:2" ht="14.25" customHeight="1" x14ac:dyDescent="0.25">
      <c r="B13" s="6" t="s">
        <v>8</v>
      </c>
    </row>
    <row r="14" spans="2:2" ht="14.25" customHeight="1" x14ac:dyDescent="0.25">
      <c r="B14" s="8" t="s">
        <v>9</v>
      </c>
    </row>
    <row r="15" spans="2:2" ht="14.25" customHeight="1" x14ac:dyDescent="0.25">
      <c r="B15" s="8" t="s">
        <v>10</v>
      </c>
    </row>
    <row r="16" spans="2:2" ht="14.25" customHeight="1" x14ac:dyDescent="0.25">
      <c r="B16" s="8" t="s">
        <v>11</v>
      </c>
    </row>
    <row r="17" spans="2:2" ht="14.25" customHeight="1" x14ac:dyDescent="0.25">
      <c r="B17" s="8" t="s">
        <v>12</v>
      </c>
    </row>
    <row r="18" spans="2:2" ht="14.25" customHeight="1" x14ac:dyDescent="0.25">
      <c r="B18" s="7"/>
    </row>
    <row r="19" spans="2:2" ht="14.25" customHeight="1" x14ac:dyDescent="0.25">
      <c r="B19" s="4" t="s">
        <v>13</v>
      </c>
    </row>
    <row r="20" spans="2:2" ht="14.25" customHeight="1" x14ac:dyDescent="0.25">
      <c r="B20" s="3"/>
    </row>
    <row r="21" spans="2:2" ht="14.25" customHeight="1" x14ac:dyDescent="0.25">
      <c r="B21" s="6" t="s">
        <v>2</v>
      </c>
    </row>
    <row r="22" spans="2:2" ht="14.25" customHeight="1" x14ac:dyDescent="0.25">
      <c r="B22" s="7" t="s">
        <v>14</v>
      </c>
    </row>
    <row r="23" spans="2:2" ht="14.25" customHeight="1" x14ac:dyDescent="0.25">
      <c r="B23" s="7" t="s">
        <v>15</v>
      </c>
    </row>
    <row r="24" spans="2:2" ht="14.25" customHeight="1" x14ac:dyDescent="0.25">
      <c r="B24" s="8" t="s">
        <v>16</v>
      </c>
    </row>
    <row r="25" spans="2:2" ht="14.25" customHeight="1" x14ac:dyDescent="0.25">
      <c r="B25" s="8" t="s">
        <v>17</v>
      </c>
    </row>
    <row r="26" spans="2:2" ht="14.25" customHeight="1" x14ac:dyDescent="0.25">
      <c r="B26" s="3"/>
    </row>
    <row r="27" spans="2:2" ht="14.25" customHeight="1" x14ac:dyDescent="0.25">
      <c r="B27" s="4" t="s">
        <v>18</v>
      </c>
    </row>
    <row r="28" spans="2:2" ht="14.25" customHeight="1" x14ac:dyDescent="0.25">
      <c r="B28" s="3"/>
    </row>
    <row r="29" spans="2:2" ht="14.25" customHeight="1" x14ac:dyDescent="0.25">
      <c r="B29" s="6" t="s">
        <v>2</v>
      </c>
    </row>
    <row r="30" spans="2:2" ht="14.25" customHeight="1" x14ac:dyDescent="0.25">
      <c r="B30" s="8" t="s">
        <v>19</v>
      </c>
    </row>
    <row r="31" spans="2:2" ht="14.25" customHeight="1" x14ac:dyDescent="0.25">
      <c r="B31" s="3"/>
    </row>
    <row r="32" spans="2:2" ht="14.25" customHeight="1" x14ac:dyDescent="0.25">
      <c r="B32" s="6" t="s">
        <v>8</v>
      </c>
    </row>
    <row r="33" spans="2:2" ht="14.25" customHeight="1" x14ac:dyDescent="0.25">
      <c r="B33" s="10" t="s">
        <v>20</v>
      </c>
    </row>
    <row r="34" spans="2:2" ht="14.25" customHeight="1" x14ac:dyDescent="0.25">
      <c r="B34" s="1"/>
    </row>
    <row r="35" spans="2:2" ht="14.25" hidden="1" customHeight="1" outlineLevel="1" x14ac:dyDescent="0.25">
      <c r="B35" s="1"/>
    </row>
    <row r="36" spans="2:2" ht="14.25" hidden="1" customHeight="1" outlineLevel="1" x14ac:dyDescent="0.25">
      <c r="B36" s="1"/>
    </row>
    <row r="37" spans="2:2" ht="14.25" hidden="1" customHeight="1" outlineLevel="1" x14ac:dyDescent="0.25">
      <c r="B37" s="1"/>
    </row>
    <row r="38" spans="2:2" ht="14.25" hidden="1" customHeight="1" outlineLevel="1" x14ac:dyDescent="0.25">
      <c r="B38" s="1"/>
    </row>
    <row r="39" spans="2:2" ht="14.25" hidden="1" customHeight="1" outlineLevel="1" x14ac:dyDescent="0.25">
      <c r="B39" s="1"/>
    </row>
    <row r="40" spans="2:2" ht="14.25" hidden="1" customHeight="1" outlineLevel="1" x14ac:dyDescent="0.25">
      <c r="B40" s="1"/>
    </row>
    <row r="41" spans="2:2" ht="14.25" hidden="1" customHeight="1" outlineLevel="1" x14ac:dyDescent="0.25">
      <c r="B41" s="1"/>
    </row>
    <row r="42" spans="2:2" ht="14.25" hidden="1" customHeight="1" outlineLevel="1" x14ac:dyDescent="0.25">
      <c r="B42" s="1"/>
    </row>
    <row r="43" spans="2:2" ht="14.25" hidden="1" customHeight="1" outlineLevel="1" x14ac:dyDescent="0.25">
      <c r="B43" s="1"/>
    </row>
    <row r="44" spans="2:2" ht="14.25" hidden="1" customHeight="1" outlineLevel="1" x14ac:dyDescent="0.25">
      <c r="B44" s="1"/>
    </row>
    <row r="45" spans="2:2" ht="14.25" hidden="1" customHeight="1" outlineLevel="1" x14ac:dyDescent="0.25">
      <c r="B45" s="1"/>
    </row>
    <row r="46" spans="2:2" ht="14.25" hidden="1" customHeight="1" outlineLevel="1" x14ac:dyDescent="0.25">
      <c r="B46" s="1"/>
    </row>
    <row r="47" spans="2:2" ht="14.25" hidden="1" customHeight="1" outlineLevel="1" x14ac:dyDescent="0.25">
      <c r="B47" s="1"/>
    </row>
    <row r="48" spans="2:2" ht="14.25" hidden="1" customHeight="1" outlineLevel="1" x14ac:dyDescent="0.25">
      <c r="B48" s="1"/>
    </row>
    <row r="49" spans="2:2" ht="14.25" hidden="1" customHeight="1" outlineLevel="1" x14ac:dyDescent="0.25">
      <c r="B49" s="1"/>
    </row>
    <row r="50" spans="2:2" ht="14.25" hidden="1" customHeight="1" outlineLevel="1" x14ac:dyDescent="0.25">
      <c r="B50" s="1"/>
    </row>
    <row r="51" spans="2:2" ht="14.25" hidden="1" customHeight="1" outlineLevel="1" x14ac:dyDescent="0.25">
      <c r="B51" s="1"/>
    </row>
    <row r="52" spans="2:2" ht="14.25" hidden="1" customHeight="1" outlineLevel="1" x14ac:dyDescent="0.25">
      <c r="B52" s="1"/>
    </row>
    <row r="53" spans="2:2" ht="14.25" hidden="1" customHeight="1" outlineLevel="1" x14ac:dyDescent="0.25">
      <c r="B53" s="1"/>
    </row>
    <row r="54" spans="2:2" ht="14.25" hidden="1" customHeight="1" outlineLevel="1" x14ac:dyDescent="0.25">
      <c r="B54" s="1"/>
    </row>
    <row r="55" spans="2:2" ht="14.25" hidden="1" customHeight="1" outlineLevel="1" x14ac:dyDescent="0.25">
      <c r="B55" s="1"/>
    </row>
    <row r="56" spans="2:2" ht="14.25" hidden="1" customHeight="1" outlineLevel="1" x14ac:dyDescent="0.25">
      <c r="B56" s="1"/>
    </row>
    <row r="57" spans="2:2" ht="14.25" hidden="1" customHeight="1" outlineLevel="1" x14ac:dyDescent="0.25">
      <c r="B57" s="1"/>
    </row>
    <row r="58" spans="2:2" ht="14.25" hidden="1" customHeight="1" outlineLevel="1" x14ac:dyDescent="0.25">
      <c r="B58" s="1"/>
    </row>
    <row r="59" spans="2:2" ht="14.25" hidden="1" customHeight="1" outlineLevel="1" x14ac:dyDescent="0.25">
      <c r="B59" s="1"/>
    </row>
    <row r="60" spans="2:2" ht="14.25" hidden="1" customHeight="1" outlineLevel="1" x14ac:dyDescent="0.25">
      <c r="B60" s="1"/>
    </row>
    <row r="61" spans="2:2" ht="14.25" hidden="1" customHeight="1" outlineLevel="1" x14ac:dyDescent="0.25">
      <c r="B61" s="1"/>
    </row>
    <row r="62" spans="2:2" ht="14.25" hidden="1" customHeight="1" outlineLevel="1" x14ac:dyDescent="0.25">
      <c r="B62" s="1"/>
    </row>
    <row r="63" spans="2:2" ht="14.25" hidden="1" customHeight="1" outlineLevel="1" x14ac:dyDescent="0.25">
      <c r="B63" s="1"/>
    </row>
    <row r="64" spans="2:2" ht="14.25" hidden="1" customHeight="1" outlineLevel="1" x14ac:dyDescent="0.25">
      <c r="B64" s="1"/>
    </row>
    <row r="65" spans="2:2" ht="14.25" hidden="1" customHeight="1" outlineLevel="1" x14ac:dyDescent="0.25">
      <c r="B65" s="1"/>
    </row>
    <row r="66" spans="2:2" ht="14.25" hidden="1" customHeight="1" outlineLevel="1" x14ac:dyDescent="0.25">
      <c r="B66" s="1"/>
    </row>
    <row r="67" spans="2:2" ht="14.25" hidden="1" customHeight="1" outlineLevel="1" x14ac:dyDescent="0.25">
      <c r="B67" s="1"/>
    </row>
    <row r="68" spans="2:2" ht="14.25" hidden="1" customHeight="1" outlineLevel="1" x14ac:dyDescent="0.25">
      <c r="B68" s="1"/>
    </row>
    <row r="69" spans="2:2" ht="14.25" hidden="1" customHeight="1" outlineLevel="1" x14ac:dyDescent="0.25">
      <c r="B69" s="1"/>
    </row>
    <row r="70" spans="2:2" ht="14.25" hidden="1" customHeight="1" outlineLevel="1" x14ac:dyDescent="0.25">
      <c r="B70" s="1"/>
    </row>
    <row r="71" spans="2:2" ht="14.25" hidden="1" customHeight="1" outlineLevel="1" x14ac:dyDescent="0.25">
      <c r="B71" s="1"/>
    </row>
    <row r="72" spans="2:2" ht="14.25" hidden="1" customHeight="1" outlineLevel="1" x14ac:dyDescent="0.25">
      <c r="B72" s="1"/>
    </row>
    <row r="73" spans="2:2" ht="14.25" hidden="1" customHeight="1" outlineLevel="1" x14ac:dyDescent="0.25">
      <c r="B73" s="1"/>
    </row>
    <row r="74" spans="2:2" ht="14.25" hidden="1" customHeight="1" outlineLevel="1" x14ac:dyDescent="0.25">
      <c r="B74" s="1"/>
    </row>
    <row r="75" spans="2:2" ht="14.25" hidden="1" customHeight="1" outlineLevel="1" x14ac:dyDescent="0.25">
      <c r="B75" s="1"/>
    </row>
    <row r="76" spans="2:2" ht="14.25" hidden="1" customHeight="1" outlineLevel="1" x14ac:dyDescent="0.25">
      <c r="B76" s="1"/>
    </row>
    <row r="77" spans="2:2" ht="14.25" hidden="1" customHeight="1" outlineLevel="1" x14ac:dyDescent="0.25">
      <c r="B77" s="1"/>
    </row>
    <row r="78" spans="2:2" ht="14.25" hidden="1" customHeight="1" outlineLevel="1" x14ac:dyDescent="0.25">
      <c r="B78" s="1"/>
    </row>
    <row r="79" spans="2:2" ht="14.25" hidden="1" customHeight="1" outlineLevel="1" x14ac:dyDescent="0.25">
      <c r="B79" s="1"/>
    </row>
    <row r="80" spans="2:2" ht="14.25" hidden="1" customHeight="1" outlineLevel="1" x14ac:dyDescent="0.25">
      <c r="B80" s="1"/>
    </row>
    <row r="81" spans="2:2" ht="14.25" hidden="1" customHeight="1" outlineLevel="1" x14ac:dyDescent="0.25">
      <c r="B81" s="1"/>
    </row>
    <row r="82" spans="2:2" ht="14.25" hidden="1" customHeight="1" outlineLevel="1" x14ac:dyDescent="0.25">
      <c r="B82" s="1"/>
    </row>
    <row r="83" spans="2:2" ht="14.25" hidden="1" customHeight="1" outlineLevel="1" x14ac:dyDescent="0.25">
      <c r="B83" s="1"/>
    </row>
    <row r="84" spans="2:2" ht="14.25" hidden="1" customHeight="1" outlineLevel="1" x14ac:dyDescent="0.25">
      <c r="B84" s="1"/>
    </row>
    <row r="85" spans="2:2" ht="14.25" hidden="1" customHeight="1" outlineLevel="1" x14ac:dyDescent="0.25">
      <c r="B85" s="1"/>
    </row>
    <row r="86" spans="2:2" ht="14.25" hidden="1" customHeight="1" outlineLevel="1" x14ac:dyDescent="0.25">
      <c r="B86" s="1"/>
    </row>
    <row r="87" spans="2:2" ht="14.25" hidden="1" customHeight="1" outlineLevel="1" x14ac:dyDescent="0.25">
      <c r="B87" s="1"/>
    </row>
    <row r="88" spans="2:2" ht="14.25" hidden="1" customHeight="1" outlineLevel="1" x14ac:dyDescent="0.25">
      <c r="B88" s="1"/>
    </row>
    <row r="89" spans="2:2" ht="14.25" hidden="1" customHeight="1" outlineLevel="1" x14ac:dyDescent="0.25">
      <c r="B89" s="1"/>
    </row>
    <row r="90" spans="2:2" ht="14.25" hidden="1" customHeight="1" outlineLevel="1" x14ac:dyDescent="0.25">
      <c r="B90" s="1"/>
    </row>
    <row r="91" spans="2:2" ht="14.25" hidden="1" customHeight="1" outlineLevel="1" x14ac:dyDescent="0.25">
      <c r="B91" s="1"/>
    </row>
    <row r="92" spans="2:2" ht="14.25" hidden="1" customHeight="1" outlineLevel="1" x14ac:dyDescent="0.25">
      <c r="B92" s="1"/>
    </row>
    <row r="93" spans="2:2" ht="14.25" hidden="1" customHeight="1" outlineLevel="1" x14ac:dyDescent="0.25">
      <c r="B93" s="1"/>
    </row>
    <row r="94" spans="2:2" ht="14.25" hidden="1" customHeight="1" outlineLevel="1" x14ac:dyDescent="0.25">
      <c r="B94" s="1"/>
    </row>
    <row r="95" spans="2:2" ht="14.25" hidden="1" customHeight="1" outlineLevel="1" x14ac:dyDescent="0.25">
      <c r="B95" s="1"/>
    </row>
    <row r="96" spans="2:2" ht="14.25" hidden="1" customHeight="1" outlineLevel="1" x14ac:dyDescent="0.25">
      <c r="B96" s="1"/>
    </row>
    <row r="97" spans="2:2" ht="14.25" hidden="1" customHeight="1" outlineLevel="1" x14ac:dyDescent="0.25">
      <c r="B97" s="1"/>
    </row>
    <row r="98" spans="2:2" ht="14.25" hidden="1" customHeight="1" outlineLevel="1" x14ac:dyDescent="0.25">
      <c r="B98" s="1"/>
    </row>
    <row r="99" spans="2:2" ht="14.25" hidden="1" customHeight="1" outlineLevel="1" x14ac:dyDescent="0.25">
      <c r="B99" s="1"/>
    </row>
    <row r="100" spans="2:2" ht="14.25" hidden="1" customHeight="1" outlineLevel="1" x14ac:dyDescent="0.25">
      <c r="B100" s="1"/>
    </row>
    <row r="101" spans="2:2" ht="14.25" hidden="1" customHeight="1" outlineLevel="1" x14ac:dyDescent="0.25">
      <c r="B101" s="1"/>
    </row>
    <row r="102" spans="2:2" ht="14.25" hidden="1" customHeight="1" outlineLevel="1" x14ac:dyDescent="0.25">
      <c r="B102" s="1"/>
    </row>
    <row r="103" spans="2:2" ht="14.25" hidden="1" customHeight="1" outlineLevel="1" x14ac:dyDescent="0.25">
      <c r="B103" s="1"/>
    </row>
    <row r="104" spans="2:2" ht="14.25" hidden="1" customHeight="1" outlineLevel="1" x14ac:dyDescent="0.25">
      <c r="B104" s="1"/>
    </row>
    <row r="105" spans="2:2" ht="14.25" hidden="1" customHeight="1" outlineLevel="1" x14ac:dyDescent="0.25">
      <c r="B105" s="1"/>
    </row>
    <row r="106" spans="2:2" ht="14.25" hidden="1" customHeight="1" outlineLevel="1" x14ac:dyDescent="0.25">
      <c r="B106" s="1"/>
    </row>
    <row r="107" spans="2:2" ht="14.25" hidden="1" customHeight="1" outlineLevel="1" x14ac:dyDescent="0.25">
      <c r="B107" s="1"/>
    </row>
    <row r="108" spans="2:2" ht="14.25" hidden="1" customHeight="1" outlineLevel="1" x14ac:dyDescent="0.25">
      <c r="B108" s="1"/>
    </row>
    <row r="109" spans="2:2" ht="14.25" hidden="1" customHeight="1" outlineLevel="1" x14ac:dyDescent="0.25">
      <c r="B109" s="1"/>
    </row>
    <row r="110" spans="2:2" ht="14.25" hidden="1" customHeight="1" outlineLevel="1" x14ac:dyDescent="0.25">
      <c r="B110" s="1"/>
    </row>
    <row r="111" spans="2:2" ht="14.25" hidden="1" customHeight="1" outlineLevel="1" x14ac:dyDescent="0.25">
      <c r="B111" s="1"/>
    </row>
    <row r="112" spans="2:2" ht="14.25" hidden="1" customHeight="1" outlineLevel="1" x14ac:dyDescent="0.25">
      <c r="B112" s="1"/>
    </row>
    <row r="113" spans="2:2" ht="14.25" hidden="1" customHeight="1" outlineLevel="1" x14ac:dyDescent="0.25">
      <c r="B113" s="1"/>
    </row>
    <row r="114" spans="2:2" ht="14.25" hidden="1" customHeight="1" outlineLevel="1" x14ac:dyDescent="0.25">
      <c r="B114" s="1"/>
    </row>
    <row r="115" spans="2:2" ht="14.25" hidden="1" customHeight="1" outlineLevel="1" x14ac:dyDescent="0.25">
      <c r="B115" s="1"/>
    </row>
    <row r="116" spans="2:2" ht="14.25" hidden="1" customHeight="1" outlineLevel="1" x14ac:dyDescent="0.25">
      <c r="B116" s="1"/>
    </row>
    <row r="117" spans="2:2" ht="14.25" hidden="1" customHeight="1" outlineLevel="1" x14ac:dyDescent="0.25">
      <c r="B117" s="1"/>
    </row>
    <row r="118" spans="2:2" ht="14.25" hidden="1" customHeight="1" outlineLevel="1" x14ac:dyDescent="0.25">
      <c r="B118" s="1"/>
    </row>
    <row r="119" spans="2:2" ht="14.25" hidden="1" customHeight="1" outlineLevel="1" x14ac:dyDescent="0.25">
      <c r="B119" s="1"/>
    </row>
    <row r="120" spans="2:2" ht="14.25" hidden="1" customHeight="1" outlineLevel="1" x14ac:dyDescent="0.25">
      <c r="B120" s="1"/>
    </row>
    <row r="121" spans="2:2" ht="14.25" hidden="1" customHeight="1" outlineLevel="1" x14ac:dyDescent="0.25">
      <c r="B121" s="1"/>
    </row>
    <row r="122" spans="2:2" ht="14.25" hidden="1" customHeight="1" outlineLevel="1" x14ac:dyDescent="0.25">
      <c r="B122" s="1"/>
    </row>
    <row r="123" spans="2:2" ht="14.25" hidden="1" customHeight="1" outlineLevel="1" x14ac:dyDescent="0.25">
      <c r="B123" s="1"/>
    </row>
    <row r="124" spans="2:2" ht="14.25" hidden="1" customHeight="1" outlineLevel="1" x14ac:dyDescent="0.25">
      <c r="B124" s="1"/>
    </row>
    <row r="125" spans="2:2" ht="14.25" hidden="1" customHeight="1" outlineLevel="1" x14ac:dyDescent="0.25">
      <c r="B125" s="1"/>
    </row>
    <row r="126" spans="2:2" ht="14.25" hidden="1" customHeight="1" outlineLevel="1" x14ac:dyDescent="0.25">
      <c r="B126" s="1"/>
    </row>
    <row r="127" spans="2:2" ht="14.25" hidden="1" customHeight="1" outlineLevel="1" x14ac:dyDescent="0.25">
      <c r="B127" s="1"/>
    </row>
    <row r="128" spans="2:2" ht="14.25" hidden="1" customHeight="1" outlineLevel="1" x14ac:dyDescent="0.25">
      <c r="B128" s="1"/>
    </row>
    <row r="129" spans="2:2" ht="14.25" hidden="1" customHeight="1" outlineLevel="1" x14ac:dyDescent="0.25">
      <c r="B129" s="1"/>
    </row>
    <row r="130" spans="2:2" ht="14.25" hidden="1" customHeight="1" outlineLevel="1" x14ac:dyDescent="0.25">
      <c r="B130" s="1"/>
    </row>
    <row r="131" spans="2:2" ht="14.25" hidden="1" customHeight="1" outlineLevel="1" x14ac:dyDescent="0.25">
      <c r="B131" s="1"/>
    </row>
    <row r="132" spans="2:2" ht="14.25" hidden="1" customHeight="1" outlineLevel="1" x14ac:dyDescent="0.25">
      <c r="B132" s="1"/>
    </row>
    <row r="133" spans="2:2" ht="14.25" hidden="1" customHeight="1" outlineLevel="1" x14ac:dyDescent="0.25">
      <c r="B133" s="1"/>
    </row>
    <row r="134" spans="2:2" ht="14.25" hidden="1" customHeight="1" outlineLevel="1" x14ac:dyDescent="0.25">
      <c r="B134" s="1"/>
    </row>
    <row r="135" spans="2:2" ht="14.25" hidden="1" customHeight="1" outlineLevel="1" x14ac:dyDescent="0.25">
      <c r="B135" s="1"/>
    </row>
    <row r="136" spans="2:2" ht="14.25" hidden="1" customHeight="1" outlineLevel="1" x14ac:dyDescent="0.25">
      <c r="B136" s="1"/>
    </row>
    <row r="137" spans="2:2" ht="14.25" hidden="1" customHeight="1" outlineLevel="1" x14ac:dyDescent="0.25">
      <c r="B137" s="1"/>
    </row>
    <row r="138" spans="2:2" ht="14.25" hidden="1" customHeight="1" outlineLevel="1" x14ac:dyDescent="0.25">
      <c r="B138" s="1"/>
    </row>
    <row r="139" spans="2:2" ht="14.25" hidden="1" customHeight="1" outlineLevel="1" x14ac:dyDescent="0.25">
      <c r="B139" s="1"/>
    </row>
    <row r="140" spans="2:2" ht="14.25" hidden="1" customHeight="1" outlineLevel="1" x14ac:dyDescent="0.25">
      <c r="B140" s="1"/>
    </row>
    <row r="141" spans="2:2" ht="14.25" hidden="1" customHeight="1" outlineLevel="1" x14ac:dyDescent="0.25">
      <c r="B141" s="1"/>
    </row>
    <row r="142" spans="2:2" ht="14.25" hidden="1" customHeight="1" outlineLevel="1" x14ac:dyDescent="0.25">
      <c r="B142" s="1"/>
    </row>
    <row r="143" spans="2:2" ht="14.25" hidden="1" customHeight="1" outlineLevel="1" x14ac:dyDescent="0.25">
      <c r="B143" s="1"/>
    </row>
    <row r="144" spans="2:2" ht="14.25" hidden="1" customHeight="1" outlineLevel="1" x14ac:dyDescent="0.25">
      <c r="B144" s="1"/>
    </row>
    <row r="145" spans="2:2" ht="14.25" hidden="1" customHeight="1" outlineLevel="1" x14ac:dyDescent="0.25">
      <c r="B145" s="1"/>
    </row>
    <row r="146" spans="2:2" ht="14.25" hidden="1" customHeight="1" outlineLevel="1" x14ac:dyDescent="0.25">
      <c r="B146" s="1"/>
    </row>
    <row r="147" spans="2:2" ht="14.25" hidden="1" customHeight="1" outlineLevel="1" x14ac:dyDescent="0.25">
      <c r="B147" s="1"/>
    </row>
    <row r="148" spans="2:2" ht="14.25" hidden="1" customHeight="1" outlineLevel="1" x14ac:dyDescent="0.25">
      <c r="B148" s="1"/>
    </row>
    <row r="149" spans="2:2" ht="14.25" hidden="1" customHeight="1" outlineLevel="1" x14ac:dyDescent="0.25">
      <c r="B149" s="1"/>
    </row>
    <row r="150" spans="2:2" ht="14.25" hidden="1" customHeight="1" outlineLevel="1" x14ac:dyDescent="0.25">
      <c r="B150" s="1"/>
    </row>
    <row r="151" spans="2:2" ht="14.25" hidden="1" customHeight="1" outlineLevel="1" x14ac:dyDescent="0.25">
      <c r="B151" s="1"/>
    </row>
    <row r="152" spans="2:2" ht="14.25" hidden="1" customHeight="1" outlineLevel="1" x14ac:dyDescent="0.25">
      <c r="B152" s="1"/>
    </row>
    <row r="153" spans="2:2" ht="14.25" hidden="1" customHeight="1" outlineLevel="1" x14ac:dyDescent="0.25">
      <c r="B153" s="1"/>
    </row>
    <row r="154" spans="2:2" ht="14.25" hidden="1" customHeight="1" outlineLevel="1" x14ac:dyDescent="0.25">
      <c r="B154" s="1"/>
    </row>
    <row r="155" spans="2:2" ht="14.25" hidden="1" customHeight="1" outlineLevel="1" x14ac:dyDescent="0.25">
      <c r="B155" s="1"/>
    </row>
    <row r="156" spans="2:2" ht="14.25" hidden="1" customHeight="1" outlineLevel="1" x14ac:dyDescent="0.25">
      <c r="B156" s="1"/>
    </row>
    <row r="157" spans="2:2" ht="14.25" hidden="1" customHeight="1" outlineLevel="1" x14ac:dyDescent="0.25">
      <c r="B157" s="1"/>
    </row>
    <row r="158" spans="2:2" ht="14.25" hidden="1" customHeight="1" outlineLevel="1" x14ac:dyDescent="0.25">
      <c r="B158" s="1"/>
    </row>
    <row r="159" spans="2:2" ht="14.25" hidden="1" customHeight="1" outlineLevel="1" x14ac:dyDescent="0.25">
      <c r="B159" s="1"/>
    </row>
    <row r="160" spans="2:2" ht="14.25" hidden="1" customHeight="1" outlineLevel="1" x14ac:dyDescent="0.25">
      <c r="B160" s="1"/>
    </row>
    <row r="161" spans="2:2" ht="14.25" hidden="1" customHeight="1" outlineLevel="1" x14ac:dyDescent="0.25">
      <c r="B161" s="1"/>
    </row>
    <row r="162" spans="2:2" ht="14.25" hidden="1" customHeight="1" outlineLevel="1" x14ac:dyDescent="0.25">
      <c r="B162" s="1"/>
    </row>
    <row r="163" spans="2:2" ht="14.25" hidden="1" customHeight="1" outlineLevel="1" x14ac:dyDescent="0.25">
      <c r="B163" s="1"/>
    </row>
    <row r="164" spans="2:2" ht="14.25" hidden="1" customHeight="1" outlineLevel="1" x14ac:dyDescent="0.25">
      <c r="B164" s="1"/>
    </row>
    <row r="165" spans="2:2" ht="14.25" hidden="1" customHeight="1" outlineLevel="1" x14ac:dyDescent="0.25">
      <c r="B165" s="1"/>
    </row>
    <row r="166" spans="2:2" ht="14.25" hidden="1" customHeight="1" outlineLevel="1" x14ac:dyDescent="0.25">
      <c r="B166" s="1"/>
    </row>
    <row r="167" spans="2:2" ht="14.25" hidden="1" customHeight="1" outlineLevel="1" x14ac:dyDescent="0.25">
      <c r="B167" s="1"/>
    </row>
    <row r="168" spans="2:2" ht="14.25" hidden="1" customHeight="1" outlineLevel="1" x14ac:dyDescent="0.25">
      <c r="B168" s="1"/>
    </row>
    <row r="169" spans="2:2" ht="14.25" hidden="1" customHeight="1" outlineLevel="1" x14ac:dyDescent="0.25">
      <c r="B169" s="1"/>
    </row>
    <row r="170" spans="2:2" ht="14.25" hidden="1" customHeight="1" outlineLevel="1" x14ac:dyDescent="0.25">
      <c r="B170" s="1"/>
    </row>
    <row r="171" spans="2:2" ht="14.25" hidden="1" customHeight="1" outlineLevel="1" x14ac:dyDescent="0.25">
      <c r="B171" s="1"/>
    </row>
    <row r="172" spans="2:2" ht="14.25" hidden="1" customHeight="1" outlineLevel="1" x14ac:dyDescent="0.25">
      <c r="B172" s="1"/>
    </row>
    <row r="173" spans="2:2" ht="14.25" hidden="1" customHeight="1" outlineLevel="1" x14ac:dyDescent="0.25">
      <c r="B173" s="1"/>
    </row>
    <row r="174" spans="2:2" ht="14.25" hidden="1" customHeight="1" outlineLevel="1" x14ac:dyDescent="0.25">
      <c r="B174" s="1"/>
    </row>
    <row r="175" spans="2:2" ht="14.25" hidden="1" customHeight="1" outlineLevel="1" x14ac:dyDescent="0.25">
      <c r="B175" s="1"/>
    </row>
    <row r="176" spans="2:2" ht="14.25" hidden="1" customHeight="1" outlineLevel="1" x14ac:dyDescent="0.25">
      <c r="B176" s="1"/>
    </row>
    <row r="177" spans="2:2" ht="14.25" hidden="1" customHeight="1" outlineLevel="1" x14ac:dyDescent="0.25">
      <c r="B177" s="1"/>
    </row>
    <row r="178" spans="2:2" ht="14.25" hidden="1" customHeight="1" outlineLevel="1" x14ac:dyDescent="0.25">
      <c r="B178" s="1"/>
    </row>
    <row r="179" spans="2:2" ht="14.25" hidden="1" customHeight="1" outlineLevel="1" x14ac:dyDescent="0.25">
      <c r="B179" s="1"/>
    </row>
    <row r="180" spans="2:2" ht="14.25" hidden="1" customHeight="1" outlineLevel="1" x14ac:dyDescent="0.25">
      <c r="B180" s="1"/>
    </row>
    <row r="181" spans="2:2" ht="14.25" hidden="1" customHeight="1" outlineLevel="1" x14ac:dyDescent="0.25">
      <c r="B181" s="1"/>
    </row>
    <row r="182" spans="2:2" ht="14.25" hidden="1" customHeight="1" outlineLevel="1" x14ac:dyDescent="0.25">
      <c r="B182" s="1"/>
    </row>
    <row r="183" spans="2:2" ht="14.25" hidden="1" customHeight="1" outlineLevel="1" x14ac:dyDescent="0.25">
      <c r="B183" s="1"/>
    </row>
    <row r="184" spans="2:2" ht="14.25" hidden="1" customHeight="1" outlineLevel="1" x14ac:dyDescent="0.25">
      <c r="B184" s="1"/>
    </row>
    <row r="185" spans="2:2" ht="14.25" hidden="1" customHeight="1" outlineLevel="1" x14ac:dyDescent="0.25">
      <c r="B185" s="1"/>
    </row>
    <row r="186" spans="2:2" ht="14.25" hidden="1" customHeight="1" outlineLevel="1" x14ac:dyDescent="0.25">
      <c r="B186" s="1"/>
    </row>
    <row r="187" spans="2:2" ht="14.25" hidden="1" customHeight="1" outlineLevel="1" x14ac:dyDescent="0.25">
      <c r="B187" s="1"/>
    </row>
    <row r="188" spans="2:2" ht="14.25" hidden="1" customHeight="1" outlineLevel="1" x14ac:dyDescent="0.25">
      <c r="B188" s="1"/>
    </row>
    <row r="189" spans="2:2" ht="14.25" hidden="1" customHeight="1" outlineLevel="1" x14ac:dyDescent="0.25">
      <c r="B189" s="1"/>
    </row>
    <row r="190" spans="2:2" ht="14.25" hidden="1" customHeight="1" outlineLevel="1" x14ac:dyDescent="0.25">
      <c r="B190" s="1"/>
    </row>
    <row r="191" spans="2:2" ht="14.25" hidden="1" customHeight="1" outlineLevel="1" x14ac:dyDescent="0.25">
      <c r="B191" s="1"/>
    </row>
    <row r="192" spans="2:2" ht="14.25" hidden="1" customHeight="1" outlineLevel="1" x14ac:dyDescent="0.25">
      <c r="B192" s="1"/>
    </row>
    <row r="193" spans="2:2" ht="14.25" hidden="1" customHeight="1" outlineLevel="1" x14ac:dyDescent="0.25">
      <c r="B193" s="1"/>
    </row>
    <row r="194" spans="2:2" ht="14.25" hidden="1" customHeight="1" outlineLevel="1" x14ac:dyDescent="0.25">
      <c r="B194" s="1"/>
    </row>
    <row r="195" spans="2:2" ht="14.25" hidden="1" customHeight="1" outlineLevel="1" x14ac:dyDescent="0.25">
      <c r="B195" s="1"/>
    </row>
    <row r="196" spans="2:2" ht="14.25" hidden="1" customHeight="1" outlineLevel="1" x14ac:dyDescent="0.25">
      <c r="B196" s="1"/>
    </row>
    <row r="197" spans="2:2" ht="14.25" hidden="1" customHeight="1" outlineLevel="1" x14ac:dyDescent="0.25">
      <c r="B197" s="1"/>
    </row>
    <row r="198" spans="2:2" ht="14.25" hidden="1" customHeight="1" outlineLevel="1" x14ac:dyDescent="0.25">
      <c r="B198" s="1"/>
    </row>
    <row r="199" spans="2:2" ht="14.25" hidden="1" customHeight="1" outlineLevel="1" x14ac:dyDescent="0.25">
      <c r="B199" s="1"/>
    </row>
    <row r="200" spans="2:2" ht="14.25" hidden="1" customHeight="1" outlineLevel="1" x14ac:dyDescent="0.25">
      <c r="B200" s="1"/>
    </row>
    <row r="201" spans="2:2" ht="14.25" hidden="1" customHeight="1" outlineLevel="1" x14ac:dyDescent="0.25">
      <c r="B201" s="1"/>
    </row>
    <row r="202" spans="2:2" ht="14.25" hidden="1" customHeight="1" outlineLevel="1" x14ac:dyDescent="0.25">
      <c r="B202" s="1"/>
    </row>
    <row r="203" spans="2:2" ht="14.25" hidden="1" customHeight="1" outlineLevel="1" x14ac:dyDescent="0.25">
      <c r="B203" s="1"/>
    </row>
    <row r="204" spans="2:2" ht="14.25" hidden="1" customHeight="1" outlineLevel="1" x14ac:dyDescent="0.25">
      <c r="B204" s="1"/>
    </row>
    <row r="205" spans="2:2" ht="14.25" hidden="1" customHeight="1" outlineLevel="1" x14ac:dyDescent="0.25">
      <c r="B205" s="1"/>
    </row>
    <row r="206" spans="2:2" ht="14.25" hidden="1" customHeight="1" outlineLevel="1" x14ac:dyDescent="0.25">
      <c r="B206" s="1"/>
    </row>
    <row r="207" spans="2:2" ht="14.25" hidden="1" customHeight="1" outlineLevel="1" x14ac:dyDescent="0.25">
      <c r="B207" s="1"/>
    </row>
    <row r="208" spans="2:2" ht="14.25" hidden="1" customHeight="1" outlineLevel="1" x14ac:dyDescent="0.25">
      <c r="B208" s="1"/>
    </row>
    <row r="209" spans="2:2" ht="14.25" hidden="1" customHeight="1" outlineLevel="1" x14ac:dyDescent="0.25">
      <c r="B209" s="1"/>
    </row>
    <row r="210" spans="2:2" ht="14.25" hidden="1" customHeight="1" outlineLevel="1" x14ac:dyDescent="0.25">
      <c r="B210" s="1"/>
    </row>
    <row r="211" spans="2:2" ht="14.25" hidden="1" customHeight="1" outlineLevel="1" x14ac:dyDescent="0.25">
      <c r="B211" s="1"/>
    </row>
    <row r="212" spans="2:2" ht="14.25" hidden="1" customHeight="1" outlineLevel="1" x14ac:dyDescent="0.25">
      <c r="B212" s="1"/>
    </row>
    <row r="213" spans="2:2" ht="14.25" hidden="1" customHeight="1" outlineLevel="1" x14ac:dyDescent="0.25">
      <c r="B213" s="1"/>
    </row>
    <row r="214" spans="2:2" ht="14.25" hidden="1" customHeight="1" outlineLevel="1" x14ac:dyDescent="0.25">
      <c r="B214" s="1"/>
    </row>
    <row r="215" spans="2:2" ht="14.25" hidden="1" customHeight="1" outlineLevel="1" x14ac:dyDescent="0.25">
      <c r="B215" s="1"/>
    </row>
    <row r="216" spans="2:2" ht="14.25" hidden="1" customHeight="1" outlineLevel="1" x14ac:dyDescent="0.25">
      <c r="B216" s="1"/>
    </row>
    <row r="217" spans="2:2" ht="14.25" hidden="1" customHeight="1" outlineLevel="1" x14ac:dyDescent="0.25">
      <c r="B217" s="1"/>
    </row>
    <row r="218" spans="2:2" ht="14.25" hidden="1" customHeight="1" outlineLevel="1" x14ac:dyDescent="0.25">
      <c r="B218" s="1"/>
    </row>
    <row r="219" spans="2:2" ht="14.25" hidden="1" customHeight="1" outlineLevel="1" x14ac:dyDescent="0.25">
      <c r="B219" s="1"/>
    </row>
    <row r="220" spans="2:2" ht="14.25" hidden="1" customHeight="1" outlineLevel="1" x14ac:dyDescent="0.25">
      <c r="B220" s="1"/>
    </row>
    <row r="221" spans="2:2" ht="14.25" hidden="1" customHeight="1" outlineLevel="1" x14ac:dyDescent="0.25">
      <c r="B221" s="1"/>
    </row>
    <row r="222" spans="2:2" ht="14.25" hidden="1" customHeight="1" outlineLevel="1" x14ac:dyDescent="0.25">
      <c r="B222" s="1"/>
    </row>
    <row r="223" spans="2:2" ht="14.25" hidden="1" customHeight="1" outlineLevel="1" x14ac:dyDescent="0.25">
      <c r="B223" s="1"/>
    </row>
    <row r="224" spans="2:2" ht="14.25" hidden="1" customHeight="1" outlineLevel="1" x14ac:dyDescent="0.25">
      <c r="B224" s="1"/>
    </row>
    <row r="225" spans="2:2" ht="14.25" hidden="1" customHeight="1" outlineLevel="1" x14ac:dyDescent="0.25">
      <c r="B225" s="1"/>
    </row>
    <row r="226" spans="2:2" ht="14.25" hidden="1" customHeight="1" outlineLevel="1" x14ac:dyDescent="0.25">
      <c r="B226" s="1"/>
    </row>
    <row r="227" spans="2:2" ht="14.25" hidden="1" customHeight="1" outlineLevel="1" x14ac:dyDescent="0.25">
      <c r="B227" s="1"/>
    </row>
    <row r="228" spans="2:2" ht="14.25" hidden="1" customHeight="1" outlineLevel="1" x14ac:dyDescent="0.25">
      <c r="B228" s="1"/>
    </row>
    <row r="229" spans="2:2" ht="14.25" hidden="1" customHeight="1" outlineLevel="1" x14ac:dyDescent="0.25">
      <c r="B229" s="1"/>
    </row>
    <row r="230" spans="2:2" ht="14.25" hidden="1" customHeight="1" outlineLevel="1" x14ac:dyDescent="0.25">
      <c r="B230" s="1"/>
    </row>
    <row r="231" spans="2:2" ht="14.25" hidden="1" customHeight="1" outlineLevel="1" x14ac:dyDescent="0.25">
      <c r="B231" s="1"/>
    </row>
    <row r="232" spans="2:2" ht="14.25" hidden="1" customHeight="1" outlineLevel="1" x14ac:dyDescent="0.25">
      <c r="B232" s="1"/>
    </row>
    <row r="233" spans="2:2" ht="14.25" hidden="1" customHeight="1" outlineLevel="1" x14ac:dyDescent="0.25">
      <c r="B233" s="1"/>
    </row>
    <row r="234" spans="2:2" ht="14.25" customHeight="1" collapsed="1" x14ac:dyDescent="0.25">
      <c r="B234" s="1"/>
    </row>
    <row r="235" spans="2:2" ht="14.25" customHeight="1" x14ac:dyDescent="0.25">
      <c r="B235" s="1"/>
    </row>
    <row r="236" spans="2:2" ht="14.25" customHeight="1" x14ac:dyDescent="0.25">
      <c r="B236" s="1"/>
    </row>
    <row r="237" spans="2:2" ht="14.25" customHeight="1" x14ac:dyDescent="0.25">
      <c r="B237" s="1"/>
    </row>
    <row r="238" spans="2:2" ht="14.25" customHeight="1" x14ac:dyDescent="0.25">
      <c r="B238" s="1"/>
    </row>
    <row r="239" spans="2:2" ht="14.25" customHeight="1" x14ac:dyDescent="0.25">
      <c r="B239" s="1"/>
    </row>
    <row r="240" spans="2:2" ht="14.25" customHeight="1" x14ac:dyDescent="0.25">
      <c r="B240" s="1"/>
    </row>
    <row r="241" spans="2:2" ht="14.25" customHeight="1" x14ac:dyDescent="0.25">
      <c r="B241" s="1"/>
    </row>
    <row r="242" spans="2:2" ht="14.25" customHeight="1" x14ac:dyDescent="0.25">
      <c r="B242" s="1"/>
    </row>
    <row r="243" spans="2:2" ht="14.25" customHeight="1" x14ac:dyDescent="0.25">
      <c r="B243" s="1"/>
    </row>
    <row r="244" spans="2:2" ht="14.25" customHeight="1" x14ac:dyDescent="0.25">
      <c r="B244" s="1"/>
    </row>
    <row r="245" spans="2:2" ht="14.25" customHeight="1" x14ac:dyDescent="0.25">
      <c r="B245" s="1"/>
    </row>
    <row r="246" spans="2:2" ht="14.25" customHeight="1" x14ac:dyDescent="0.25">
      <c r="B246" s="1"/>
    </row>
    <row r="247" spans="2:2" ht="14.25" customHeight="1" x14ac:dyDescent="0.25">
      <c r="B247" s="1"/>
    </row>
    <row r="248" spans="2:2" ht="14.25" customHeight="1" x14ac:dyDescent="0.25">
      <c r="B248" s="1"/>
    </row>
    <row r="249" spans="2:2" ht="14.25" customHeight="1" x14ac:dyDescent="0.25">
      <c r="B249" s="1"/>
    </row>
    <row r="250" spans="2:2" ht="14.25" customHeight="1" x14ac:dyDescent="0.25">
      <c r="B250" s="1"/>
    </row>
    <row r="251" spans="2:2" ht="14.25" customHeight="1" x14ac:dyDescent="0.25">
      <c r="B251" s="1"/>
    </row>
    <row r="252" spans="2:2" ht="14.25" customHeight="1" x14ac:dyDescent="0.25">
      <c r="B252" s="1"/>
    </row>
    <row r="253" spans="2:2" ht="14.25" customHeight="1" x14ac:dyDescent="0.25">
      <c r="B253" s="1"/>
    </row>
    <row r="254" spans="2:2" ht="14.25" customHeight="1" x14ac:dyDescent="0.25">
      <c r="B254" s="1"/>
    </row>
    <row r="255" spans="2:2" ht="14.25" customHeight="1" x14ac:dyDescent="0.25">
      <c r="B255" s="1"/>
    </row>
    <row r="256" spans="2:2" ht="14.25" customHeight="1" x14ac:dyDescent="0.25">
      <c r="B256" s="1"/>
    </row>
    <row r="257" spans="2:2" ht="14.25" customHeight="1" x14ac:dyDescent="0.25">
      <c r="B257" s="1"/>
    </row>
    <row r="258" spans="2:2" ht="14.25" customHeight="1" x14ac:dyDescent="0.25">
      <c r="B258" s="1"/>
    </row>
    <row r="259" spans="2:2" ht="14.25" customHeight="1" x14ac:dyDescent="0.25">
      <c r="B259" s="1"/>
    </row>
    <row r="260" spans="2:2" ht="14.25" customHeight="1" x14ac:dyDescent="0.25">
      <c r="B260" s="1"/>
    </row>
    <row r="261" spans="2:2" ht="14.25" customHeight="1" x14ac:dyDescent="0.25">
      <c r="B261" s="1"/>
    </row>
    <row r="262" spans="2:2" ht="14.25" customHeight="1" x14ac:dyDescent="0.25">
      <c r="B262" s="1"/>
    </row>
    <row r="263" spans="2:2" ht="14.25" customHeight="1" x14ac:dyDescent="0.25">
      <c r="B263" s="1"/>
    </row>
    <row r="264" spans="2:2" ht="14.25" customHeight="1" x14ac:dyDescent="0.25">
      <c r="B264" s="1"/>
    </row>
    <row r="265" spans="2:2" ht="14.25" customHeight="1" x14ac:dyDescent="0.25">
      <c r="B265" s="1"/>
    </row>
    <row r="266" spans="2:2" ht="14.25" customHeight="1" x14ac:dyDescent="0.25">
      <c r="B266" s="1"/>
    </row>
    <row r="267" spans="2:2" ht="14.25" customHeight="1" x14ac:dyDescent="0.25">
      <c r="B267" s="1"/>
    </row>
    <row r="268" spans="2:2" ht="14.25" customHeight="1" x14ac:dyDescent="0.25">
      <c r="B268" s="1"/>
    </row>
    <row r="269" spans="2:2" ht="14.25" customHeight="1" x14ac:dyDescent="0.25">
      <c r="B269" s="1"/>
    </row>
    <row r="270" spans="2:2" ht="14.25" customHeight="1" x14ac:dyDescent="0.25">
      <c r="B270" s="1"/>
    </row>
    <row r="271" spans="2:2" ht="14.25" customHeight="1" x14ac:dyDescent="0.25">
      <c r="B271" s="1"/>
    </row>
    <row r="272" spans="2:2" ht="14.25" customHeight="1" x14ac:dyDescent="0.25">
      <c r="B272" s="1"/>
    </row>
    <row r="273" spans="2:2" ht="14.25" customHeight="1" x14ac:dyDescent="0.25">
      <c r="B273" s="1"/>
    </row>
    <row r="274" spans="2:2" ht="14.25" customHeight="1" x14ac:dyDescent="0.25">
      <c r="B274" s="1"/>
    </row>
    <row r="275" spans="2:2" ht="14.25" customHeight="1" x14ac:dyDescent="0.25">
      <c r="B275" s="1"/>
    </row>
    <row r="276" spans="2:2" ht="14.25" customHeight="1" x14ac:dyDescent="0.25">
      <c r="B276" s="1"/>
    </row>
    <row r="277" spans="2:2" ht="14.25" customHeight="1" x14ac:dyDescent="0.25">
      <c r="B277" s="1"/>
    </row>
    <row r="278" spans="2:2" ht="14.25" customHeight="1" x14ac:dyDescent="0.25">
      <c r="B278" s="1"/>
    </row>
    <row r="279" spans="2:2" ht="14.25" customHeight="1" x14ac:dyDescent="0.25">
      <c r="B279" s="1"/>
    </row>
    <row r="280" spans="2:2" ht="14.25" customHeight="1" x14ac:dyDescent="0.25">
      <c r="B280" s="1"/>
    </row>
    <row r="281" spans="2:2" ht="14.25" customHeight="1" x14ac:dyDescent="0.25">
      <c r="B281" s="1"/>
    </row>
    <row r="282" spans="2:2" ht="14.25" customHeight="1" x14ac:dyDescent="0.25">
      <c r="B282" s="1"/>
    </row>
    <row r="283" spans="2:2" ht="14.25" customHeight="1" x14ac:dyDescent="0.25">
      <c r="B283" s="1"/>
    </row>
    <row r="284" spans="2:2" ht="14.25" customHeight="1" x14ac:dyDescent="0.25">
      <c r="B284" s="1"/>
    </row>
    <row r="285" spans="2:2" ht="14.25" customHeight="1" x14ac:dyDescent="0.25">
      <c r="B285" s="1"/>
    </row>
    <row r="286" spans="2:2" ht="14.25" customHeight="1" x14ac:dyDescent="0.25">
      <c r="B286" s="1"/>
    </row>
    <row r="287" spans="2:2" ht="14.25" customHeight="1" x14ac:dyDescent="0.25">
      <c r="B287" s="1"/>
    </row>
    <row r="288" spans="2:2" ht="14.25" customHeight="1" x14ac:dyDescent="0.25">
      <c r="B288" s="1"/>
    </row>
    <row r="289" spans="2:2" ht="14.25" customHeight="1" x14ac:dyDescent="0.25">
      <c r="B289" s="1"/>
    </row>
    <row r="290" spans="2:2" ht="14.25" customHeight="1" x14ac:dyDescent="0.25">
      <c r="B290" s="1"/>
    </row>
    <row r="291" spans="2:2" ht="14.25" customHeight="1" x14ac:dyDescent="0.25">
      <c r="B291" s="1"/>
    </row>
    <row r="292" spans="2:2" ht="14.25" customHeight="1" x14ac:dyDescent="0.25">
      <c r="B292" s="1"/>
    </row>
    <row r="293" spans="2:2" ht="14.25" customHeight="1" x14ac:dyDescent="0.25">
      <c r="B293" s="1"/>
    </row>
    <row r="294" spans="2:2" ht="14.25" customHeight="1" x14ac:dyDescent="0.25">
      <c r="B294" s="1"/>
    </row>
    <row r="295" spans="2:2" ht="14.25" customHeight="1" x14ac:dyDescent="0.25">
      <c r="B295" s="1"/>
    </row>
    <row r="296" spans="2:2" ht="14.25" customHeight="1" x14ac:dyDescent="0.25">
      <c r="B296" s="1"/>
    </row>
    <row r="297" spans="2:2" ht="14.25" customHeight="1" x14ac:dyDescent="0.25">
      <c r="B297" s="1"/>
    </row>
    <row r="298" spans="2:2" ht="14.25" customHeight="1" x14ac:dyDescent="0.25">
      <c r="B298" s="1"/>
    </row>
    <row r="299" spans="2:2" ht="14.25" customHeight="1" x14ac:dyDescent="0.25">
      <c r="B299" s="1"/>
    </row>
    <row r="300" spans="2:2" ht="14.25" customHeight="1" x14ac:dyDescent="0.25">
      <c r="B300" s="1"/>
    </row>
    <row r="301" spans="2:2" ht="14.25" customHeight="1" x14ac:dyDescent="0.25">
      <c r="B301" s="1"/>
    </row>
    <row r="302" spans="2:2" ht="14.25" customHeight="1" x14ac:dyDescent="0.25">
      <c r="B302" s="1"/>
    </row>
    <row r="303" spans="2:2" ht="14.25" customHeight="1" x14ac:dyDescent="0.25">
      <c r="B303" s="1"/>
    </row>
    <row r="304" spans="2:2" ht="14.25" customHeight="1" x14ac:dyDescent="0.25">
      <c r="B304" s="1"/>
    </row>
    <row r="305" spans="2:2" ht="14.25" customHeight="1" x14ac:dyDescent="0.25">
      <c r="B305" s="1"/>
    </row>
    <row r="306" spans="2:2" ht="14.25" customHeight="1" x14ac:dyDescent="0.25">
      <c r="B306" s="1"/>
    </row>
    <row r="307" spans="2:2" ht="14.25" customHeight="1" x14ac:dyDescent="0.25">
      <c r="B307" s="1"/>
    </row>
    <row r="308" spans="2:2" ht="14.25" customHeight="1" x14ac:dyDescent="0.25">
      <c r="B308" s="1"/>
    </row>
    <row r="309" spans="2:2" ht="14.25" customHeight="1" x14ac:dyDescent="0.25">
      <c r="B309" s="1"/>
    </row>
    <row r="310" spans="2:2" ht="14.25" customHeight="1" x14ac:dyDescent="0.25">
      <c r="B310" s="1"/>
    </row>
    <row r="311" spans="2:2" ht="14.25" customHeight="1" x14ac:dyDescent="0.25">
      <c r="B311" s="1"/>
    </row>
    <row r="312" spans="2:2" ht="14.25" customHeight="1" x14ac:dyDescent="0.25">
      <c r="B312" s="1"/>
    </row>
    <row r="313" spans="2:2" ht="14.25" customHeight="1" x14ac:dyDescent="0.25">
      <c r="B313" s="1"/>
    </row>
    <row r="314" spans="2:2" ht="14.25" customHeight="1" x14ac:dyDescent="0.25">
      <c r="B314" s="1"/>
    </row>
    <row r="315" spans="2:2" ht="14.25" customHeight="1" x14ac:dyDescent="0.25">
      <c r="B315" s="1"/>
    </row>
    <row r="316" spans="2:2" ht="14.25" customHeight="1" x14ac:dyDescent="0.25">
      <c r="B316" s="1"/>
    </row>
    <row r="317" spans="2:2" ht="14.25" customHeight="1" x14ac:dyDescent="0.25">
      <c r="B317" s="1"/>
    </row>
    <row r="318" spans="2:2" ht="14.25" customHeight="1" x14ac:dyDescent="0.25">
      <c r="B318" s="1"/>
    </row>
    <row r="319" spans="2:2" ht="14.25" customHeight="1" x14ac:dyDescent="0.25">
      <c r="B319" s="1"/>
    </row>
    <row r="320" spans="2:2" ht="14.25" customHeight="1" x14ac:dyDescent="0.25">
      <c r="B320" s="1"/>
    </row>
    <row r="321" spans="2:2" ht="14.25" customHeight="1" x14ac:dyDescent="0.25">
      <c r="B321" s="1"/>
    </row>
    <row r="322" spans="2:2" ht="14.25" customHeight="1" x14ac:dyDescent="0.25">
      <c r="B322" s="1"/>
    </row>
    <row r="323" spans="2:2" ht="14.25" customHeight="1" x14ac:dyDescent="0.25">
      <c r="B323" s="1"/>
    </row>
    <row r="324" spans="2:2" ht="14.25" customHeight="1" x14ac:dyDescent="0.25">
      <c r="B324" s="1"/>
    </row>
    <row r="325" spans="2:2" ht="14.25" customHeight="1" x14ac:dyDescent="0.25">
      <c r="B325" s="1"/>
    </row>
    <row r="326" spans="2:2" ht="14.25" customHeight="1" x14ac:dyDescent="0.25">
      <c r="B326" s="1"/>
    </row>
    <row r="327" spans="2:2" ht="14.25" customHeight="1" x14ac:dyDescent="0.25">
      <c r="B327" s="1"/>
    </row>
    <row r="328" spans="2:2" ht="14.25" customHeight="1" x14ac:dyDescent="0.25">
      <c r="B328" s="1"/>
    </row>
    <row r="329" spans="2:2" ht="14.25" customHeight="1" x14ac:dyDescent="0.25">
      <c r="B329" s="1"/>
    </row>
    <row r="330" spans="2:2" ht="14.25" customHeight="1" x14ac:dyDescent="0.25">
      <c r="B330" s="1"/>
    </row>
    <row r="331" spans="2:2" ht="14.25" customHeight="1" x14ac:dyDescent="0.25">
      <c r="B331" s="1"/>
    </row>
    <row r="332" spans="2:2" ht="14.25" customHeight="1" x14ac:dyDescent="0.25">
      <c r="B332" s="1"/>
    </row>
    <row r="333" spans="2:2" ht="14.25" customHeight="1" x14ac:dyDescent="0.25">
      <c r="B333" s="1"/>
    </row>
    <row r="334" spans="2:2" ht="14.25" customHeight="1" x14ac:dyDescent="0.25">
      <c r="B334" s="1"/>
    </row>
    <row r="335" spans="2:2" ht="14.25" customHeight="1" x14ac:dyDescent="0.25">
      <c r="B335" s="1"/>
    </row>
    <row r="336" spans="2:2" ht="14.25" customHeight="1" x14ac:dyDescent="0.25">
      <c r="B336" s="1"/>
    </row>
    <row r="337" spans="2:2" ht="14.25" customHeight="1" x14ac:dyDescent="0.25">
      <c r="B337" s="1"/>
    </row>
    <row r="338" spans="2:2" ht="14.25" customHeight="1" x14ac:dyDescent="0.25">
      <c r="B338" s="1"/>
    </row>
    <row r="339" spans="2:2" ht="14.25" customHeight="1" x14ac:dyDescent="0.25">
      <c r="B339" s="1"/>
    </row>
    <row r="340" spans="2:2" ht="14.25" customHeight="1" x14ac:dyDescent="0.25">
      <c r="B340" s="1"/>
    </row>
    <row r="341" spans="2:2" ht="14.25" customHeight="1" x14ac:dyDescent="0.25">
      <c r="B341" s="1"/>
    </row>
    <row r="342" spans="2:2" ht="14.25" customHeight="1" x14ac:dyDescent="0.25">
      <c r="B342" s="1"/>
    </row>
    <row r="343" spans="2:2" ht="14.25" customHeight="1" x14ac:dyDescent="0.25">
      <c r="B343" s="1"/>
    </row>
    <row r="344" spans="2:2" ht="14.25" customHeight="1" x14ac:dyDescent="0.25">
      <c r="B344" s="1"/>
    </row>
    <row r="345" spans="2:2" ht="14.25" customHeight="1" x14ac:dyDescent="0.25">
      <c r="B345" s="1"/>
    </row>
    <row r="346" spans="2:2" ht="14.25" customHeight="1" x14ac:dyDescent="0.25">
      <c r="B346" s="1"/>
    </row>
    <row r="347" spans="2:2" ht="14.25" customHeight="1" x14ac:dyDescent="0.25">
      <c r="B347" s="1"/>
    </row>
    <row r="348" spans="2:2" ht="14.25" customHeight="1" x14ac:dyDescent="0.25">
      <c r="B348" s="1"/>
    </row>
    <row r="349" spans="2:2" ht="14.25" customHeight="1" x14ac:dyDescent="0.25">
      <c r="B349" s="1"/>
    </row>
    <row r="350" spans="2:2" ht="14.25" customHeight="1" x14ac:dyDescent="0.25">
      <c r="B350" s="1"/>
    </row>
    <row r="351" spans="2:2" ht="14.25" customHeight="1" x14ac:dyDescent="0.25">
      <c r="B351" s="1"/>
    </row>
    <row r="352" spans="2:2" ht="14.25" customHeight="1" x14ac:dyDescent="0.25">
      <c r="B352" s="1"/>
    </row>
    <row r="353" spans="2:2" ht="14.25" customHeight="1" x14ac:dyDescent="0.25">
      <c r="B353" s="1"/>
    </row>
    <row r="354" spans="2:2" ht="14.25" customHeight="1" x14ac:dyDescent="0.25">
      <c r="B354" s="1"/>
    </row>
    <row r="355" spans="2:2" ht="14.25" customHeight="1" x14ac:dyDescent="0.25">
      <c r="B355" s="1"/>
    </row>
    <row r="356" spans="2:2" ht="14.25" customHeight="1" x14ac:dyDescent="0.25">
      <c r="B356" s="1"/>
    </row>
    <row r="357" spans="2:2" ht="14.25" customHeight="1" x14ac:dyDescent="0.25">
      <c r="B357" s="1"/>
    </row>
    <row r="358" spans="2:2" ht="14.25" customHeight="1" x14ac:dyDescent="0.25">
      <c r="B358" s="1"/>
    </row>
    <row r="359" spans="2:2" ht="14.25" customHeight="1" x14ac:dyDescent="0.25">
      <c r="B359" s="1"/>
    </row>
    <row r="360" spans="2:2" ht="14.25" customHeight="1" x14ac:dyDescent="0.25">
      <c r="B360" s="1"/>
    </row>
    <row r="361" spans="2:2" ht="14.25" customHeight="1" x14ac:dyDescent="0.25">
      <c r="B361" s="1"/>
    </row>
    <row r="362" spans="2:2" ht="14.25" customHeight="1" x14ac:dyDescent="0.25">
      <c r="B362" s="1"/>
    </row>
    <row r="363" spans="2:2" ht="14.25" customHeight="1" x14ac:dyDescent="0.25">
      <c r="B363" s="1"/>
    </row>
    <row r="364" spans="2:2" ht="14.25" customHeight="1" x14ac:dyDescent="0.25">
      <c r="B364" s="1"/>
    </row>
    <row r="365" spans="2:2" ht="14.25" customHeight="1" x14ac:dyDescent="0.25">
      <c r="B365" s="1"/>
    </row>
    <row r="366" spans="2:2" ht="14.25" customHeight="1" x14ac:dyDescent="0.25">
      <c r="B366" s="1"/>
    </row>
    <row r="367" spans="2:2" ht="14.25" customHeight="1" x14ac:dyDescent="0.25">
      <c r="B367" s="1"/>
    </row>
    <row r="368" spans="2:2" ht="14.25" customHeight="1" x14ac:dyDescent="0.25">
      <c r="B368" s="1"/>
    </row>
    <row r="369" spans="2:2" ht="14.25" customHeight="1" x14ac:dyDescent="0.25">
      <c r="B369" s="1"/>
    </row>
    <row r="370" spans="2:2" ht="14.25" customHeight="1" x14ac:dyDescent="0.25">
      <c r="B370" s="1"/>
    </row>
    <row r="371" spans="2:2" ht="14.25" customHeight="1" x14ac:dyDescent="0.25">
      <c r="B371" s="1"/>
    </row>
    <row r="372" spans="2:2" ht="14.25" customHeight="1" x14ac:dyDescent="0.25">
      <c r="B372" s="1"/>
    </row>
    <row r="373" spans="2:2" ht="14.25" customHeight="1" x14ac:dyDescent="0.25">
      <c r="B373" s="1"/>
    </row>
    <row r="374" spans="2:2" ht="14.25" customHeight="1" x14ac:dyDescent="0.25">
      <c r="B374" s="1"/>
    </row>
    <row r="375" spans="2:2" ht="14.25" customHeight="1" x14ac:dyDescent="0.25">
      <c r="B375" s="1"/>
    </row>
    <row r="376" spans="2:2" ht="14.25" customHeight="1" x14ac:dyDescent="0.25">
      <c r="B376" s="1"/>
    </row>
    <row r="377" spans="2:2" ht="14.25" customHeight="1" x14ac:dyDescent="0.25">
      <c r="B377" s="1"/>
    </row>
    <row r="378" spans="2:2" ht="14.25" customHeight="1" x14ac:dyDescent="0.25">
      <c r="B378" s="1"/>
    </row>
    <row r="379" spans="2:2" ht="14.25" customHeight="1" x14ac:dyDescent="0.25">
      <c r="B379" s="1"/>
    </row>
    <row r="380" spans="2:2" ht="14.25" customHeight="1" x14ac:dyDescent="0.25">
      <c r="B380" s="1"/>
    </row>
    <row r="381" spans="2:2" ht="14.25" customHeight="1" x14ac:dyDescent="0.25">
      <c r="B381" s="1"/>
    </row>
    <row r="382" spans="2:2" ht="14.25" customHeight="1" x14ac:dyDescent="0.25">
      <c r="B382" s="1"/>
    </row>
    <row r="383" spans="2:2" ht="14.25" customHeight="1" x14ac:dyDescent="0.25">
      <c r="B383" s="1"/>
    </row>
    <row r="384" spans="2:2" ht="14.25" customHeight="1" x14ac:dyDescent="0.25">
      <c r="B384" s="1"/>
    </row>
    <row r="385" spans="2:2" ht="14.25" customHeight="1" x14ac:dyDescent="0.25">
      <c r="B385" s="1"/>
    </row>
    <row r="386" spans="2:2" ht="14.25" customHeight="1" x14ac:dyDescent="0.25">
      <c r="B386" s="1"/>
    </row>
    <row r="387" spans="2:2" ht="14.25" customHeight="1" x14ac:dyDescent="0.25">
      <c r="B387" s="1"/>
    </row>
    <row r="388" spans="2:2" ht="14.25" customHeight="1" x14ac:dyDescent="0.25">
      <c r="B388" s="1"/>
    </row>
    <row r="389" spans="2:2" ht="14.25" customHeight="1" x14ac:dyDescent="0.25">
      <c r="B389" s="1"/>
    </row>
    <row r="390" spans="2:2" ht="14.25" customHeight="1" x14ac:dyDescent="0.25">
      <c r="B390" s="1"/>
    </row>
    <row r="391" spans="2:2" ht="14.25" customHeight="1" x14ac:dyDescent="0.25">
      <c r="B391" s="1"/>
    </row>
    <row r="392" spans="2:2" ht="14.25" customHeight="1" x14ac:dyDescent="0.25">
      <c r="B392" s="1"/>
    </row>
    <row r="393" spans="2:2" ht="14.25" customHeight="1" x14ac:dyDescent="0.25">
      <c r="B393" s="1"/>
    </row>
    <row r="394" spans="2:2" ht="14.25" customHeight="1" x14ac:dyDescent="0.25">
      <c r="B394" s="1"/>
    </row>
    <row r="395" spans="2:2" ht="14.25" customHeight="1" x14ac:dyDescent="0.25">
      <c r="B395" s="1"/>
    </row>
    <row r="396" spans="2:2" ht="14.25" customHeight="1" x14ac:dyDescent="0.25">
      <c r="B396" s="1"/>
    </row>
    <row r="397" spans="2:2" ht="14.25" customHeight="1" x14ac:dyDescent="0.25">
      <c r="B397" s="1"/>
    </row>
    <row r="398" spans="2:2" ht="14.25" customHeight="1" x14ac:dyDescent="0.25">
      <c r="B398" s="1"/>
    </row>
    <row r="399" spans="2:2" ht="14.25" customHeight="1" x14ac:dyDescent="0.25">
      <c r="B399" s="1"/>
    </row>
    <row r="400" spans="2:2" ht="14.25" customHeight="1" x14ac:dyDescent="0.25">
      <c r="B400" s="1"/>
    </row>
    <row r="401" spans="2:2" ht="14.25" customHeight="1" x14ac:dyDescent="0.25">
      <c r="B401" s="1"/>
    </row>
    <row r="402" spans="2:2" ht="14.25" customHeight="1" x14ac:dyDescent="0.25">
      <c r="B402" s="1"/>
    </row>
    <row r="403" spans="2:2" ht="14.25" customHeight="1" x14ac:dyDescent="0.25">
      <c r="B403" s="1"/>
    </row>
    <row r="404" spans="2:2" ht="14.25" customHeight="1" x14ac:dyDescent="0.25">
      <c r="B404" s="1"/>
    </row>
    <row r="405" spans="2:2" ht="14.25" customHeight="1" x14ac:dyDescent="0.25">
      <c r="B405" s="1"/>
    </row>
    <row r="406" spans="2:2" ht="14.25" customHeight="1" x14ac:dyDescent="0.25">
      <c r="B406" s="1"/>
    </row>
    <row r="407" spans="2:2" ht="14.25" customHeight="1" x14ac:dyDescent="0.25">
      <c r="B407" s="1"/>
    </row>
    <row r="408" spans="2:2" ht="14.25" customHeight="1" x14ac:dyDescent="0.25">
      <c r="B408" s="1"/>
    </row>
    <row r="409" spans="2:2" ht="14.25" customHeight="1" x14ac:dyDescent="0.25">
      <c r="B409" s="1"/>
    </row>
    <row r="410" spans="2:2" ht="14.25" customHeight="1" x14ac:dyDescent="0.25">
      <c r="B410" s="1"/>
    </row>
    <row r="411" spans="2:2" ht="14.25" customHeight="1" x14ac:dyDescent="0.25">
      <c r="B411" s="1"/>
    </row>
    <row r="412" spans="2:2" ht="14.25" customHeight="1" x14ac:dyDescent="0.25">
      <c r="B412" s="1"/>
    </row>
    <row r="413" spans="2:2" ht="14.25" customHeight="1" x14ac:dyDescent="0.25">
      <c r="B413" s="1"/>
    </row>
    <row r="414" spans="2:2" ht="14.25" customHeight="1" x14ac:dyDescent="0.25">
      <c r="B414" s="1"/>
    </row>
    <row r="415" spans="2:2" ht="14.25" customHeight="1" x14ac:dyDescent="0.25">
      <c r="B415" s="1"/>
    </row>
    <row r="416" spans="2:2" ht="14.25" customHeight="1" x14ac:dyDescent="0.25">
      <c r="B416" s="1"/>
    </row>
    <row r="417" spans="2:2" ht="14.25" customHeight="1" x14ac:dyDescent="0.25">
      <c r="B417" s="1"/>
    </row>
    <row r="418" spans="2:2" ht="14.25" customHeight="1" x14ac:dyDescent="0.25">
      <c r="B418" s="1"/>
    </row>
    <row r="419" spans="2:2" ht="14.25" customHeight="1" x14ac:dyDescent="0.25">
      <c r="B419" s="1"/>
    </row>
    <row r="420" spans="2:2" ht="14.25" customHeight="1" x14ac:dyDescent="0.25">
      <c r="B420" s="1"/>
    </row>
    <row r="421" spans="2:2" ht="14.25" customHeight="1" x14ac:dyDescent="0.25">
      <c r="B421" s="1"/>
    </row>
    <row r="422" spans="2:2" ht="14.25" customHeight="1" x14ac:dyDescent="0.25">
      <c r="B422" s="1"/>
    </row>
    <row r="423" spans="2:2" ht="14.25" customHeight="1" x14ac:dyDescent="0.25">
      <c r="B423" s="1"/>
    </row>
    <row r="424" spans="2:2" ht="14.25" customHeight="1" x14ac:dyDescent="0.25">
      <c r="B424" s="1"/>
    </row>
    <row r="425" spans="2:2" ht="14.25" customHeight="1" x14ac:dyDescent="0.25">
      <c r="B425" s="1"/>
    </row>
    <row r="426" spans="2:2" ht="14.25" customHeight="1" x14ac:dyDescent="0.25">
      <c r="B426" s="1"/>
    </row>
    <row r="427" spans="2:2" ht="14.25" customHeight="1" x14ac:dyDescent="0.25">
      <c r="B427" s="1"/>
    </row>
    <row r="428" spans="2:2" ht="14.25" customHeight="1" x14ac:dyDescent="0.25">
      <c r="B428" s="1"/>
    </row>
    <row r="429" spans="2:2" ht="14.25" customHeight="1" x14ac:dyDescent="0.25">
      <c r="B429" s="1"/>
    </row>
    <row r="430" spans="2:2" ht="14.25" customHeight="1" x14ac:dyDescent="0.25">
      <c r="B430" s="1"/>
    </row>
    <row r="431" spans="2:2" ht="14.25" customHeight="1" x14ac:dyDescent="0.25">
      <c r="B431" s="1"/>
    </row>
    <row r="432" spans="2:2" ht="14.25" customHeight="1" x14ac:dyDescent="0.25">
      <c r="B432" s="1"/>
    </row>
    <row r="433" spans="2:2" ht="14.25" customHeight="1" x14ac:dyDescent="0.25">
      <c r="B433" s="1"/>
    </row>
    <row r="434" spans="2:2" ht="14.25" customHeight="1" x14ac:dyDescent="0.25">
      <c r="B434" s="1"/>
    </row>
    <row r="435" spans="2:2" ht="14.25" customHeight="1" x14ac:dyDescent="0.25">
      <c r="B435" s="1"/>
    </row>
    <row r="436" spans="2:2" ht="14.25" customHeight="1" x14ac:dyDescent="0.25">
      <c r="B436" s="1"/>
    </row>
    <row r="437" spans="2:2" ht="14.25" customHeight="1" x14ac:dyDescent="0.25">
      <c r="B437" s="1"/>
    </row>
    <row r="438" spans="2:2" ht="14.25" customHeight="1" x14ac:dyDescent="0.25">
      <c r="B438" s="1"/>
    </row>
    <row r="439" spans="2:2" ht="14.25" customHeight="1" x14ac:dyDescent="0.25">
      <c r="B439" s="1"/>
    </row>
    <row r="440" spans="2:2" ht="14.25" customHeight="1" x14ac:dyDescent="0.25">
      <c r="B440" s="1"/>
    </row>
    <row r="441" spans="2:2" ht="14.25" customHeight="1" x14ac:dyDescent="0.25">
      <c r="B441" s="1"/>
    </row>
    <row r="442" spans="2:2" ht="14.25" customHeight="1" x14ac:dyDescent="0.25">
      <c r="B442" s="1"/>
    </row>
    <row r="443" spans="2:2" ht="14.25" customHeight="1" x14ac:dyDescent="0.25">
      <c r="B443" s="1"/>
    </row>
    <row r="444" spans="2:2" ht="14.25" customHeight="1" x14ac:dyDescent="0.25">
      <c r="B444" s="1"/>
    </row>
    <row r="445" spans="2:2" ht="14.25" customHeight="1" x14ac:dyDescent="0.25">
      <c r="B445" s="1"/>
    </row>
    <row r="446" spans="2:2" ht="14.25" customHeight="1" x14ac:dyDescent="0.25">
      <c r="B446" s="1"/>
    </row>
    <row r="447" spans="2:2" ht="14.25" customHeight="1" x14ac:dyDescent="0.25">
      <c r="B447" s="1"/>
    </row>
    <row r="448" spans="2:2" ht="14.25" customHeight="1" x14ac:dyDescent="0.25">
      <c r="B448" s="1"/>
    </row>
    <row r="449" spans="2:2" ht="14.25" customHeight="1" x14ac:dyDescent="0.25">
      <c r="B449" s="1"/>
    </row>
    <row r="450" spans="2:2" ht="14.25" customHeight="1" x14ac:dyDescent="0.25">
      <c r="B450" s="1"/>
    </row>
    <row r="451" spans="2:2" ht="14.25" customHeight="1" x14ac:dyDescent="0.25">
      <c r="B451" s="1"/>
    </row>
    <row r="452" spans="2:2" ht="14.25" customHeight="1" x14ac:dyDescent="0.25">
      <c r="B452" s="1"/>
    </row>
    <row r="453" spans="2:2" ht="14.25" customHeight="1" x14ac:dyDescent="0.25">
      <c r="B453" s="1"/>
    </row>
    <row r="454" spans="2:2" ht="14.25" customHeight="1" x14ac:dyDescent="0.25">
      <c r="B454" s="1"/>
    </row>
    <row r="455" spans="2:2" ht="14.25" customHeight="1" x14ac:dyDescent="0.25">
      <c r="B455" s="1"/>
    </row>
    <row r="456" spans="2:2" ht="14.25" customHeight="1" x14ac:dyDescent="0.25">
      <c r="B456" s="1"/>
    </row>
    <row r="457" spans="2:2" ht="14.25" customHeight="1" x14ac:dyDescent="0.25">
      <c r="B457" s="1"/>
    </row>
    <row r="458" spans="2:2" ht="14.25" customHeight="1" x14ac:dyDescent="0.25">
      <c r="B458" s="1"/>
    </row>
    <row r="459" spans="2:2" ht="14.25" customHeight="1" x14ac:dyDescent="0.25">
      <c r="B459" s="1"/>
    </row>
    <row r="460" spans="2:2" ht="14.25" customHeight="1" x14ac:dyDescent="0.25">
      <c r="B460" s="1"/>
    </row>
    <row r="461" spans="2:2" ht="14.25" customHeight="1" x14ac:dyDescent="0.25">
      <c r="B461" s="1"/>
    </row>
    <row r="462" spans="2:2" ht="14.25" customHeight="1" x14ac:dyDescent="0.25">
      <c r="B462" s="1"/>
    </row>
    <row r="463" spans="2:2" ht="14.25" customHeight="1" x14ac:dyDescent="0.25">
      <c r="B463" s="1"/>
    </row>
    <row r="464" spans="2:2" ht="14.25" customHeight="1" x14ac:dyDescent="0.25">
      <c r="B464" s="1"/>
    </row>
    <row r="465" spans="2:2" ht="14.25" customHeight="1" x14ac:dyDescent="0.25">
      <c r="B465" s="1"/>
    </row>
    <row r="466" spans="2:2" ht="14.25" customHeight="1" x14ac:dyDescent="0.25">
      <c r="B466" s="1"/>
    </row>
    <row r="467" spans="2:2" ht="14.25" customHeight="1" x14ac:dyDescent="0.25">
      <c r="B467" s="1"/>
    </row>
    <row r="468" spans="2:2" ht="14.25" customHeight="1" x14ac:dyDescent="0.25">
      <c r="B468" s="1"/>
    </row>
    <row r="469" spans="2:2" ht="14.25" customHeight="1" x14ac:dyDescent="0.25">
      <c r="B469" s="1"/>
    </row>
    <row r="470" spans="2:2" ht="14.25" customHeight="1" x14ac:dyDescent="0.25">
      <c r="B470" s="1"/>
    </row>
    <row r="471" spans="2:2" ht="14.25" customHeight="1" x14ac:dyDescent="0.25">
      <c r="B471" s="1"/>
    </row>
    <row r="472" spans="2:2" ht="14.25" customHeight="1" x14ac:dyDescent="0.25">
      <c r="B472" s="1"/>
    </row>
    <row r="473" spans="2:2" ht="14.25" customHeight="1" x14ac:dyDescent="0.25">
      <c r="B473" s="1"/>
    </row>
    <row r="474" spans="2:2" ht="14.25" customHeight="1" x14ac:dyDescent="0.25">
      <c r="B474" s="1"/>
    </row>
    <row r="475" spans="2:2" ht="14.25" customHeight="1" x14ac:dyDescent="0.25">
      <c r="B475" s="1"/>
    </row>
    <row r="476" spans="2:2" ht="14.25" customHeight="1" x14ac:dyDescent="0.25">
      <c r="B476" s="1"/>
    </row>
    <row r="477" spans="2:2" ht="14.25" customHeight="1" x14ac:dyDescent="0.25">
      <c r="B477" s="1"/>
    </row>
    <row r="478" spans="2:2" ht="14.25" customHeight="1" x14ac:dyDescent="0.25">
      <c r="B478" s="1"/>
    </row>
    <row r="479" spans="2:2" ht="14.25" customHeight="1" x14ac:dyDescent="0.25">
      <c r="B479" s="1"/>
    </row>
    <row r="480" spans="2:2" ht="14.25" customHeight="1" x14ac:dyDescent="0.25">
      <c r="B480" s="1"/>
    </row>
    <row r="481" spans="2:2" ht="14.25" customHeight="1" x14ac:dyDescent="0.25">
      <c r="B481" s="1"/>
    </row>
    <row r="482" spans="2:2" ht="14.25" customHeight="1" x14ac:dyDescent="0.25">
      <c r="B482" s="1"/>
    </row>
    <row r="483" spans="2:2" ht="14.25" customHeight="1" x14ac:dyDescent="0.25">
      <c r="B483" s="1"/>
    </row>
    <row r="484" spans="2:2" ht="14.25" customHeight="1" x14ac:dyDescent="0.25">
      <c r="B484" s="1"/>
    </row>
    <row r="485" spans="2:2" ht="14.25" customHeight="1" x14ac:dyDescent="0.25">
      <c r="B485" s="1"/>
    </row>
    <row r="486" spans="2:2" ht="14.25" customHeight="1" x14ac:dyDescent="0.25">
      <c r="B486" s="1"/>
    </row>
    <row r="487" spans="2:2" ht="14.25" customHeight="1" x14ac:dyDescent="0.25">
      <c r="B487" s="1"/>
    </row>
    <row r="488" spans="2:2" ht="14.25" customHeight="1" x14ac:dyDescent="0.25">
      <c r="B488" s="1"/>
    </row>
    <row r="489" spans="2:2" ht="14.25" customHeight="1" x14ac:dyDescent="0.25">
      <c r="B489" s="1"/>
    </row>
    <row r="490" spans="2:2" ht="14.25" customHeight="1" x14ac:dyDescent="0.25">
      <c r="B490" s="1"/>
    </row>
    <row r="491" spans="2:2" ht="14.25" customHeight="1" x14ac:dyDescent="0.25">
      <c r="B491" s="1"/>
    </row>
    <row r="492" spans="2:2" ht="14.25" customHeight="1" x14ac:dyDescent="0.25">
      <c r="B492" s="1"/>
    </row>
    <row r="493" spans="2:2" ht="14.25" customHeight="1" x14ac:dyDescent="0.25">
      <c r="B493" s="1"/>
    </row>
    <row r="494" spans="2:2" ht="14.25" customHeight="1" x14ac:dyDescent="0.25">
      <c r="B494" s="1"/>
    </row>
    <row r="495" spans="2:2" ht="14.25" customHeight="1" x14ac:dyDescent="0.25">
      <c r="B495" s="1"/>
    </row>
    <row r="496" spans="2:2" ht="14.25" customHeight="1" x14ac:dyDescent="0.25">
      <c r="B496" s="1"/>
    </row>
    <row r="497" spans="2:2" ht="14.25" customHeight="1" x14ac:dyDescent="0.25">
      <c r="B497" s="1"/>
    </row>
    <row r="498" spans="2:2" ht="14.25" customHeight="1" x14ac:dyDescent="0.25">
      <c r="B498" s="1"/>
    </row>
    <row r="499" spans="2:2" ht="14.25" customHeight="1" x14ac:dyDescent="0.25">
      <c r="B499" s="1"/>
    </row>
    <row r="500" spans="2:2" ht="14.25" customHeight="1" x14ac:dyDescent="0.25">
      <c r="B500" s="1"/>
    </row>
    <row r="501" spans="2:2" ht="14.25" customHeight="1" x14ac:dyDescent="0.25">
      <c r="B501" s="1"/>
    </row>
    <row r="502" spans="2:2" ht="14.25" customHeight="1" x14ac:dyDescent="0.25">
      <c r="B502" s="1"/>
    </row>
    <row r="503" spans="2:2" ht="14.25" customHeight="1" x14ac:dyDescent="0.25">
      <c r="B503" s="1"/>
    </row>
    <row r="504" spans="2:2" ht="14.25" customHeight="1" x14ac:dyDescent="0.25">
      <c r="B504" s="1"/>
    </row>
    <row r="505" spans="2:2" ht="14.25" customHeight="1" x14ac:dyDescent="0.25">
      <c r="B505" s="1"/>
    </row>
    <row r="506" spans="2:2" ht="14.25" customHeight="1" x14ac:dyDescent="0.25">
      <c r="B506" s="1"/>
    </row>
    <row r="507" spans="2:2" ht="14.25" customHeight="1" x14ac:dyDescent="0.25">
      <c r="B507" s="1"/>
    </row>
    <row r="508" spans="2:2" ht="14.25" customHeight="1" x14ac:dyDescent="0.25">
      <c r="B508" s="1"/>
    </row>
    <row r="509" spans="2:2" ht="14.25" customHeight="1" x14ac:dyDescent="0.25">
      <c r="B509" s="1"/>
    </row>
    <row r="510" spans="2:2" ht="14.25" customHeight="1" x14ac:dyDescent="0.25">
      <c r="B510" s="1"/>
    </row>
    <row r="511" spans="2:2" ht="14.25" customHeight="1" x14ac:dyDescent="0.25">
      <c r="B511" s="1"/>
    </row>
    <row r="512" spans="2:2" ht="14.25" customHeight="1" x14ac:dyDescent="0.25">
      <c r="B512" s="1"/>
    </row>
    <row r="513" spans="2:2" ht="14.25" customHeight="1" x14ac:dyDescent="0.25">
      <c r="B513" s="1"/>
    </row>
    <row r="514" spans="2:2" ht="14.25" customHeight="1" x14ac:dyDescent="0.25">
      <c r="B514" s="1"/>
    </row>
    <row r="515" spans="2:2" ht="14.25" customHeight="1" x14ac:dyDescent="0.25">
      <c r="B515" s="1"/>
    </row>
    <row r="516" spans="2:2" ht="14.25" customHeight="1" x14ac:dyDescent="0.25">
      <c r="B516" s="1"/>
    </row>
    <row r="517" spans="2:2" ht="14.25" customHeight="1" x14ac:dyDescent="0.25">
      <c r="B517" s="1"/>
    </row>
    <row r="518" spans="2:2" ht="14.25" customHeight="1" x14ac:dyDescent="0.25">
      <c r="B518" s="1"/>
    </row>
    <row r="519" spans="2:2" ht="14.25" customHeight="1" x14ac:dyDescent="0.25">
      <c r="B519" s="1"/>
    </row>
    <row r="520" spans="2:2" ht="14.25" customHeight="1" x14ac:dyDescent="0.25">
      <c r="B520" s="1"/>
    </row>
    <row r="521" spans="2:2" ht="14.25" customHeight="1" x14ac:dyDescent="0.25">
      <c r="B521" s="1"/>
    </row>
    <row r="522" spans="2:2" ht="14.25" customHeight="1" x14ac:dyDescent="0.25">
      <c r="B522" s="1"/>
    </row>
    <row r="523" spans="2:2" ht="14.25" customHeight="1" x14ac:dyDescent="0.25">
      <c r="B523" s="1"/>
    </row>
    <row r="524" spans="2:2" ht="14.25" customHeight="1" x14ac:dyDescent="0.25">
      <c r="B524" s="1"/>
    </row>
    <row r="525" spans="2:2" ht="14.25" customHeight="1" x14ac:dyDescent="0.25">
      <c r="B525" s="1"/>
    </row>
    <row r="526" spans="2:2" ht="14.25" customHeight="1" x14ac:dyDescent="0.25">
      <c r="B526" s="1"/>
    </row>
    <row r="527" spans="2:2" ht="14.25" customHeight="1" x14ac:dyDescent="0.25">
      <c r="B527" s="1"/>
    </row>
    <row r="528" spans="2:2" ht="14.25" customHeight="1" x14ac:dyDescent="0.25">
      <c r="B528" s="1"/>
    </row>
    <row r="529" spans="2:2" ht="14.25" customHeight="1" x14ac:dyDescent="0.25">
      <c r="B529" s="1"/>
    </row>
    <row r="530" spans="2:2" ht="14.25" customHeight="1" x14ac:dyDescent="0.25">
      <c r="B530" s="1"/>
    </row>
    <row r="531" spans="2:2" ht="14.25" customHeight="1" x14ac:dyDescent="0.25">
      <c r="B531" s="1"/>
    </row>
    <row r="532" spans="2:2" ht="14.25" customHeight="1" x14ac:dyDescent="0.25">
      <c r="B532" s="1"/>
    </row>
    <row r="533" spans="2:2" ht="14.25" customHeight="1" x14ac:dyDescent="0.25">
      <c r="B533" s="1"/>
    </row>
    <row r="534" spans="2:2" ht="14.25" customHeight="1" x14ac:dyDescent="0.25">
      <c r="B534" s="1"/>
    </row>
    <row r="535" spans="2:2" ht="14.25" customHeight="1" x14ac:dyDescent="0.25">
      <c r="B535" s="1"/>
    </row>
    <row r="536" spans="2:2" ht="14.25" customHeight="1" x14ac:dyDescent="0.25">
      <c r="B536" s="1"/>
    </row>
    <row r="537" spans="2:2" ht="14.25" customHeight="1" x14ac:dyDescent="0.25">
      <c r="B537" s="1"/>
    </row>
    <row r="538" spans="2:2" ht="14.25" customHeight="1" x14ac:dyDescent="0.25">
      <c r="B538" s="1"/>
    </row>
    <row r="539" spans="2:2" ht="14.25" customHeight="1" x14ac:dyDescent="0.25">
      <c r="B539" s="1"/>
    </row>
    <row r="540" spans="2:2" ht="14.25" customHeight="1" x14ac:dyDescent="0.25">
      <c r="B540" s="1"/>
    </row>
    <row r="541" spans="2:2" ht="14.25" customHeight="1" x14ac:dyDescent="0.25">
      <c r="B541" s="1"/>
    </row>
    <row r="542" spans="2:2" ht="14.25" customHeight="1" x14ac:dyDescent="0.25">
      <c r="B542" s="1"/>
    </row>
    <row r="543" spans="2:2" ht="14.25" customHeight="1" x14ac:dyDescent="0.25">
      <c r="B543" s="1"/>
    </row>
    <row r="544" spans="2:2" ht="14.25" customHeight="1" x14ac:dyDescent="0.25">
      <c r="B544" s="1"/>
    </row>
    <row r="545" spans="2:2" ht="14.25" customHeight="1" x14ac:dyDescent="0.25">
      <c r="B545" s="1"/>
    </row>
    <row r="546" spans="2:2" ht="14.25" customHeight="1" x14ac:dyDescent="0.25">
      <c r="B546" s="1"/>
    </row>
    <row r="547" spans="2:2" ht="14.25" customHeight="1" x14ac:dyDescent="0.25">
      <c r="B547" s="1"/>
    </row>
    <row r="548" spans="2:2" ht="14.25" customHeight="1" x14ac:dyDescent="0.25">
      <c r="B548" s="1"/>
    </row>
    <row r="549" spans="2:2" ht="14.25" customHeight="1" x14ac:dyDescent="0.25">
      <c r="B549" s="1"/>
    </row>
    <row r="550" spans="2:2" ht="14.25" customHeight="1" x14ac:dyDescent="0.25">
      <c r="B550" s="1"/>
    </row>
    <row r="551" spans="2:2" ht="14.25" customHeight="1" x14ac:dyDescent="0.25">
      <c r="B551" s="1"/>
    </row>
    <row r="552" spans="2:2" ht="14.25" customHeight="1" x14ac:dyDescent="0.25">
      <c r="B552" s="1"/>
    </row>
    <row r="553" spans="2:2" ht="14.25" customHeight="1" x14ac:dyDescent="0.25">
      <c r="B553" s="1"/>
    </row>
    <row r="554" spans="2:2" ht="14.25" customHeight="1" x14ac:dyDescent="0.25">
      <c r="B554" s="1"/>
    </row>
    <row r="555" spans="2:2" ht="14.25" customHeight="1" x14ac:dyDescent="0.25">
      <c r="B555" s="1"/>
    </row>
    <row r="556" spans="2:2" ht="14.25" customHeight="1" x14ac:dyDescent="0.25">
      <c r="B556" s="1"/>
    </row>
    <row r="557" spans="2:2" ht="14.25" customHeight="1" x14ac:dyDescent="0.25">
      <c r="B557" s="1"/>
    </row>
    <row r="558" spans="2:2" ht="14.25" customHeight="1" x14ac:dyDescent="0.25">
      <c r="B558" s="1"/>
    </row>
    <row r="559" spans="2:2" ht="14.25" customHeight="1" x14ac:dyDescent="0.25">
      <c r="B559" s="1"/>
    </row>
    <row r="560" spans="2:2" ht="14.25" customHeight="1" x14ac:dyDescent="0.25">
      <c r="B560" s="1"/>
    </row>
    <row r="561" spans="2:2" ht="14.25" customHeight="1" x14ac:dyDescent="0.25">
      <c r="B561" s="1"/>
    </row>
    <row r="562" spans="2:2" ht="14.25" customHeight="1" x14ac:dyDescent="0.25">
      <c r="B562" s="1"/>
    </row>
    <row r="563" spans="2:2" ht="14.25" customHeight="1" x14ac:dyDescent="0.25">
      <c r="B563" s="1"/>
    </row>
    <row r="564" spans="2:2" ht="14.25" customHeight="1" x14ac:dyDescent="0.25">
      <c r="B564" s="1"/>
    </row>
    <row r="565" spans="2:2" ht="14.25" customHeight="1" x14ac:dyDescent="0.25">
      <c r="B565" s="1"/>
    </row>
    <row r="566" spans="2:2" ht="14.25" customHeight="1" x14ac:dyDescent="0.25">
      <c r="B566" s="1"/>
    </row>
    <row r="567" spans="2:2" ht="14.25" customHeight="1" x14ac:dyDescent="0.25">
      <c r="B567" s="1"/>
    </row>
    <row r="568" spans="2:2" ht="14.25" customHeight="1" x14ac:dyDescent="0.25">
      <c r="B568" s="1"/>
    </row>
    <row r="569" spans="2:2" ht="14.25" customHeight="1" x14ac:dyDescent="0.25">
      <c r="B569" s="1"/>
    </row>
    <row r="570" spans="2:2" ht="14.25" customHeight="1" x14ac:dyDescent="0.25">
      <c r="B570" s="1"/>
    </row>
    <row r="571" spans="2:2" ht="14.25" customHeight="1" x14ac:dyDescent="0.25">
      <c r="B571" s="1"/>
    </row>
    <row r="572" spans="2:2" ht="14.25" customHeight="1" x14ac:dyDescent="0.25">
      <c r="B572" s="1"/>
    </row>
    <row r="573" spans="2:2" ht="14.25" customHeight="1" x14ac:dyDescent="0.25">
      <c r="B573" s="1"/>
    </row>
    <row r="574" spans="2:2" ht="14.25" customHeight="1" x14ac:dyDescent="0.25">
      <c r="B574" s="1"/>
    </row>
    <row r="575" spans="2:2" ht="14.25" customHeight="1" x14ac:dyDescent="0.25">
      <c r="B575" s="1"/>
    </row>
    <row r="576" spans="2:2" ht="14.25" customHeight="1" x14ac:dyDescent="0.25">
      <c r="B576" s="1"/>
    </row>
    <row r="577" spans="2:2" ht="14.25" customHeight="1" x14ac:dyDescent="0.25">
      <c r="B577" s="1"/>
    </row>
    <row r="578" spans="2:2" ht="14.25" customHeight="1" x14ac:dyDescent="0.25">
      <c r="B578" s="1"/>
    </row>
    <row r="579" spans="2:2" ht="14.25" customHeight="1" x14ac:dyDescent="0.25">
      <c r="B579" s="1"/>
    </row>
    <row r="580" spans="2:2" ht="14.25" customHeight="1" x14ac:dyDescent="0.25">
      <c r="B580" s="1"/>
    </row>
    <row r="581" spans="2:2" ht="14.25" customHeight="1" x14ac:dyDescent="0.25">
      <c r="B581" s="1"/>
    </row>
    <row r="582" spans="2:2" ht="14.25" customHeight="1" x14ac:dyDescent="0.25">
      <c r="B582" s="1"/>
    </row>
    <row r="583" spans="2:2" ht="14.25" customHeight="1" x14ac:dyDescent="0.25">
      <c r="B583" s="1"/>
    </row>
    <row r="584" spans="2:2" ht="14.25" customHeight="1" x14ac:dyDescent="0.25">
      <c r="B584" s="1"/>
    </row>
    <row r="585" spans="2:2" ht="14.25" customHeight="1" x14ac:dyDescent="0.25">
      <c r="B585" s="1"/>
    </row>
    <row r="586" spans="2:2" ht="14.25" customHeight="1" x14ac:dyDescent="0.25">
      <c r="B586" s="1"/>
    </row>
    <row r="587" spans="2:2" ht="14.25" customHeight="1" x14ac:dyDescent="0.25">
      <c r="B587" s="1"/>
    </row>
    <row r="588" spans="2:2" ht="14.25" customHeight="1" x14ac:dyDescent="0.25">
      <c r="B588" s="1"/>
    </row>
    <row r="589" spans="2:2" ht="14.25" customHeight="1" x14ac:dyDescent="0.25">
      <c r="B589" s="1"/>
    </row>
    <row r="590" spans="2:2" ht="14.25" customHeight="1" x14ac:dyDescent="0.25">
      <c r="B590" s="1"/>
    </row>
    <row r="591" spans="2:2" ht="14.25" customHeight="1" x14ac:dyDescent="0.25">
      <c r="B591" s="1"/>
    </row>
    <row r="592" spans="2:2" ht="14.25" customHeight="1" x14ac:dyDescent="0.25">
      <c r="B592" s="1"/>
    </row>
    <row r="593" spans="2:2" ht="14.25" customHeight="1" x14ac:dyDescent="0.25">
      <c r="B593" s="1"/>
    </row>
    <row r="594" spans="2:2" ht="14.25" customHeight="1" x14ac:dyDescent="0.25">
      <c r="B594" s="1"/>
    </row>
    <row r="595" spans="2:2" ht="14.25" customHeight="1" x14ac:dyDescent="0.25">
      <c r="B595" s="1"/>
    </row>
    <row r="596" spans="2:2" ht="14.25" customHeight="1" x14ac:dyDescent="0.25">
      <c r="B596" s="1"/>
    </row>
    <row r="597" spans="2:2" ht="14.25" customHeight="1" x14ac:dyDescent="0.25">
      <c r="B597" s="1"/>
    </row>
    <row r="598" spans="2:2" ht="14.25" customHeight="1" x14ac:dyDescent="0.25">
      <c r="B598" s="1"/>
    </row>
    <row r="599" spans="2:2" ht="14.25" customHeight="1" x14ac:dyDescent="0.25">
      <c r="B599" s="1"/>
    </row>
    <row r="600" spans="2:2" ht="14.25" customHeight="1" x14ac:dyDescent="0.25">
      <c r="B600" s="1"/>
    </row>
    <row r="601" spans="2:2" ht="14.25" customHeight="1" x14ac:dyDescent="0.25">
      <c r="B601" s="1"/>
    </row>
    <row r="602" spans="2:2" ht="14.25" customHeight="1" x14ac:dyDescent="0.25">
      <c r="B602" s="1"/>
    </row>
    <row r="603" spans="2:2" ht="14.25" customHeight="1" x14ac:dyDescent="0.25">
      <c r="B603" s="1"/>
    </row>
    <row r="604" spans="2:2" ht="14.25" customHeight="1" x14ac:dyDescent="0.25">
      <c r="B604" s="1"/>
    </row>
    <row r="605" spans="2:2" ht="14.25" customHeight="1" x14ac:dyDescent="0.25">
      <c r="B605" s="1"/>
    </row>
    <row r="606" spans="2:2" ht="14.25" customHeight="1" x14ac:dyDescent="0.25">
      <c r="B606" s="1"/>
    </row>
    <row r="607" spans="2:2" ht="14.25" customHeight="1" x14ac:dyDescent="0.25">
      <c r="B607" s="1"/>
    </row>
    <row r="608" spans="2:2" ht="14.25" customHeight="1" x14ac:dyDescent="0.25">
      <c r="B608" s="1"/>
    </row>
    <row r="609" spans="2:2" ht="14.25" customHeight="1" x14ac:dyDescent="0.25">
      <c r="B609" s="1"/>
    </row>
    <row r="610" spans="2:2" ht="14.25" customHeight="1" x14ac:dyDescent="0.25">
      <c r="B610" s="1"/>
    </row>
    <row r="611" spans="2:2" ht="14.25" customHeight="1" x14ac:dyDescent="0.25">
      <c r="B611" s="1"/>
    </row>
    <row r="612" spans="2:2" ht="14.25" customHeight="1" x14ac:dyDescent="0.25">
      <c r="B612" s="1"/>
    </row>
    <row r="613" spans="2:2" ht="14.25" customHeight="1" x14ac:dyDescent="0.25">
      <c r="B613" s="1"/>
    </row>
    <row r="614" spans="2:2" ht="14.25" customHeight="1" x14ac:dyDescent="0.25">
      <c r="B614" s="1"/>
    </row>
    <row r="615" spans="2:2" ht="14.25" customHeight="1" x14ac:dyDescent="0.25">
      <c r="B615" s="1"/>
    </row>
    <row r="616" spans="2:2" ht="14.25" customHeight="1" x14ac:dyDescent="0.25">
      <c r="B616" s="1"/>
    </row>
    <row r="617" spans="2:2" ht="14.25" customHeight="1" x14ac:dyDescent="0.25">
      <c r="B617" s="1"/>
    </row>
    <row r="618" spans="2:2" ht="14.25" customHeight="1" x14ac:dyDescent="0.25">
      <c r="B618" s="1"/>
    </row>
    <row r="619" spans="2:2" ht="14.25" customHeight="1" x14ac:dyDescent="0.25">
      <c r="B619" s="1"/>
    </row>
    <row r="620" spans="2:2" ht="14.25" customHeight="1" x14ac:dyDescent="0.25">
      <c r="B620" s="1"/>
    </row>
    <row r="621" spans="2:2" ht="14.25" customHeight="1" x14ac:dyDescent="0.25">
      <c r="B621" s="1"/>
    </row>
    <row r="622" spans="2:2" ht="14.25" customHeight="1" x14ac:dyDescent="0.25">
      <c r="B622" s="1"/>
    </row>
    <row r="623" spans="2:2" ht="14.25" customHeight="1" x14ac:dyDescent="0.25">
      <c r="B623" s="1"/>
    </row>
    <row r="624" spans="2:2" ht="14.25" customHeight="1" x14ac:dyDescent="0.25">
      <c r="B624" s="1"/>
    </row>
    <row r="625" spans="2:2" ht="14.25" customHeight="1" x14ac:dyDescent="0.25">
      <c r="B625" s="1"/>
    </row>
    <row r="626" spans="2:2" ht="14.25" customHeight="1" x14ac:dyDescent="0.25">
      <c r="B626" s="1"/>
    </row>
    <row r="627" spans="2:2" ht="14.25" customHeight="1" x14ac:dyDescent="0.25">
      <c r="B627" s="1"/>
    </row>
    <row r="628" spans="2:2" ht="14.25" customHeight="1" x14ac:dyDescent="0.25">
      <c r="B628" s="1"/>
    </row>
    <row r="629" spans="2:2" ht="14.25" customHeight="1" x14ac:dyDescent="0.25">
      <c r="B629" s="1"/>
    </row>
    <row r="630" spans="2:2" ht="14.25" customHeight="1" x14ac:dyDescent="0.25">
      <c r="B630" s="1"/>
    </row>
    <row r="631" spans="2:2" ht="14.25" customHeight="1" x14ac:dyDescent="0.25">
      <c r="B631" s="1"/>
    </row>
    <row r="632" spans="2:2" ht="14.25" customHeight="1" x14ac:dyDescent="0.25">
      <c r="B632" s="1"/>
    </row>
    <row r="633" spans="2:2" ht="14.25" customHeight="1" x14ac:dyDescent="0.25">
      <c r="B633" s="1"/>
    </row>
    <row r="634" spans="2:2" ht="14.25" customHeight="1" x14ac:dyDescent="0.25">
      <c r="B634" s="1"/>
    </row>
    <row r="635" spans="2:2" ht="14.25" customHeight="1" x14ac:dyDescent="0.25">
      <c r="B635" s="1"/>
    </row>
    <row r="636" spans="2:2" ht="14.25" customHeight="1" x14ac:dyDescent="0.25">
      <c r="B636" s="1"/>
    </row>
    <row r="637" spans="2:2" ht="14.25" customHeight="1" x14ac:dyDescent="0.25">
      <c r="B637" s="1"/>
    </row>
    <row r="638" spans="2:2" ht="14.25" customHeight="1" x14ac:dyDescent="0.25">
      <c r="B638" s="1"/>
    </row>
    <row r="639" spans="2:2" ht="14.25" customHeight="1" x14ac:dyDescent="0.25">
      <c r="B639" s="1"/>
    </row>
    <row r="640" spans="2:2" ht="14.25" customHeight="1" x14ac:dyDescent="0.25">
      <c r="B640" s="1"/>
    </row>
    <row r="641" spans="2:2" ht="14.25" customHeight="1" x14ac:dyDescent="0.25">
      <c r="B641" s="1"/>
    </row>
    <row r="642" spans="2:2" ht="14.25" customHeight="1" x14ac:dyDescent="0.25">
      <c r="B642" s="1"/>
    </row>
    <row r="643" spans="2:2" ht="14.25" customHeight="1" x14ac:dyDescent="0.25">
      <c r="B643" s="1"/>
    </row>
    <row r="644" spans="2:2" ht="14.25" customHeight="1" x14ac:dyDescent="0.25">
      <c r="B644" s="1"/>
    </row>
    <row r="645" spans="2:2" ht="14.25" customHeight="1" x14ac:dyDescent="0.25">
      <c r="B645" s="1"/>
    </row>
    <row r="646" spans="2:2" ht="14.25" customHeight="1" x14ac:dyDescent="0.25">
      <c r="B646" s="1"/>
    </row>
    <row r="647" spans="2:2" ht="14.25" customHeight="1" x14ac:dyDescent="0.25">
      <c r="B647" s="1"/>
    </row>
    <row r="648" spans="2:2" ht="14.25" customHeight="1" x14ac:dyDescent="0.25">
      <c r="B648" s="1"/>
    </row>
    <row r="649" spans="2:2" ht="14.25" customHeight="1" x14ac:dyDescent="0.25">
      <c r="B649" s="1"/>
    </row>
    <row r="650" spans="2:2" ht="14.25" customHeight="1" x14ac:dyDescent="0.25">
      <c r="B650" s="1"/>
    </row>
    <row r="651" spans="2:2" ht="14.25" customHeight="1" x14ac:dyDescent="0.25">
      <c r="B651" s="1"/>
    </row>
    <row r="652" spans="2:2" ht="14.25" customHeight="1" x14ac:dyDescent="0.25">
      <c r="B652" s="1"/>
    </row>
    <row r="653" spans="2:2" ht="14.25" customHeight="1" x14ac:dyDescent="0.25">
      <c r="B653" s="1"/>
    </row>
    <row r="654" spans="2:2" ht="14.25" customHeight="1" x14ac:dyDescent="0.25">
      <c r="B654" s="1"/>
    </row>
    <row r="655" spans="2:2" ht="14.25" customHeight="1" x14ac:dyDescent="0.25">
      <c r="B655" s="1"/>
    </row>
    <row r="656" spans="2:2" ht="14.25" customHeight="1" x14ac:dyDescent="0.25">
      <c r="B656" s="1"/>
    </row>
    <row r="657" spans="2:2" ht="14.25" customHeight="1" x14ac:dyDescent="0.25">
      <c r="B657" s="1"/>
    </row>
    <row r="658" spans="2:2" ht="14.25" customHeight="1" x14ac:dyDescent="0.25">
      <c r="B658" s="1"/>
    </row>
    <row r="659" spans="2:2" ht="14.25" customHeight="1" x14ac:dyDescent="0.25">
      <c r="B659" s="1"/>
    </row>
    <row r="660" spans="2:2" ht="14.25" customHeight="1" x14ac:dyDescent="0.25">
      <c r="B660" s="1"/>
    </row>
    <row r="661" spans="2:2" ht="14.25" customHeight="1" x14ac:dyDescent="0.25">
      <c r="B661" s="1"/>
    </row>
    <row r="662" spans="2:2" ht="14.25" customHeight="1" x14ac:dyDescent="0.25">
      <c r="B662" s="1"/>
    </row>
    <row r="663" spans="2:2" ht="14.25" customHeight="1" x14ac:dyDescent="0.25">
      <c r="B663" s="1"/>
    </row>
    <row r="664" spans="2:2" ht="14.25" customHeight="1" x14ac:dyDescent="0.25">
      <c r="B664" s="1"/>
    </row>
    <row r="665" spans="2:2" ht="14.25" customHeight="1" x14ac:dyDescent="0.25">
      <c r="B665" s="1"/>
    </row>
    <row r="666" spans="2:2" ht="14.25" customHeight="1" x14ac:dyDescent="0.25">
      <c r="B666" s="1"/>
    </row>
    <row r="667" spans="2:2" ht="14.25" customHeight="1" x14ac:dyDescent="0.25">
      <c r="B667" s="1"/>
    </row>
    <row r="668" spans="2:2" ht="14.25" customHeight="1" x14ac:dyDescent="0.25">
      <c r="B668" s="1"/>
    </row>
    <row r="669" spans="2:2" ht="14.25" customHeight="1" x14ac:dyDescent="0.25">
      <c r="B669" s="1"/>
    </row>
    <row r="670" spans="2:2" ht="14.25" customHeight="1" x14ac:dyDescent="0.25">
      <c r="B670" s="1"/>
    </row>
    <row r="671" spans="2:2" ht="14.25" customHeight="1" x14ac:dyDescent="0.25">
      <c r="B671" s="1"/>
    </row>
    <row r="672" spans="2:2" ht="14.25" customHeight="1" x14ac:dyDescent="0.25">
      <c r="B672" s="1"/>
    </row>
    <row r="673" spans="2:2" ht="14.25" customHeight="1" x14ac:dyDescent="0.25">
      <c r="B673" s="1"/>
    </row>
    <row r="674" spans="2:2" ht="14.25" customHeight="1" x14ac:dyDescent="0.25">
      <c r="B674" s="1"/>
    </row>
    <row r="675" spans="2:2" ht="14.25" customHeight="1" x14ac:dyDescent="0.25">
      <c r="B675" s="1"/>
    </row>
    <row r="676" spans="2:2" ht="14.25" customHeight="1" x14ac:dyDescent="0.25">
      <c r="B676" s="1"/>
    </row>
    <row r="677" spans="2:2" ht="14.25" customHeight="1" x14ac:dyDescent="0.25">
      <c r="B677" s="1"/>
    </row>
    <row r="678" spans="2:2" ht="14.25" customHeight="1" x14ac:dyDescent="0.25">
      <c r="B678" s="1"/>
    </row>
    <row r="679" spans="2:2" ht="14.25" customHeight="1" x14ac:dyDescent="0.25">
      <c r="B679" s="1"/>
    </row>
    <row r="680" spans="2:2" ht="14.25" customHeight="1" x14ac:dyDescent="0.25">
      <c r="B680" s="1"/>
    </row>
    <row r="681" spans="2:2" ht="14.25" customHeight="1" x14ac:dyDescent="0.25">
      <c r="B681" s="1"/>
    </row>
    <row r="682" spans="2:2" ht="14.25" customHeight="1" x14ac:dyDescent="0.25">
      <c r="B682" s="1"/>
    </row>
    <row r="683" spans="2:2" ht="14.25" customHeight="1" x14ac:dyDescent="0.25">
      <c r="B683" s="1"/>
    </row>
    <row r="684" spans="2:2" ht="14.25" customHeight="1" x14ac:dyDescent="0.25">
      <c r="B684" s="1"/>
    </row>
    <row r="685" spans="2:2" ht="14.25" customHeight="1" x14ac:dyDescent="0.25">
      <c r="B685" s="1"/>
    </row>
    <row r="686" spans="2:2" ht="14.25" customHeight="1" x14ac:dyDescent="0.25">
      <c r="B686" s="1"/>
    </row>
    <row r="687" spans="2:2" ht="14.25" customHeight="1" x14ac:dyDescent="0.25">
      <c r="B687" s="1"/>
    </row>
    <row r="688" spans="2:2" ht="14.25" customHeight="1" x14ac:dyDescent="0.25">
      <c r="B688" s="1"/>
    </row>
    <row r="689" spans="2:2" ht="14.25" customHeight="1" x14ac:dyDescent="0.25">
      <c r="B689" s="1"/>
    </row>
    <row r="690" spans="2:2" ht="14.25" customHeight="1" x14ac:dyDescent="0.25">
      <c r="B690" s="1"/>
    </row>
    <row r="691" spans="2:2" ht="14.25" customHeight="1" x14ac:dyDescent="0.25">
      <c r="B691" s="1"/>
    </row>
    <row r="692" spans="2:2" ht="14.25" customHeight="1" x14ac:dyDescent="0.25">
      <c r="B692" s="1"/>
    </row>
    <row r="693" spans="2:2" ht="14.25" customHeight="1" x14ac:dyDescent="0.25">
      <c r="B693" s="1"/>
    </row>
    <row r="694" spans="2:2" ht="14.25" customHeight="1" x14ac:dyDescent="0.25">
      <c r="B694" s="1"/>
    </row>
    <row r="695" spans="2:2" ht="14.25" customHeight="1" x14ac:dyDescent="0.25">
      <c r="B695" s="1"/>
    </row>
    <row r="696" spans="2:2" ht="14.25" customHeight="1" x14ac:dyDescent="0.25">
      <c r="B696" s="1"/>
    </row>
    <row r="697" spans="2:2" ht="14.25" customHeight="1" x14ac:dyDescent="0.25">
      <c r="B697" s="1"/>
    </row>
    <row r="698" spans="2:2" ht="14.25" customHeight="1" x14ac:dyDescent="0.25">
      <c r="B698" s="1"/>
    </row>
    <row r="699" spans="2:2" ht="14.25" customHeight="1" x14ac:dyDescent="0.25">
      <c r="B699" s="1"/>
    </row>
    <row r="700" spans="2:2" ht="14.25" customHeight="1" x14ac:dyDescent="0.25">
      <c r="B700" s="1"/>
    </row>
    <row r="701" spans="2:2" ht="14.25" customHeight="1" x14ac:dyDescent="0.25">
      <c r="B701" s="1"/>
    </row>
    <row r="702" spans="2:2" ht="14.25" customHeight="1" x14ac:dyDescent="0.25">
      <c r="B702" s="1"/>
    </row>
    <row r="703" spans="2:2" ht="14.25" customHeight="1" x14ac:dyDescent="0.25">
      <c r="B703" s="1"/>
    </row>
    <row r="704" spans="2:2" ht="14.25" customHeight="1" x14ac:dyDescent="0.25">
      <c r="B704" s="1"/>
    </row>
    <row r="705" spans="2:2" ht="14.25" customHeight="1" x14ac:dyDescent="0.25">
      <c r="B705" s="1"/>
    </row>
    <row r="706" spans="2:2" ht="14.25" customHeight="1" x14ac:dyDescent="0.25">
      <c r="B706" s="1"/>
    </row>
    <row r="707" spans="2:2" ht="14.25" customHeight="1" x14ac:dyDescent="0.25">
      <c r="B707" s="1"/>
    </row>
    <row r="708" spans="2:2" ht="14.25" customHeight="1" x14ac:dyDescent="0.25">
      <c r="B708" s="1"/>
    </row>
    <row r="709" spans="2:2" ht="14.25" customHeight="1" x14ac:dyDescent="0.25">
      <c r="B709" s="1"/>
    </row>
    <row r="710" spans="2:2" ht="14.25" customHeight="1" x14ac:dyDescent="0.25">
      <c r="B710" s="1"/>
    </row>
    <row r="711" spans="2:2" ht="14.25" customHeight="1" x14ac:dyDescent="0.25">
      <c r="B711" s="1"/>
    </row>
    <row r="712" spans="2:2" ht="14.25" customHeight="1" x14ac:dyDescent="0.25">
      <c r="B712" s="1"/>
    </row>
    <row r="713" spans="2:2" ht="14.25" customHeight="1" x14ac:dyDescent="0.25">
      <c r="B713" s="1"/>
    </row>
    <row r="714" spans="2:2" ht="14.25" customHeight="1" x14ac:dyDescent="0.25">
      <c r="B714" s="1"/>
    </row>
    <row r="715" spans="2:2" ht="14.25" customHeight="1" x14ac:dyDescent="0.25">
      <c r="B715" s="1"/>
    </row>
    <row r="716" spans="2:2" ht="14.25" customHeight="1" x14ac:dyDescent="0.25">
      <c r="B716" s="1"/>
    </row>
    <row r="717" spans="2:2" ht="14.25" customHeight="1" x14ac:dyDescent="0.25">
      <c r="B717" s="1"/>
    </row>
    <row r="718" spans="2:2" ht="14.25" customHeight="1" x14ac:dyDescent="0.25">
      <c r="B718" s="1"/>
    </row>
    <row r="719" spans="2:2" ht="14.25" customHeight="1" x14ac:dyDescent="0.25">
      <c r="B719" s="1"/>
    </row>
    <row r="720" spans="2:2" ht="14.25" customHeight="1" x14ac:dyDescent="0.25">
      <c r="B720" s="1"/>
    </row>
    <row r="721" spans="2:2" ht="14.25" customHeight="1" x14ac:dyDescent="0.25">
      <c r="B721" s="1"/>
    </row>
    <row r="722" spans="2:2" ht="14.25" customHeight="1" x14ac:dyDescent="0.25">
      <c r="B722" s="1"/>
    </row>
    <row r="723" spans="2:2" ht="14.25" customHeight="1" x14ac:dyDescent="0.25">
      <c r="B723" s="1"/>
    </row>
    <row r="724" spans="2:2" ht="14.25" customHeight="1" x14ac:dyDescent="0.25">
      <c r="B724" s="1"/>
    </row>
    <row r="725" spans="2:2" ht="14.25" customHeight="1" x14ac:dyDescent="0.25">
      <c r="B725" s="1"/>
    </row>
    <row r="726" spans="2:2" ht="14.25" customHeight="1" x14ac:dyDescent="0.25">
      <c r="B726" s="1"/>
    </row>
    <row r="727" spans="2:2" ht="14.25" customHeight="1" x14ac:dyDescent="0.25">
      <c r="B727" s="1"/>
    </row>
    <row r="728" spans="2:2" ht="14.25" customHeight="1" x14ac:dyDescent="0.25">
      <c r="B728" s="1"/>
    </row>
    <row r="729" spans="2:2" ht="14.25" customHeight="1" x14ac:dyDescent="0.25">
      <c r="B729" s="1"/>
    </row>
    <row r="730" spans="2:2" ht="14.25" customHeight="1" x14ac:dyDescent="0.25">
      <c r="B730" s="1"/>
    </row>
    <row r="731" spans="2:2" ht="14.25" customHeight="1" x14ac:dyDescent="0.25">
      <c r="B731" s="1"/>
    </row>
    <row r="732" spans="2:2" ht="14.25" customHeight="1" x14ac:dyDescent="0.25">
      <c r="B732" s="1"/>
    </row>
    <row r="733" spans="2:2" ht="14.25" customHeight="1" x14ac:dyDescent="0.25">
      <c r="B733" s="1"/>
    </row>
    <row r="734" spans="2:2" ht="14.25" customHeight="1" x14ac:dyDescent="0.25">
      <c r="B734" s="1"/>
    </row>
    <row r="735" spans="2:2" ht="14.25" customHeight="1" x14ac:dyDescent="0.25">
      <c r="B735" s="1"/>
    </row>
    <row r="736" spans="2:2" ht="14.25" customHeight="1" x14ac:dyDescent="0.25">
      <c r="B736" s="1"/>
    </row>
    <row r="737" spans="2:2" ht="14.25" customHeight="1" x14ac:dyDescent="0.25">
      <c r="B737" s="1"/>
    </row>
    <row r="738" spans="2:2" ht="14.25" customHeight="1" x14ac:dyDescent="0.25">
      <c r="B738" s="1"/>
    </row>
    <row r="739" spans="2:2" ht="14.25" customHeight="1" x14ac:dyDescent="0.25">
      <c r="B739" s="1"/>
    </row>
    <row r="740" spans="2:2" ht="14.25" customHeight="1" x14ac:dyDescent="0.25">
      <c r="B740" s="1"/>
    </row>
    <row r="741" spans="2:2" ht="14.25" customHeight="1" x14ac:dyDescent="0.25">
      <c r="B741" s="1"/>
    </row>
    <row r="742" spans="2:2" ht="14.25" customHeight="1" x14ac:dyDescent="0.25">
      <c r="B742" s="1"/>
    </row>
    <row r="743" spans="2:2" ht="14.25" customHeight="1" x14ac:dyDescent="0.25">
      <c r="B743" s="1"/>
    </row>
    <row r="744" spans="2:2" ht="14.25" customHeight="1" x14ac:dyDescent="0.25">
      <c r="B744" s="1"/>
    </row>
    <row r="745" spans="2:2" ht="14.25" customHeight="1" x14ac:dyDescent="0.25">
      <c r="B745" s="1"/>
    </row>
    <row r="746" spans="2:2" ht="14.25" customHeight="1" x14ac:dyDescent="0.25">
      <c r="B746" s="1"/>
    </row>
    <row r="747" spans="2:2" ht="14.25" customHeight="1" x14ac:dyDescent="0.25">
      <c r="B747" s="1"/>
    </row>
    <row r="748" spans="2:2" ht="14.25" customHeight="1" x14ac:dyDescent="0.25">
      <c r="B748" s="1"/>
    </row>
    <row r="749" spans="2:2" ht="14.25" customHeight="1" x14ac:dyDescent="0.25">
      <c r="B749" s="1"/>
    </row>
    <row r="750" spans="2:2" ht="14.25" customHeight="1" x14ac:dyDescent="0.25">
      <c r="B750" s="1"/>
    </row>
    <row r="751" spans="2:2" ht="14.25" customHeight="1" x14ac:dyDescent="0.25">
      <c r="B751" s="1"/>
    </row>
    <row r="752" spans="2:2" ht="14.25" customHeight="1" x14ac:dyDescent="0.25">
      <c r="B752" s="1"/>
    </row>
    <row r="753" spans="2:2" ht="14.25" customHeight="1" x14ac:dyDescent="0.25">
      <c r="B753" s="1"/>
    </row>
    <row r="754" spans="2:2" ht="14.25" customHeight="1" x14ac:dyDescent="0.25">
      <c r="B754" s="1"/>
    </row>
    <row r="755" spans="2:2" ht="14.25" customHeight="1" x14ac:dyDescent="0.25">
      <c r="B755" s="1"/>
    </row>
    <row r="756" spans="2:2" ht="14.25" customHeight="1" x14ac:dyDescent="0.25">
      <c r="B756" s="1"/>
    </row>
    <row r="757" spans="2:2" ht="14.25" customHeight="1" x14ac:dyDescent="0.25">
      <c r="B757" s="1"/>
    </row>
    <row r="758" spans="2:2" ht="14.25" customHeight="1" x14ac:dyDescent="0.25">
      <c r="B758" s="1"/>
    </row>
    <row r="759" spans="2:2" ht="14.25" customHeight="1" x14ac:dyDescent="0.25">
      <c r="B759" s="1"/>
    </row>
    <row r="760" spans="2:2" ht="14.25" customHeight="1" x14ac:dyDescent="0.25">
      <c r="B760" s="1"/>
    </row>
    <row r="761" spans="2:2" ht="14.25" customHeight="1" x14ac:dyDescent="0.25">
      <c r="B761" s="1"/>
    </row>
    <row r="762" spans="2:2" ht="14.25" customHeight="1" x14ac:dyDescent="0.25">
      <c r="B762" s="1"/>
    </row>
    <row r="763" spans="2:2" ht="14.25" customHeight="1" x14ac:dyDescent="0.25">
      <c r="B763" s="1"/>
    </row>
    <row r="764" spans="2:2" ht="14.25" customHeight="1" x14ac:dyDescent="0.25">
      <c r="B764" s="1"/>
    </row>
    <row r="765" spans="2:2" ht="14.25" customHeight="1" x14ac:dyDescent="0.25">
      <c r="B765" s="1"/>
    </row>
    <row r="766" spans="2:2" ht="14.25" customHeight="1" x14ac:dyDescent="0.25">
      <c r="B766" s="1"/>
    </row>
    <row r="767" spans="2:2" ht="14.25" customHeight="1" x14ac:dyDescent="0.25">
      <c r="B767" s="1"/>
    </row>
    <row r="768" spans="2:2" ht="14.25" customHeight="1" x14ac:dyDescent="0.25">
      <c r="B768" s="1"/>
    </row>
    <row r="769" spans="2:2" ht="14.25" customHeight="1" x14ac:dyDescent="0.25">
      <c r="B769" s="1"/>
    </row>
    <row r="770" spans="2:2" ht="14.25" customHeight="1" x14ac:dyDescent="0.25">
      <c r="B770" s="1"/>
    </row>
    <row r="771" spans="2:2" ht="14.25" customHeight="1" x14ac:dyDescent="0.25">
      <c r="B771" s="1"/>
    </row>
    <row r="772" spans="2:2" ht="14.25" customHeight="1" x14ac:dyDescent="0.25">
      <c r="B772" s="1"/>
    </row>
    <row r="773" spans="2:2" ht="14.25" customHeight="1" x14ac:dyDescent="0.25">
      <c r="B773" s="1"/>
    </row>
    <row r="774" spans="2:2" ht="14.25" customHeight="1" x14ac:dyDescent="0.25">
      <c r="B774" s="1"/>
    </row>
    <row r="775" spans="2:2" ht="14.25" customHeight="1" x14ac:dyDescent="0.25">
      <c r="B775" s="1"/>
    </row>
    <row r="776" spans="2:2" ht="14.25" customHeight="1" x14ac:dyDescent="0.25">
      <c r="B776" s="1"/>
    </row>
    <row r="777" spans="2:2" ht="14.25" customHeight="1" x14ac:dyDescent="0.25">
      <c r="B777" s="1"/>
    </row>
    <row r="778" spans="2:2" ht="14.25" customHeight="1" x14ac:dyDescent="0.25">
      <c r="B778" s="1"/>
    </row>
    <row r="779" spans="2:2" ht="14.25" customHeight="1" x14ac:dyDescent="0.25">
      <c r="B779" s="1"/>
    </row>
    <row r="780" spans="2:2" ht="14.25" customHeight="1" x14ac:dyDescent="0.25">
      <c r="B780" s="1"/>
    </row>
    <row r="781" spans="2:2" ht="14.25" customHeight="1" x14ac:dyDescent="0.25">
      <c r="B781" s="1"/>
    </row>
    <row r="782" spans="2:2" ht="14.25" customHeight="1" x14ac:dyDescent="0.25">
      <c r="B782" s="1"/>
    </row>
    <row r="783" spans="2:2" ht="14.25" customHeight="1" x14ac:dyDescent="0.25">
      <c r="B783" s="1"/>
    </row>
    <row r="784" spans="2:2" ht="14.25" customHeight="1" x14ac:dyDescent="0.25">
      <c r="B784" s="1"/>
    </row>
    <row r="785" spans="2:2" ht="14.25" customHeight="1" x14ac:dyDescent="0.25">
      <c r="B785" s="1"/>
    </row>
    <row r="786" spans="2:2" ht="14.25" customHeight="1" x14ac:dyDescent="0.25">
      <c r="B786" s="1"/>
    </row>
    <row r="787" spans="2:2" ht="14.25" customHeight="1" x14ac:dyDescent="0.25">
      <c r="B787" s="1"/>
    </row>
    <row r="788" spans="2:2" ht="14.25" customHeight="1" x14ac:dyDescent="0.25">
      <c r="B788" s="1"/>
    </row>
    <row r="789" spans="2:2" ht="14.25" customHeight="1" x14ac:dyDescent="0.25">
      <c r="B789" s="1"/>
    </row>
    <row r="790" spans="2:2" ht="14.25" customHeight="1" x14ac:dyDescent="0.25">
      <c r="B790" s="1"/>
    </row>
    <row r="791" spans="2:2" ht="14.25" customHeight="1" x14ac:dyDescent="0.25">
      <c r="B791" s="1"/>
    </row>
    <row r="792" spans="2:2" ht="14.25" customHeight="1" x14ac:dyDescent="0.25">
      <c r="B792" s="1"/>
    </row>
    <row r="793" spans="2:2" ht="14.25" customHeight="1" x14ac:dyDescent="0.25">
      <c r="B793" s="1"/>
    </row>
    <row r="794" spans="2:2" ht="14.25" customHeight="1" x14ac:dyDescent="0.25">
      <c r="B794" s="1"/>
    </row>
    <row r="795" spans="2:2" ht="14.25" customHeight="1" x14ac:dyDescent="0.25">
      <c r="B795" s="1"/>
    </row>
    <row r="796" spans="2:2" ht="14.25" customHeight="1" x14ac:dyDescent="0.25">
      <c r="B796" s="1"/>
    </row>
    <row r="797" spans="2:2" ht="14.25" customHeight="1" x14ac:dyDescent="0.25">
      <c r="B797" s="1"/>
    </row>
    <row r="798" spans="2:2" ht="14.25" customHeight="1" x14ac:dyDescent="0.25">
      <c r="B798" s="1"/>
    </row>
    <row r="799" spans="2:2" ht="14.25" customHeight="1" x14ac:dyDescent="0.25">
      <c r="B799" s="1"/>
    </row>
    <row r="800" spans="2:2" ht="14.25" customHeight="1" x14ac:dyDescent="0.25">
      <c r="B800" s="1"/>
    </row>
    <row r="801" spans="2:2" ht="14.25" customHeight="1" x14ac:dyDescent="0.25">
      <c r="B801" s="1"/>
    </row>
    <row r="802" spans="2:2" ht="14.25" customHeight="1" x14ac:dyDescent="0.25">
      <c r="B802" s="1"/>
    </row>
    <row r="803" spans="2:2" ht="14.25" customHeight="1" x14ac:dyDescent="0.25">
      <c r="B803" s="1"/>
    </row>
    <row r="804" spans="2:2" ht="14.25" customHeight="1" x14ac:dyDescent="0.25">
      <c r="B804" s="1"/>
    </row>
    <row r="805" spans="2:2" ht="14.25" customHeight="1" x14ac:dyDescent="0.25">
      <c r="B805" s="1"/>
    </row>
    <row r="806" spans="2:2" ht="14.25" customHeight="1" x14ac:dyDescent="0.25">
      <c r="B806" s="1"/>
    </row>
    <row r="807" spans="2:2" ht="14.25" customHeight="1" x14ac:dyDescent="0.25">
      <c r="B807" s="1"/>
    </row>
    <row r="808" spans="2:2" ht="14.25" customHeight="1" x14ac:dyDescent="0.25">
      <c r="B808" s="1"/>
    </row>
    <row r="809" spans="2:2" ht="14.25" customHeight="1" x14ac:dyDescent="0.25">
      <c r="B809" s="1"/>
    </row>
    <row r="810" spans="2:2" ht="14.25" customHeight="1" x14ac:dyDescent="0.25">
      <c r="B810" s="1"/>
    </row>
    <row r="811" spans="2:2" ht="14.25" customHeight="1" x14ac:dyDescent="0.25">
      <c r="B811" s="1"/>
    </row>
    <row r="812" spans="2:2" ht="14.25" customHeight="1" x14ac:dyDescent="0.25">
      <c r="B812" s="1"/>
    </row>
    <row r="813" spans="2:2" ht="14.25" customHeight="1" x14ac:dyDescent="0.25">
      <c r="B813" s="1"/>
    </row>
    <row r="814" spans="2:2" ht="14.25" customHeight="1" x14ac:dyDescent="0.25">
      <c r="B814" s="1"/>
    </row>
    <row r="815" spans="2:2" ht="14.25" customHeight="1" x14ac:dyDescent="0.25">
      <c r="B815" s="1"/>
    </row>
    <row r="816" spans="2:2" ht="14.25" customHeight="1" x14ac:dyDescent="0.25">
      <c r="B816" s="1"/>
    </row>
    <row r="817" spans="2:2" ht="14.25" customHeight="1" x14ac:dyDescent="0.25">
      <c r="B817" s="1"/>
    </row>
    <row r="818" spans="2:2" ht="14.25" customHeight="1" x14ac:dyDescent="0.25">
      <c r="B818" s="1"/>
    </row>
    <row r="819" spans="2:2" ht="14.25" customHeight="1" x14ac:dyDescent="0.25">
      <c r="B819" s="1"/>
    </row>
    <row r="820" spans="2:2" ht="14.25" customHeight="1" x14ac:dyDescent="0.25">
      <c r="B820" s="1"/>
    </row>
    <row r="821" spans="2:2" ht="14.25" customHeight="1" x14ac:dyDescent="0.25">
      <c r="B821" s="1"/>
    </row>
    <row r="822" spans="2:2" ht="14.25" customHeight="1" x14ac:dyDescent="0.25">
      <c r="B822" s="1"/>
    </row>
    <row r="823" spans="2:2" ht="14.25" customHeight="1" x14ac:dyDescent="0.25">
      <c r="B823" s="1"/>
    </row>
    <row r="824" spans="2:2" ht="14.25" customHeight="1" x14ac:dyDescent="0.25">
      <c r="B824" s="1"/>
    </row>
    <row r="825" spans="2:2" ht="14.25" customHeight="1" x14ac:dyDescent="0.25">
      <c r="B825" s="1"/>
    </row>
    <row r="826" spans="2:2" ht="14.25" customHeight="1" x14ac:dyDescent="0.25">
      <c r="B826" s="1"/>
    </row>
    <row r="827" spans="2:2" ht="14.25" customHeight="1" x14ac:dyDescent="0.25">
      <c r="B827" s="1"/>
    </row>
    <row r="828" spans="2:2" ht="14.25" customHeight="1" x14ac:dyDescent="0.25">
      <c r="B828" s="1"/>
    </row>
    <row r="829" spans="2:2" ht="14.25" customHeight="1" x14ac:dyDescent="0.25">
      <c r="B829" s="1"/>
    </row>
    <row r="830" spans="2:2" ht="14.25" customHeight="1" x14ac:dyDescent="0.25">
      <c r="B830" s="1"/>
    </row>
    <row r="831" spans="2:2" ht="14.25" customHeight="1" x14ac:dyDescent="0.25">
      <c r="B831" s="1"/>
    </row>
    <row r="832" spans="2:2" ht="14.25" customHeight="1" x14ac:dyDescent="0.25">
      <c r="B832" s="1"/>
    </row>
    <row r="833" spans="2:2" ht="14.25" customHeight="1" x14ac:dyDescent="0.25">
      <c r="B833" s="1"/>
    </row>
    <row r="834" spans="2:2" ht="14.25" customHeight="1" x14ac:dyDescent="0.25">
      <c r="B834" s="1"/>
    </row>
    <row r="835" spans="2:2" ht="14.25" customHeight="1" x14ac:dyDescent="0.25">
      <c r="B835" s="1"/>
    </row>
    <row r="836" spans="2:2" ht="14.25" customHeight="1" x14ac:dyDescent="0.25">
      <c r="B836" s="1"/>
    </row>
    <row r="837" spans="2:2" ht="14.25" customHeight="1" x14ac:dyDescent="0.25">
      <c r="B837" s="1"/>
    </row>
    <row r="838" spans="2:2" ht="14.25" customHeight="1" x14ac:dyDescent="0.25">
      <c r="B838" s="1"/>
    </row>
    <row r="839" spans="2:2" ht="14.25" customHeight="1" x14ac:dyDescent="0.25">
      <c r="B839" s="1"/>
    </row>
    <row r="840" spans="2:2" ht="14.25" customHeight="1" x14ac:dyDescent="0.25">
      <c r="B840" s="1"/>
    </row>
    <row r="841" spans="2:2" ht="14.25" customHeight="1" x14ac:dyDescent="0.25">
      <c r="B841" s="1"/>
    </row>
    <row r="842" spans="2:2" ht="14.25" customHeight="1" x14ac:dyDescent="0.25">
      <c r="B842" s="1"/>
    </row>
    <row r="843" spans="2:2" ht="14.25" customHeight="1" x14ac:dyDescent="0.25">
      <c r="B843" s="1"/>
    </row>
    <row r="844" spans="2:2" ht="14.25" customHeight="1" x14ac:dyDescent="0.25">
      <c r="B844" s="1"/>
    </row>
    <row r="845" spans="2:2" ht="14.25" customHeight="1" x14ac:dyDescent="0.25">
      <c r="B845" s="1"/>
    </row>
    <row r="846" spans="2:2" ht="14.25" customHeight="1" x14ac:dyDescent="0.25">
      <c r="B846" s="1"/>
    </row>
    <row r="847" spans="2:2" ht="14.25" customHeight="1" x14ac:dyDescent="0.25">
      <c r="B847" s="1"/>
    </row>
    <row r="848" spans="2:2" ht="14.25" customHeight="1" x14ac:dyDescent="0.25">
      <c r="B848" s="1"/>
    </row>
    <row r="849" spans="2:2" ht="14.25" customHeight="1" x14ac:dyDescent="0.25">
      <c r="B849" s="1"/>
    </row>
    <row r="850" spans="2:2" ht="14.25" customHeight="1" x14ac:dyDescent="0.25">
      <c r="B850" s="1"/>
    </row>
    <row r="851" spans="2:2" ht="14.25" customHeight="1" x14ac:dyDescent="0.25">
      <c r="B851" s="1"/>
    </row>
    <row r="852" spans="2:2" ht="14.25" customHeight="1" x14ac:dyDescent="0.25">
      <c r="B852" s="1"/>
    </row>
    <row r="853" spans="2:2" ht="14.25" customHeight="1" x14ac:dyDescent="0.25">
      <c r="B853" s="1"/>
    </row>
    <row r="854" spans="2:2" ht="14.25" customHeight="1" x14ac:dyDescent="0.25">
      <c r="B854" s="1"/>
    </row>
    <row r="855" spans="2:2" ht="14.25" customHeight="1" x14ac:dyDescent="0.25">
      <c r="B855" s="1"/>
    </row>
    <row r="856" spans="2:2" ht="14.25" customHeight="1" x14ac:dyDescent="0.25">
      <c r="B856" s="1"/>
    </row>
    <row r="857" spans="2:2" ht="14.25" customHeight="1" x14ac:dyDescent="0.25">
      <c r="B857" s="1"/>
    </row>
    <row r="858" spans="2:2" ht="14.25" customHeight="1" x14ac:dyDescent="0.25">
      <c r="B858" s="1"/>
    </row>
    <row r="859" spans="2:2" ht="14.25" customHeight="1" x14ac:dyDescent="0.25">
      <c r="B859" s="1"/>
    </row>
    <row r="860" spans="2:2" ht="14.25" customHeight="1" x14ac:dyDescent="0.25">
      <c r="B860" s="1"/>
    </row>
    <row r="861" spans="2:2" ht="14.25" customHeight="1" x14ac:dyDescent="0.25">
      <c r="B861" s="1"/>
    </row>
    <row r="862" spans="2:2" ht="14.25" customHeight="1" x14ac:dyDescent="0.25">
      <c r="B862" s="1"/>
    </row>
    <row r="863" spans="2:2" ht="14.25" customHeight="1" x14ac:dyDescent="0.25">
      <c r="B863" s="1"/>
    </row>
    <row r="864" spans="2:2" ht="14.25" customHeight="1" x14ac:dyDescent="0.25">
      <c r="B864" s="1"/>
    </row>
    <row r="865" spans="2:2" ht="14.25" customHeight="1" x14ac:dyDescent="0.25">
      <c r="B865" s="1"/>
    </row>
    <row r="866" spans="2:2" ht="14.25" customHeight="1" x14ac:dyDescent="0.25">
      <c r="B866" s="1"/>
    </row>
    <row r="867" spans="2:2" ht="14.25" customHeight="1" x14ac:dyDescent="0.25">
      <c r="B867" s="1"/>
    </row>
    <row r="868" spans="2:2" ht="14.25" customHeight="1" x14ac:dyDescent="0.25">
      <c r="B868" s="1"/>
    </row>
    <row r="869" spans="2:2" ht="14.25" customHeight="1" x14ac:dyDescent="0.25">
      <c r="B869" s="1"/>
    </row>
    <row r="870" spans="2:2" ht="14.25" customHeight="1" x14ac:dyDescent="0.25">
      <c r="B870" s="1"/>
    </row>
    <row r="871" spans="2:2" ht="14.25" customHeight="1" x14ac:dyDescent="0.25">
      <c r="B871" s="1"/>
    </row>
    <row r="872" spans="2:2" ht="14.25" customHeight="1" x14ac:dyDescent="0.25">
      <c r="B872" s="1"/>
    </row>
    <row r="873" spans="2:2" ht="14.25" customHeight="1" x14ac:dyDescent="0.25">
      <c r="B873" s="1"/>
    </row>
    <row r="874" spans="2:2" ht="14.25" customHeight="1" x14ac:dyDescent="0.25">
      <c r="B874" s="1"/>
    </row>
    <row r="875" spans="2:2" ht="14.25" customHeight="1" x14ac:dyDescent="0.25">
      <c r="B875" s="1"/>
    </row>
    <row r="876" spans="2:2" ht="14.25" customHeight="1" x14ac:dyDescent="0.25">
      <c r="B876" s="1"/>
    </row>
    <row r="877" spans="2:2" ht="14.25" customHeight="1" x14ac:dyDescent="0.25">
      <c r="B877" s="1"/>
    </row>
    <row r="878" spans="2:2" ht="14.25" customHeight="1" x14ac:dyDescent="0.25">
      <c r="B878" s="1"/>
    </row>
    <row r="879" spans="2:2" ht="14.25" customHeight="1" x14ac:dyDescent="0.25">
      <c r="B879" s="1"/>
    </row>
    <row r="880" spans="2:2" ht="14.25" customHeight="1" x14ac:dyDescent="0.25">
      <c r="B880" s="1"/>
    </row>
    <row r="881" spans="2:2" ht="14.25" customHeight="1" x14ac:dyDescent="0.25">
      <c r="B881" s="1"/>
    </row>
    <row r="882" spans="2:2" ht="14.25" customHeight="1" x14ac:dyDescent="0.25">
      <c r="B882" s="1"/>
    </row>
    <row r="883" spans="2:2" ht="14.25" customHeight="1" x14ac:dyDescent="0.25">
      <c r="B883" s="1"/>
    </row>
    <row r="884" spans="2:2" ht="14.25" customHeight="1" x14ac:dyDescent="0.25">
      <c r="B884" s="1"/>
    </row>
    <row r="885" spans="2:2" ht="14.25" customHeight="1" x14ac:dyDescent="0.25">
      <c r="B885" s="1"/>
    </row>
    <row r="886" spans="2:2" ht="14.25" customHeight="1" x14ac:dyDescent="0.25">
      <c r="B886" s="1"/>
    </row>
    <row r="887" spans="2:2" ht="14.25" customHeight="1" x14ac:dyDescent="0.25">
      <c r="B887" s="1"/>
    </row>
    <row r="888" spans="2:2" ht="14.25" customHeight="1" x14ac:dyDescent="0.25">
      <c r="B888" s="1"/>
    </row>
    <row r="889" spans="2:2" ht="14.25" customHeight="1" x14ac:dyDescent="0.25">
      <c r="B889" s="1"/>
    </row>
    <row r="890" spans="2:2" ht="14.25" customHeight="1" x14ac:dyDescent="0.25">
      <c r="B890" s="1"/>
    </row>
    <row r="891" spans="2:2" ht="14.25" customHeight="1" x14ac:dyDescent="0.25">
      <c r="B891" s="1"/>
    </row>
    <row r="892" spans="2:2" ht="14.25" customHeight="1" x14ac:dyDescent="0.25">
      <c r="B892" s="1"/>
    </row>
    <row r="893" spans="2:2" ht="14.25" customHeight="1" x14ac:dyDescent="0.25">
      <c r="B893" s="1"/>
    </row>
    <row r="894" spans="2:2" ht="14.25" customHeight="1" x14ac:dyDescent="0.25">
      <c r="B894" s="1"/>
    </row>
    <row r="895" spans="2:2" ht="14.25" customHeight="1" x14ac:dyDescent="0.25">
      <c r="B895" s="1"/>
    </row>
    <row r="896" spans="2:2" ht="14.25" customHeight="1" x14ac:dyDescent="0.25">
      <c r="B896" s="1"/>
    </row>
    <row r="897" spans="2:2" ht="14.25" customHeight="1" x14ac:dyDescent="0.25">
      <c r="B897" s="1"/>
    </row>
    <row r="898" spans="2:2" ht="14.25" customHeight="1" x14ac:dyDescent="0.25">
      <c r="B898" s="1"/>
    </row>
    <row r="899" spans="2:2" ht="14.25" customHeight="1" x14ac:dyDescent="0.25">
      <c r="B899" s="1"/>
    </row>
    <row r="900" spans="2:2" ht="14.25" customHeight="1" x14ac:dyDescent="0.25">
      <c r="B900" s="1"/>
    </row>
    <row r="901" spans="2:2" ht="14.25" customHeight="1" x14ac:dyDescent="0.25">
      <c r="B901" s="1"/>
    </row>
    <row r="902" spans="2:2" ht="14.25" customHeight="1" x14ac:dyDescent="0.25">
      <c r="B902" s="1"/>
    </row>
    <row r="903" spans="2:2" ht="14.25" customHeight="1" x14ac:dyDescent="0.25">
      <c r="B903" s="1"/>
    </row>
    <row r="904" spans="2:2" ht="14.25" customHeight="1" x14ac:dyDescent="0.25">
      <c r="B904" s="1"/>
    </row>
    <row r="905" spans="2:2" ht="14.25" customHeight="1" x14ac:dyDescent="0.25">
      <c r="B905" s="1"/>
    </row>
    <row r="906" spans="2:2" ht="14.25" customHeight="1" x14ac:dyDescent="0.25">
      <c r="B906" s="1"/>
    </row>
    <row r="907" spans="2:2" ht="14.25" customHeight="1" x14ac:dyDescent="0.25">
      <c r="B907" s="1"/>
    </row>
    <row r="908" spans="2:2" ht="14.25" customHeight="1" x14ac:dyDescent="0.25">
      <c r="B908" s="1"/>
    </row>
    <row r="909" spans="2:2" ht="14.25" customHeight="1" x14ac:dyDescent="0.25">
      <c r="B909" s="1"/>
    </row>
    <row r="910" spans="2:2" ht="14.25" customHeight="1" x14ac:dyDescent="0.25">
      <c r="B910" s="1"/>
    </row>
    <row r="911" spans="2:2" ht="14.25" customHeight="1" x14ac:dyDescent="0.25">
      <c r="B911" s="1"/>
    </row>
    <row r="912" spans="2:2" ht="14.25" customHeight="1" x14ac:dyDescent="0.25">
      <c r="B912" s="1"/>
    </row>
    <row r="913" spans="2:2" ht="14.25" customHeight="1" x14ac:dyDescent="0.25">
      <c r="B913" s="1"/>
    </row>
    <row r="914" spans="2:2" ht="14.25" customHeight="1" x14ac:dyDescent="0.25">
      <c r="B914" s="1"/>
    </row>
    <row r="915" spans="2:2" ht="14.25" customHeight="1" x14ac:dyDescent="0.25">
      <c r="B915" s="1"/>
    </row>
    <row r="916" spans="2:2" ht="14.25" customHeight="1" x14ac:dyDescent="0.25">
      <c r="B916" s="1"/>
    </row>
    <row r="917" spans="2:2" ht="14.25" customHeight="1" x14ac:dyDescent="0.25">
      <c r="B917" s="1"/>
    </row>
    <row r="918" spans="2:2" ht="14.25" customHeight="1" x14ac:dyDescent="0.25">
      <c r="B918" s="1"/>
    </row>
    <row r="919" spans="2:2" ht="14.25" customHeight="1" x14ac:dyDescent="0.25">
      <c r="B919" s="1"/>
    </row>
    <row r="920" spans="2:2" ht="14.25" customHeight="1" x14ac:dyDescent="0.25">
      <c r="B920" s="1"/>
    </row>
    <row r="921" spans="2:2" ht="14.25" customHeight="1" x14ac:dyDescent="0.25">
      <c r="B921" s="1"/>
    </row>
    <row r="922" spans="2:2" ht="14.25" customHeight="1" x14ac:dyDescent="0.25">
      <c r="B922" s="1"/>
    </row>
    <row r="923" spans="2:2" ht="14.25" customHeight="1" x14ac:dyDescent="0.25">
      <c r="B923" s="1"/>
    </row>
    <row r="924" spans="2:2" ht="14.25" customHeight="1" x14ac:dyDescent="0.25">
      <c r="B924" s="1"/>
    </row>
    <row r="925" spans="2:2" ht="14.25" customHeight="1" x14ac:dyDescent="0.25">
      <c r="B925" s="1"/>
    </row>
    <row r="926" spans="2:2" ht="14.25" customHeight="1" x14ac:dyDescent="0.25">
      <c r="B926" s="1"/>
    </row>
    <row r="927" spans="2:2" ht="14.25" customHeight="1" x14ac:dyDescent="0.25">
      <c r="B927" s="1"/>
    </row>
    <row r="928" spans="2:2" ht="14.25" customHeight="1" x14ac:dyDescent="0.25">
      <c r="B928" s="1"/>
    </row>
    <row r="929" spans="2:2" ht="14.25" customHeight="1" x14ac:dyDescent="0.25">
      <c r="B929" s="1"/>
    </row>
    <row r="930" spans="2:2" ht="14.25" customHeight="1" x14ac:dyDescent="0.25">
      <c r="B930" s="1"/>
    </row>
    <row r="931" spans="2:2" ht="14.25" customHeight="1" x14ac:dyDescent="0.25">
      <c r="B931" s="1"/>
    </row>
    <row r="932" spans="2:2" ht="14.25" customHeight="1" x14ac:dyDescent="0.25">
      <c r="B932" s="1"/>
    </row>
    <row r="933" spans="2:2" ht="14.25" customHeight="1" x14ac:dyDescent="0.25">
      <c r="B933" s="1"/>
    </row>
    <row r="934" spans="2:2" ht="14.25" customHeight="1" x14ac:dyDescent="0.25">
      <c r="B934" s="1"/>
    </row>
    <row r="935" spans="2:2" ht="14.25" customHeight="1" x14ac:dyDescent="0.25">
      <c r="B935" s="1"/>
    </row>
    <row r="936" spans="2:2" ht="14.25" customHeight="1" x14ac:dyDescent="0.25">
      <c r="B936" s="1"/>
    </row>
    <row r="937" spans="2:2" ht="14.25" customHeight="1" x14ac:dyDescent="0.25">
      <c r="B937" s="1"/>
    </row>
    <row r="938" spans="2:2" ht="14.25" customHeight="1" x14ac:dyDescent="0.25">
      <c r="B938" s="1"/>
    </row>
    <row r="939" spans="2:2" ht="14.25" customHeight="1" x14ac:dyDescent="0.25">
      <c r="B939" s="1"/>
    </row>
    <row r="940" spans="2:2" ht="14.25" customHeight="1" x14ac:dyDescent="0.25">
      <c r="B940" s="1"/>
    </row>
    <row r="941" spans="2:2" ht="14.25" customHeight="1" x14ac:dyDescent="0.25">
      <c r="B941" s="1"/>
    </row>
    <row r="942" spans="2:2" ht="14.25" customHeight="1" x14ac:dyDescent="0.25">
      <c r="B942" s="1"/>
    </row>
    <row r="943" spans="2:2" ht="14.25" customHeight="1" x14ac:dyDescent="0.25">
      <c r="B943" s="1"/>
    </row>
    <row r="944" spans="2:2" ht="14.25" customHeight="1" x14ac:dyDescent="0.25">
      <c r="B944" s="1"/>
    </row>
    <row r="945" spans="2:2" ht="14.25" customHeight="1" x14ac:dyDescent="0.25">
      <c r="B945" s="1"/>
    </row>
    <row r="946" spans="2:2" ht="14.25" customHeight="1" x14ac:dyDescent="0.25">
      <c r="B946" s="1"/>
    </row>
    <row r="947" spans="2:2" ht="14.25" customHeight="1" x14ac:dyDescent="0.25">
      <c r="B947" s="1"/>
    </row>
    <row r="948" spans="2:2" ht="14.25" customHeight="1" x14ac:dyDescent="0.25">
      <c r="B948" s="1"/>
    </row>
    <row r="949" spans="2:2" ht="14.25" customHeight="1" x14ac:dyDescent="0.25">
      <c r="B949" s="1"/>
    </row>
    <row r="950" spans="2:2" ht="14.25" customHeight="1" x14ac:dyDescent="0.25">
      <c r="B950" s="1"/>
    </row>
    <row r="951" spans="2:2" ht="14.25" customHeight="1" x14ac:dyDescent="0.25">
      <c r="B951" s="1"/>
    </row>
    <row r="952" spans="2:2" ht="14.25" customHeight="1" x14ac:dyDescent="0.25">
      <c r="B952" s="1"/>
    </row>
    <row r="953" spans="2:2" ht="14.25" customHeight="1" x14ac:dyDescent="0.25">
      <c r="B953" s="1"/>
    </row>
    <row r="954" spans="2:2" ht="14.25" customHeight="1" x14ac:dyDescent="0.25">
      <c r="B954" s="1"/>
    </row>
    <row r="955" spans="2:2" ht="14.25" customHeight="1" x14ac:dyDescent="0.25">
      <c r="B955" s="1"/>
    </row>
    <row r="956" spans="2:2" ht="14.25" customHeight="1" x14ac:dyDescent="0.25">
      <c r="B956" s="1"/>
    </row>
    <row r="957" spans="2:2" ht="14.25" customHeight="1" x14ac:dyDescent="0.25">
      <c r="B957" s="1"/>
    </row>
    <row r="958" spans="2:2" ht="14.25" customHeight="1" x14ac:dyDescent="0.25">
      <c r="B958" s="1"/>
    </row>
    <row r="959" spans="2:2" ht="14.25" customHeight="1" x14ac:dyDescent="0.25">
      <c r="B959" s="1"/>
    </row>
    <row r="960" spans="2:2" ht="14.25" customHeight="1" x14ac:dyDescent="0.25">
      <c r="B960" s="1"/>
    </row>
    <row r="961" spans="2:2" ht="14.25" customHeight="1" x14ac:dyDescent="0.25">
      <c r="B961" s="1"/>
    </row>
    <row r="962" spans="2:2" ht="14.25" customHeight="1" x14ac:dyDescent="0.25">
      <c r="B962" s="1"/>
    </row>
    <row r="963" spans="2:2" ht="14.25" customHeight="1" x14ac:dyDescent="0.25">
      <c r="B963" s="1"/>
    </row>
    <row r="964" spans="2:2" ht="14.25" customHeight="1" x14ac:dyDescent="0.25">
      <c r="B964" s="1"/>
    </row>
    <row r="965" spans="2:2" ht="14.25" customHeight="1" x14ac:dyDescent="0.25">
      <c r="B965" s="1"/>
    </row>
    <row r="966" spans="2:2" ht="14.25" customHeight="1" x14ac:dyDescent="0.25">
      <c r="B966" s="1"/>
    </row>
    <row r="967" spans="2:2" ht="14.25" customHeight="1" x14ac:dyDescent="0.25">
      <c r="B967" s="1"/>
    </row>
    <row r="968" spans="2:2" ht="14.25" customHeight="1" x14ac:dyDescent="0.25">
      <c r="B968" s="1"/>
    </row>
    <row r="969" spans="2:2" ht="14.25" customHeight="1" x14ac:dyDescent="0.25">
      <c r="B969" s="1"/>
    </row>
    <row r="970" spans="2:2" ht="14.25" customHeight="1" x14ac:dyDescent="0.25">
      <c r="B970" s="1"/>
    </row>
    <row r="971" spans="2:2" ht="14.25" customHeight="1" x14ac:dyDescent="0.25">
      <c r="B971" s="1"/>
    </row>
    <row r="972" spans="2:2" ht="14.25" customHeight="1" x14ac:dyDescent="0.25">
      <c r="B972" s="1"/>
    </row>
    <row r="973" spans="2:2" ht="14.25" customHeight="1" x14ac:dyDescent="0.25">
      <c r="B973" s="1"/>
    </row>
    <row r="974" spans="2:2" ht="14.25" customHeight="1" x14ac:dyDescent="0.25">
      <c r="B974" s="1"/>
    </row>
    <row r="975" spans="2:2" ht="14.25" customHeight="1" x14ac:dyDescent="0.25">
      <c r="B975" s="1"/>
    </row>
    <row r="976" spans="2:2" ht="14.25" customHeight="1" x14ac:dyDescent="0.25">
      <c r="B976" s="1"/>
    </row>
    <row r="977" spans="2:2" ht="14.25" customHeight="1" x14ac:dyDescent="0.25">
      <c r="B977" s="1"/>
    </row>
    <row r="978" spans="2:2" ht="14.25" customHeight="1" x14ac:dyDescent="0.25">
      <c r="B978" s="1"/>
    </row>
    <row r="979" spans="2:2" ht="14.25" customHeight="1" x14ac:dyDescent="0.25">
      <c r="B979" s="1"/>
    </row>
    <row r="980" spans="2:2" ht="14.25" customHeight="1" x14ac:dyDescent="0.25">
      <c r="B980" s="1"/>
    </row>
    <row r="981" spans="2:2" ht="14.25" customHeight="1" x14ac:dyDescent="0.25">
      <c r="B981" s="1"/>
    </row>
    <row r="982" spans="2:2" ht="14.25" customHeight="1" x14ac:dyDescent="0.25">
      <c r="B982" s="1"/>
    </row>
    <row r="983" spans="2:2" ht="14.25" customHeight="1" x14ac:dyDescent="0.25">
      <c r="B983" s="1"/>
    </row>
    <row r="984" spans="2:2" ht="14.25" customHeight="1" x14ac:dyDescent="0.25">
      <c r="B984" s="1"/>
    </row>
    <row r="985" spans="2:2" ht="14.25" customHeight="1" x14ac:dyDescent="0.25">
      <c r="B985" s="1"/>
    </row>
    <row r="986" spans="2:2" ht="14.25" customHeight="1" x14ac:dyDescent="0.25">
      <c r="B986" s="1"/>
    </row>
    <row r="987" spans="2:2" ht="14.25" customHeight="1" x14ac:dyDescent="0.25">
      <c r="B987" s="1"/>
    </row>
    <row r="988" spans="2:2" ht="14.25" customHeight="1" x14ac:dyDescent="0.25">
      <c r="B988" s="1"/>
    </row>
    <row r="989" spans="2:2" ht="14.25" customHeight="1" x14ac:dyDescent="0.25">
      <c r="B989" s="1"/>
    </row>
    <row r="990" spans="2:2" ht="14.25" customHeight="1" x14ac:dyDescent="0.25">
      <c r="B990" s="1"/>
    </row>
    <row r="991" spans="2:2" ht="14.25" customHeight="1" x14ac:dyDescent="0.25">
      <c r="B991" s="1"/>
    </row>
    <row r="992" spans="2:2" ht="14.25" customHeight="1" x14ac:dyDescent="0.25">
      <c r="B992" s="1"/>
    </row>
    <row r="993" spans="2:2" ht="14.25" customHeight="1" x14ac:dyDescent="0.25">
      <c r="B993" s="1"/>
    </row>
    <row r="994" spans="2:2" ht="14.25" customHeight="1" x14ac:dyDescent="0.25">
      <c r="B994" s="1"/>
    </row>
    <row r="995" spans="2:2" ht="14.25" customHeight="1" x14ac:dyDescent="0.25">
      <c r="B995" s="1"/>
    </row>
    <row r="996" spans="2:2" ht="14.25" customHeight="1" x14ac:dyDescent="0.25">
      <c r="B996" s="1"/>
    </row>
    <row r="997" spans="2:2" ht="14.25" customHeight="1" x14ac:dyDescent="0.25">
      <c r="B997" s="1"/>
    </row>
    <row r="998" spans="2:2" ht="14.25" customHeight="1" x14ac:dyDescent="0.25">
      <c r="B998" s="1"/>
    </row>
    <row r="999" spans="2:2" ht="14.25" customHeight="1" x14ac:dyDescent="0.25">
      <c r="B999" s="1"/>
    </row>
    <row r="1000" spans="2:2" ht="14.25" customHeight="1" x14ac:dyDescent="0.25">
      <c r="B1000" s="1"/>
    </row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Финмодель индексация 1,5 года</vt:lpstr>
      <vt:lpstr>Финмодель индексация через год</vt:lpstr>
      <vt:lpstr>Финмодель сценарий 1</vt:lpstr>
      <vt:lpstr>Финмодель сценарий 2</vt:lpstr>
      <vt:lpstr>Финмодель сценарий 2 (ред)</vt:lpstr>
      <vt:lpstr>Financial Data</vt:lpstr>
      <vt:lpstr>Operational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Ethicalt</dc:creator>
  <cp:lastModifiedBy>Софья Зименкова</cp:lastModifiedBy>
  <cp:lastPrinted>2026-06-29T23:25:36Z</cp:lastPrinted>
  <dcterms:created xsi:type="dcterms:W3CDTF">2026-06-29T16:39:04Z</dcterms:created>
  <dcterms:modified xsi:type="dcterms:W3CDTF">2026-06-30T20:50:24Z</dcterms:modified>
</cp:coreProperties>
</file>