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Софья Зименкова\учёба\магистратура\2 сем\облачные\"/>
    </mc:Choice>
  </mc:AlternateContent>
  <xr:revisionPtr revIDLastSave="0" documentId="13_ncr:1_{F39C0C20-AD73-40AD-99B9-4E05DD42B224}" xr6:coauthVersionLast="47" xr6:coauthVersionMax="47" xr10:uidLastSave="{00000000-0000-0000-0000-000000000000}"/>
  <bookViews>
    <workbookView xWindow="36690" yWindow="3090" windowWidth="21600" windowHeight="11385" xr2:uid="{2458ACAB-0B2B-4D70-AFCD-4AF5F8C73045}"/>
  </bookViews>
  <sheets>
    <sheet name="AS IS" sheetId="1" r:id="rId1"/>
    <sheet name="TO B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3" l="1"/>
  <c r="B16" i="3"/>
  <c r="B14" i="3"/>
  <c r="N8" i="3"/>
  <c r="E7" i="1"/>
  <c r="B13" i="1" s="1"/>
</calcChain>
</file>

<file path=xl/sharedStrings.xml><?xml version="1.0" encoding="utf-8"?>
<sst xmlns="http://schemas.openxmlformats.org/spreadsheetml/2006/main" count="48" uniqueCount="29">
  <si>
    <t>Машина</t>
  </si>
  <si>
    <t>Ядра</t>
  </si>
  <si>
    <t>Память</t>
  </si>
  <si>
    <t>SSD</t>
  </si>
  <si>
    <t>HDD</t>
  </si>
  <si>
    <t>ВМ фронт+бэк</t>
  </si>
  <si>
    <t>ВМ БД Postgre+Mongo</t>
  </si>
  <si>
    <t>ВМ NFS-шара</t>
  </si>
  <si>
    <t>Cloud CDN</t>
  </si>
  <si>
    <t>Стоимость</t>
  </si>
  <si>
    <t>-</t>
  </si>
  <si>
    <t>Postgre</t>
  </si>
  <si>
    <t>Mongo</t>
  </si>
  <si>
    <t>Kubernetes</t>
  </si>
  <si>
    <t>Object Storage</t>
  </si>
  <si>
    <t>Yandex StoreDoc</t>
  </si>
  <si>
    <t>Количество</t>
  </si>
  <si>
    <t>больше нет</t>
  </si>
  <si>
    <t>Итого</t>
  </si>
  <si>
    <t>ГБ</t>
  </si>
  <si>
    <t>оптимальный компромисс</t>
  </si>
  <si>
    <t>было</t>
  </si>
  <si>
    <t>разница на</t>
  </si>
  <si>
    <t>разница в</t>
  </si>
  <si>
    <t>рублей</t>
  </si>
  <si>
    <t>раза</t>
  </si>
  <si>
    <t>и так низкие характеристики, не вижу смысла еще меньше выбирать, больше тоже не нужно</t>
  </si>
  <si>
    <t>дорого</t>
  </si>
  <si>
    <t>С тех пор, как я выполняла работу, поменялись цены и доступное железо в калькуляторе, а также я просто не очень хорошо помню, что именно выбирала на замену кластера для Mongo. Ссылка на старый калькулятор больше недействительна. Интернет советует StoreDoc как оптимальный кластер для NoSQL, поэтому использовала его для расчета под Mongo - вышло дороже.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</si>
</sst>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b/>
      <sz val="11"/>
      <color theme="1"/>
      <name val="Calibri"/>
      <family val="2"/>
      <charset val="204"/>
      <scheme val="minor"/>
    </font>
    <font>
      <b/>
      <sz val="15"/>
      <color rgb="FF000000"/>
      <name val="Arial"/>
      <family val="2"/>
      <charset val="204"/>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5">
    <xf numFmtId="0" fontId="0" fillId="0" borderId="0" xfId="0"/>
    <xf numFmtId="0" fontId="2" fillId="0" borderId="0" xfId="0" applyFont="1" applyAlignment="1"/>
    <xf numFmtId="4" fontId="0" fillId="0" borderId="0" xfId="0" applyNumberFormat="1"/>
    <xf numFmtId="0" fontId="0" fillId="0" borderId="1" xfId="0" applyBorder="1"/>
    <xf numFmtId="0" fontId="0" fillId="0" borderId="0" xfId="0" applyAlignment="1">
      <alignment wrapText="1"/>
    </xf>
    <xf numFmtId="4" fontId="1" fillId="0" borderId="0" xfId="0" applyNumberFormat="1" applyFont="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5" xfId="0" applyBorder="1"/>
    <xf numFmtId="0" fontId="0" fillId="0" borderId="0" xfId="0" applyBorder="1"/>
    <xf numFmtId="0" fontId="0" fillId="0" borderId="6" xfId="0" applyBorder="1"/>
    <xf numFmtId="0" fontId="0" fillId="0" borderId="5" xfId="0" quotePrefix="1" applyBorder="1" applyAlignment="1">
      <alignment horizontal="right"/>
    </xf>
    <xf numFmtId="0" fontId="0" fillId="0" borderId="0" xfId="0" quotePrefix="1" applyBorder="1" applyAlignment="1">
      <alignment horizontal="right"/>
    </xf>
    <xf numFmtId="0" fontId="0" fillId="0" borderId="6" xfId="0" quotePrefix="1" applyBorder="1" applyAlignment="1">
      <alignment horizontal="right"/>
    </xf>
    <xf numFmtId="4" fontId="1" fillId="0" borderId="7" xfId="0" applyNumberFormat="1" applyFont="1" applyBorder="1"/>
    <xf numFmtId="0" fontId="0" fillId="0" borderId="8" xfId="0" applyBorder="1"/>
    <xf numFmtId="0" fontId="2" fillId="0" borderId="9" xfId="0" applyFont="1" applyBorder="1" applyAlignment="1"/>
    <xf numFmtId="0" fontId="0" fillId="0" borderId="10" xfId="0" applyBorder="1"/>
    <xf numFmtId="4" fontId="0" fillId="0" borderId="11" xfId="0" applyNumberFormat="1" applyBorder="1"/>
    <xf numFmtId="0" fontId="0" fillId="0" borderId="7" xfId="0" applyBorder="1"/>
    <xf numFmtId="0" fontId="0" fillId="0" borderId="11" xfId="0" applyBorder="1"/>
    <xf numFmtId="0" fontId="0" fillId="0" borderId="9" xfId="0" applyBorder="1"/>
    <xf numFmtId="0" fontId="1" fillId="0" borderId="11" xfId="0" applyFont="1" applyBorder="1"/>
    <xf numFmtId="4" fontId="0" fillId="0" borderId="7" xfId="0" applyNumberFormat="1" applyBorder="1"/>
    <xf numFmtId="4" fontId="0" fillId="0" borderId="8" xfId="0" applyNumberFormat="1" applyBorder="1" applyAlignment="1">
      <alignment wrapText="1"/>
    </xf>
    <xf numFmtId="4" fontId="1" fillId="0" borderId="1" xfId="0" applyNumberFormat="1" applyFont="1" applyBorder="1" applyAlignment="1">
      <alignment wrapText="1"/>
    </xf>
    <xf numFmtId="0" fontId="0" fillId="0" borderId="0" xfId="0" applyAlignment="1">
      <alignment horizontal="right"/>
    </xf>
    <xf numFmtId="0" fontId="0" fillId="0" borderId="10" xfId="0" applyBorder="1" applyAlignment="1">
      <alignment horizontal="right"/>
    </xf>
    <xf numFmtId="4" fontId="1" fillId="0" borderId="1" xfId="0" quotePrefix="1" applyNumberFormat="1" applyFont="1" applyBorder="1" applyAlignment="1">
      <alignment horizontal="right" wrapText="1"/>
    </xf>
    <xf numFmtId="0" fontId="0" fillId="0" borderId="0" xfId="0" applyAlignment="1">
      <alignment horizontal="center" wrapText="1"/>
    </xf>
    <xf numFmtId="0" fontId="0" fillId="0" borderId="0" xfId="0" applyAlignment="1">
      <alignment horizontal="center" vertical="top" wrapText="1"/>
    </xf>
    <xf numFmtId="0" fontId="0" fillId="0" borderId="0" xfId="0" applyAlignment="1">
      <alignment vertical="top" wrapText="1"/>
    </xf>
    <xf numFmtId="0" fontId="2" fillId="0" borderId="2" xfId="0" applyFont="1" applyBorder="1" applyAlignment="1"/>
    <xf numFmtId="0" fontId="0" fillId="0" borderId="0" xfId="0"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4309C-B136-4A2C-AF7C-F7983532E091}">
  <dimension ref="A1:G13"/>
  <sheetViews>
    <sheetView tabSelected="1" workbookViewId="0">
      <selection activeCell="C12" sqref="C12"/>
    </sheetView>
  </sheetViews>
  <sheetFormatPr defaultRowHeight="15" x14ac:dyDescent="0.25"/>
  <cols>
    <col min="1" max="1" width="12.85546875" customWidth="1"/>
    <col min="2" max="2" width="22.28515625" bestFit="1" customWidth="1"/>
    <col min="3" max="3" width="33.7109375" bestFit="1" customWidth="1"/>
    <col min="4" max="4" width="20.7109375" bestFit="1" customWidth="1"/>
    <col min="5" max="5" width="16.140625" bestFit="1" customWidth="1"/>
  </cols>
  <sheetData>
    <row r="1" spans="1:7" ht="19.5" x14ac:dyDescent="0.3">
      <c r="A1" s="22" t="s">
        <v>0</v>
      </c>
      <c r="B1" s="33" t="s">
        <v>5</v>
      </c>
      <c r="C1" s="33" t="s">
        <v>6</v>
      </c>
      <c r="D1" s="33" t="s">
        <v>7</v>
      </c>
      <c r="E1" s="17" t="s">
        <v>8</v>
      </c>
      <c r="F1" s="1"/>
      <c r="G1" s="1"/>
    </row>
    <row r="2" spans="1:7" x14ac:dyDescent="0.25">
      <c r="A2" s="21"/>
      <c r="B2" s="20">
        <v>1</v>
      </c>
      <c r="C2" s="20">
        <v>1</v>
      </c>
      <c r="D2" s="20">
        <v>1</v>
      </c>
      <c r="E2" s="21"/>
    </row>
    <row r="3" spans="1:7" x14ac:dyDescent="0.25">
      <c r="A3" s="18" t="s">
        <v>1</v>
      </c>
      <c r="B3" s="9">
        <v>24</v>
      </c>
      <c r="C3" s="9">
        <v>16</v>
      </c>
      <c r="D3" s="9">
        <v>4</v>
      </c>
      <c r="E3" s="18"/>
    </row>
    <row r="4" spans="1:7" x14ac:dyDescent="0.25">
      <c r="A4" s="18" t="s">
        <v>2</v>
      </c>
      <c r="B4" s="9">
        <v>48</v>
      </c>
      <c r="C4" s="9">
        <v>32</v>
      </c>
      <c r="D4" s="9">
        <v>8</v>
      </c>
      <c r="E4" s="18"/>
    </row>
    <row r="5" spans="1:7" x14ac:dyDescent="0.25">
      <c r="A5" s="18" t="s">
        <v>3</v>
      </c>
      <c r="B5" s="9">
        <v>50</v>
      </c>
      <c r="C5" s="9">
        <v>50</v>
      </c>
      <c r="D5" s="9">
        <v>50</v>
      </c>
      <c r="E5" s="18">
        <v>1.054</v>
      </c>
    </row>
    <row r="6" spans="1:7" x14ac:dyDescent="0.25">
      <c r="A6" s="18" t="s">
        <v>4</v>
      </c>
      <c r="B6" s="12" t="s">
        <v>10</v>
      </c>
      <c r="C6" s="9">
        <v>1250</v>
      </c>
      <c r="D6" s="9">
        <v>200</v>
      </c>
      <c r="E6" s="18">
        <v>10000</v>
      </c>
    </row>
    <row r="7" spans="1:7" x14ac:dyDescent="0.25">
      <c r="A7" s="23" t="s">
        <v>9</v>
      </c>
      <c r="B7" s="15">
        <v>37785.46</v>
      </c>
      <c r="C7" s="15">
        <v>29749.1</v>
      </c>
      <c r="D7" s="15">
        <v>7585.78</v>
      </c>
      <c r="E7" s="19">
        <f>E6*E5</f>
        <v>10540</v>
      </c>
    </row>
    <row r="13" spans="1:7" x14ac:dyDescent="0.25">
      <c r="A13" t="s">
        <v>18</v>
      </c>
      <c r="B13" s="5">
        <f>SUM(B7,C7,D7,E7)</f>
        <v>85660.34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E60B-D41C-4C78-8B03-BE2A5868C1D1}">
  <dimension ref="A1:Q23"/>
  <sheetViews>
    <sheetView workbookViewId="0">
      <selection activeCell="D16" sqref="D16"/>
    </sheetView>
  </sheetViews>
  <sheetFormatPr defaultRowHeight="15" x14ac:dyDescent="0.25"/>
  <cols>
    <col min="1" max="1" width="12.85546875" customWidth="1"/>
    <col min="2" max="2" width="12" bestFit="1" customWidth="1"/>
    <col min="3" max="3" width="13.42578125" customWidth="1"/>
    <col min="4" max="4" width="11.28515625" customWidth="1"/>
    <col min="5" max="5" width="11.7109375" bestFit="1" customWidth="1"/>
    <col min="6" max="6" width="13.85546875" customWidth="1"/>
    <col min="7" max="12" width="11.28515625" customWidth="1"/>
    <col min="13" max="13" width="10.42578125" customWidth="1"/>
    <col min="14" max="14" width="16.140625" bestFit="1" customWidth="1"/>
    <col min="15" max="15" width="21.28515625" customWidth="1"/>
    <col min="16" max="16" width="25.140625" bestFit="1" customWidth="1"/>
    <col min="17" max="17" width="10" bestFit="1" customWidth="1"/>
  </cols>
  <sheetData>
    <row r="1" spans="1:17" ht="19.5" x14ac:dyDescent="0.3">
      <c r="A1" s="22" t="s">
        <v>0</v>
      </c>
      <c r="B1" s="6" t="s">
        <v>11</v>
      </c>
      <c r="C1" s="7"/>
      <c r="D1" s="8"/>
      <c r="E1" s="6" t="s">
        <v>12</v>
      </c>
      <c r="F1" s="7"/>
      <c r="G1" s="8"/>
      <c r="H1" s="6" t="s">
        <v>13</v>
      </c>
      <c r="I1" s="7"/>
      <c r="J1" s="8"/>
      <c r="K1" s="6" t="s">
        <v>15</v>
      </c>
      <c r="L1" s="7"/>
      <c r="M1" s="8"/>
      <c r="N1" s="17" t="s">
        <v>8</v>
      </c>
      <c r="O1" s="17" t="s">
        <v>14</v>
      </c>
    </row>
    <row r="2" spans="1:17" s="3" customFormat="1" x14ac:dyDescent="0.25">
      <c r="A2" s="21"/>
      <c r="B2" s="20">
        <v>1</v>
      </c>
      <c r="C2" s="3">
        <v>2</v>
      </c>
      <c r="D2" s="16">
        <v>3</v>
      </c>
      <c r="E2" s="20">
        <v>1</v>
      </c>
      <c r="F2" s="3">
        <v>2</v>
      </c>
      <c r="G2" s="16">
        <v>3</v>
      </c>
      <c r="H2" s="20">
        <v>1</v>
      </c>
      <c r="I2" s="3">
        <v>2</v>
      </c>
      <c r="J2" s="16">
        <v>3</v>
      </c>
      <c r="K2" s="20">
        <v>1</v>
      </c>
      <c r="M2" s="16"/>
      <c r="N2" s="21"/>
      <c r="O2" s="21"/>
    </row>
    <row r="3" spans="1:17" x14ac:dyDescent="0.25">
      <c r="A3" s="18" t="s">
        <v>16</v>
      </c>
      <c r="B3" s="9">
        <v>3</v>
      </c>
      <c r="C3" s="10">
        <v>3</v>
      </c>
      <c r="D3" s="11">
        <v>3</v>
      </c>
      <c r="E3" s="9">
        <v>3</v>
      </c>
      <c r="F3" s="10">
        <v>3</v>
      </c>
      <c r="G3" s="11">
        <v>3</v>
      </c>
      <c r="H3" s="9">
        <v>3</v>
      </c>
      <c r="I3" s="10">
        <v>3</v>
      </c>
      <c r="J3" s="11">
        <v>3</v>
      </c>
      <c r="K3" s="9">
        <v>3</v>
      </c>
      <c r="L3" s="10"/>
      <c r="M3" s="11"/>
      <c r="N3" s="18"/>
      <c r="O3" s="18"/>
    </row>
    <row r="4" spans="1:17" x14ac:dyDescent="0.25">
      <c r="A4" s="18" t="s">
        <v>1</v>
      </c>
      <c r="B4" s="9">
        <v>16</v>
      </c>
      <c r="C4" s="10">
        <v>12</v>
      </c>
      <c r="D4" s="11">
        <v>16</v>
      </c>
      <c r="E4" s="9">
        <v>8</v>
      </c>
      <c r="F4" s="10">
        <v>8</v>
      </c>
      <c r="G4" s="11"/>
      <c r="H4" s="9">
        <v>4</v>
      </c>
      <c r="I4" s="10"/>
      <c r="J4" s="11"/>
      <c r="K4" s="9">
        <v>2</v>
      </c>
      <c r="L4" s="10"/>
      <c r="M4" s="11"/>
      <c r="N4" s="18"/>
      <c r="O4" s="18"/>
    </row>
    <row r="5" spans="1:17" x14ac:dyDescent="0.25">
      <c r="A5" s="18" t="s">
        <v>2</v>
      </c>
      <c r="B5" s="9">
        <v>32</v>
      </c>
      <c r="C5" s="10">
        <v>48</v>
      </c>
      <c r="D5" s="11">
        <v>64</v>
      </c>
      <c r="E5" s="9">
        <v>32</v>
      </c>
      <c r="F5" s="10">
        <v>32</v>
      </c>
      <c r="G5" s="11"/>
      <c r="H5" s="9">
        <v>8</v>
      </c>
      <c r="I5" s="10"/>
      <c r="J5" s="11"/>
      <c r="K5" s="9">
        <v>8</v>
      </c>
      <c r="L5" s="10"/>
      <c r="M5" s="11"/>
      <c r="N5" s="18">
        <v>1.054</v>
      </c>
      <c r="O5" s="18"/>
    </row>
    <row r="6" spans="1:17" x14ac:dyDescent="0.25">
      <c r="A6" s="18" t="s">
        <v>3</v>
      </c>
      <c r="B6" s="12" t="s">
        <v>10</v>
      </c>
      <c r="C6" s="13" t="s">
        <v>10</v>
      </c>
      <c r="D6" s="14" t="s">
        <v>10</v>
      </c>
      <c r="E6" s="9">
        <v>256</v>
      </c>
      <c r="F6" s="10">
        <v>256</v>
      </c>
      <c r="G6" s="11"/>
      <c r="H6" s="9">
        <v>64</v>
      </c>
      <c r="I6" s="10"/>
      <c r="J6" s="11"/>
      <c r="K6" s="9">
        <v>10</v>
      </c>
      <c r="L6" s="10"/>
      <c r="M6" s="11"/>
      <c r="N6" s="27" t="s">
        <v>19</v>
      </c>
      <c r="O6" s="28" t="s">
        <v>19</v>
      </c>
    </row>
    <row r="7" spans="1:17" x14ac:dyDescent="0.25">
      <c r="A7" s="18" t="s">
        <v>4</v>
      </c>
      <c r="B7" s="12">
        <v>1024</v>
      </c>
      <c r="C7" s="10">
        <v>1024</v>
      </c>
      <c r="D7" s="11">
        <v>1024</v>
      </c>
      <c r="E7" s="12" t="s">
        <v>10</v>
      </c>
      <c r="F7" s="13" t="s">
        <v>10</v>
      </c>
      <c r="G7" s="11"/>
      <c r="H7" s="12" t="s">
        <v>10</v>
      </c>
      <c r="I7" s="10"/>
      <c r="J7" s="11"/>
      <c r="K7" s="12" t="s">
        <v>10</v>
      </c>
      <c r="L7" s="10"/>
      <c r="M7" s="11"/>
      <c r="N7" s="18">
        <v>10000</v>
      </c>
      <c r="O7" s="18">
        <v>200</v>
      </c>
    </row>
    <row r="8" spans="1:17" x14ac:dyDescent="0.25">
      <c r="A8" s="23" t="s">
        <v>9</v>
      </c>
      <c r="B8" s="24">
        <v>106040.43</v>
      </c>
      <c r="C8" s="26">
        <v>112796.93</v>
      </c>
      <c r="D8" s="25">
        <v>146562.04999999999</v>
      </c>
      <c r="E8" s="24">
        <v>75290.820000000007</v>
      </c>
      <c r="F8" s="29">
        <v>115568.64</v>
      </c>
      <c r="G8" s="16"/>
      <c r="H8" s="24">
        <v>24741.360000000001</v>
      </c>
      <c r="I8" s="3"/>
      <c r="J8" s="16"/>
      <c r="K8" s="24">
        <v>26349.41</v>
      </c>
      <c r="L8" s="3"/>
      <c r="M8" s="16"/>
      <c r="N8" s="19">
        <f>N7*N5</f>
        <v>10540</v>
      </c>
      <c r="O8" s="21">
        <v>472.82</v>
      </c>
      <c r="P8" s="2"/>
    </row>
    <row r="10" spans="1:17" ht="15" customHeight="1" x14ac:dyDescent="0.25">
      <c r="B10" t="s">
        <v>17</v>
      </c>
      <c r="C10" s="31" t="s">
        <v>20</v>
      </c>
      <c r="D10" t="s">
        <v>27</v>
      </c>
      <c r="E10" t="s">
        <v>17</v>
      </c>
      <c r="F10" s="31" t="s">
        <v>20</v>
      </c>
      <c r="H10" s="30" t="s">
        <v>26</v>
      </c>
      <c r="I10" s="30"/>
      <c r="J10" s="30"/>
      <c r="K10" s="30" t="s">
        <v>26</v>
      </c>
      <c r="L10" s="30"/>
      <c r="M10" s="30"/>
      <c r="Q10" s="2"/>
    </row>
    <row r="11" spans="1:17" x14ac:dyDescent="0.25">
      <c r="C11" s="31"/>
      <c r="F11" s="31"/>
      <c r="H11" s="30"/>
      <c r="I11" s="30"/>
      <c r="J11" s="30"/>
      <c r="K11" s="30"/>
      <c r="L11" s="30"/>
      <c r="M11" s="30"/>
    </row>
    <row r="12" spans="1:17" x14ac:dyDescent="0.25">
      <c r="C12" s="32"/>
      <c r="H12" s="30"/>
      <c r="I12" s="30"/>
      <c r="J12" s="30"/>
      <c r="K12" s="30"/>
      <c r="L12" s="30"/>
      <c r="M12" s="30"/>
    </row>
    <row r="13" spans="1:17" x14ac:dyDescent="0.25">
      <c r="H13" s="4"/>
      <c r="I13" s="4"/>
      <c r="J13" s="4"/>
      <c r="K13" s="4"/>
      <c r="L13" s="4"/>
      <c r="M13" s="4"/>
    </row>
    <row r="14" spans="1:17" x14ac:dyDescent="0.25">
      <c r="A14" t="s">
        <v>18</v>
      </c>
      <c r="B14" s="2">
        <f>SUM(C8,F8,H8,N8,K8,O8)</f>
        <v>290469.15999999997</v>
      </c>
    </row>
    <row r="15" spans="1:17" x14ac:dyDescent="0.25">
      <c r="A15" t="s">
        <v>21</v>
      </c>
      <c r="B15">
        <v>85660.34</v>
      </c>
    </row>
    <row r="16" spans="1:17" x14ac:dyDescent="0.25">
      <c r="A16" t="s">
        <v>22</v>
      </c>
      <c r="B16" s="2">
        <f>B14-B15</f>
        <v>204808.81999999998</v>
      </c>
      <c r="C16" t="s">
        <v>24</v>
      </c>
    </row>
    <row r="17" spans="1:8" x14ac:dyDescent="0.25">
      <c r="A17" t="s">
        <v>23</v>
      </c>
      <c r="B17">
        <f>B14/B15</f>
        <v>3.3909410119081946</v>
      </c>
      <c r="C17" t="s">
        <v>25</v>
      </c>
    </row>
    <row r="20" spans="1:8" ht="15" customHeight="1" x14ac:dyDescent="0.25">
      <c r="A20" s="34" t="s">
        <v>28</v>
      </c>
      <c r="B20" s="34"/>
      <c r="C20" s="34"/>
      <c r="D20" s="34"/>
      <c r="E20" s="34"/>
      <c r="F20" s="34"/>
      <c r="G20" s="34"/>
      <c r="H20" s="34"/>
    </row>
    <row r="21" spans="1:8" x14ac:dyDescent="0.25">
      <c r="A21" s="34"/>
      <c r="B21" s="34"/>
      <c r="C21" s="34"/>
      <c r="D21" s="34"/>
      <c r="E21" s="34"/>
      <c r="F21" s="34"/>
      <c r="G21" s="34"/>
      <c r="H21" s="34"/>
    </row>
    <row r="22" spans="1:8" x14ac:dyDescent="0.25">
      <c r="A22" s="34"/>
      <c r="B22" s="34"/>
      <c r="C22" s="34"/>
      <c r="D22" s="34"/>
      <c r="E22" s="34"/>
      <c r="F22" s="34"/>
      <c r="G22" s="34"/>
      <c r="H22" s="34"/>
    </row>
    <row r="23" spans="1:8" x14ac:dyDescent="0.25">
      <c r="A23" s="34"/>
      <c r="B23" s="34"/>
      <c r="C23" s="34"/>
      <c r="D23" s="34"/>
      <c r="E23" s="34"/>
      <c r="F23" s="34"/>
      <c r="G23" s="34"/>
      <c r="H23" s="34"/>
    </row>
  </sheetData>
  <mergeCells count="9">
    <mergeCell ref="H10:J12"/>
    <mergeCell ref="A20:H23"/>
    <mergeCell ref="B1:D1"/>
    <mergeCell ref="E1:G1"/>
    <mergeCell ref="H1:J1"/>
    <mergeCell ref="K1:M1"/>
    <mergeCell ref="C10:C11"/>
    <mergeCell ref="F10:F11"/>
    <mergeCell ref="K10:M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AS IS</vt:lpstr>
      <vt:lpstr>TO 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Софья Зименкова</dc:creator>
  <cp:lastModifiedBy>Софья Зименкова</cp:lastModifiedBy>
  <dcterms:created xsi:type="dcterms:W3CDTF">2026-06-01T17:34:07Z</dcterms:created>
  <dcterms:modified xsi:type="dcterms:W3CDTF">2026-06-01T18:54:01Z</dcterms:modified>
</cp:coreProperties>
</file>